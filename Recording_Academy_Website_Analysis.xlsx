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defaultThemeVersion="166925"/>
  <mc:AlternateContent xmlns:mc="http://schemas.openxmlformats.org/markup-compatibility/2006">
    <mc:Choice Requires="x15">
      <x15ac:absPath xmlns:x15ac="http://schemas.microsoft.com/office/spreadsheetml/2010/11/ac" url="/Users/saikrishnavarshithdanda/Desktop/FSEEXCEL/"/>
    </mc:Choice>
  </mc:AlternateContent>
  <xr:revisionPtr revIDLastSave="0" documentId="13_ncr:1_{72B76E34-25F5-B443-83D2-39A4C94E5CA3}" xr6:coauthVersionLast="47" xr6:coauthVersionMax="47" xr10:uidLastSave="{00000000-0000-0000-0000-000000000000}"/>
  <bookViews>
    <workbookView xWindow="0" yWindow="660" windowWidth="29400" windowHeight="17140" activeTab="3" xr2:uid="{00000000-000D-0000-FFFF-FFFF00000000}"/>
  </bookViews>
  <sheets>
    <sheet name="Analysis" sheetId="21" r:id="rId1"/>
    <sheet name="Grammys Data" sheetId="1" r:id="rId2"/>
    <sheet name="Recording Academy Data" sheetId="2" r:id="rId3"/>
    <sheet name="AB Test" sheetId="19" r:id="rId4"/>
    <sheet name="Data Dictionary" sheetId="18" r:id="rId5"/>
    <sheet name="Solutions" sheetId="15" state="veryHidden" r:id="rId6"/>
  </sheets>
  <calcPr calcId="191029"/>
  <pivotCaches>
    <pivotCache cacheId="31" r:id="rId7"/>
    <pivotCache cacheId="3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21" l="1"/>
  <c r="C45" i="21"/>
  <c r="B45" i="21"/>
  <c r="G34" i="2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D8" i="15"/>
  <c r="D2" i="1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 i="1"/>
  <c r="D25" i="15"/>
  <c r="D24" i="15"/>
  <c r="D23" i="15"/>
  <c r="D22" i="15"/>
  <c r="D21" i="15"/>
  <c r="D20" i="15"/>
  <c r="D19" i="15"/>
  <c r="D18" i="15"/>
  <c r="D17" i="15"/>
  <c r="D16" i="15"/>
  <c r="D15" i="15"/>
  <c r="D14" i="15"/>
  <c r="D13" i="15"/>
  <c r="D5" i="15"/>
  <c r="D30" i="19"/>
  <c r="D29" i="19"/>
  <c r="E12" i="15"/>
  <c r="E2" i="15"/>
  <c r="E5" i="15"/>
  <c r="E7" i="15"/>
  <c r="E10" i="15"/>
  <c r="E6" i="15"/>
  <c r="E11" i="15"/>
  <c r="E8" i="15"/>
  <c r="E3" i="15"/>
  <c r="E13" i="15"/>
  <c r="E9" i="15"/>
  <c r="E4" i="15"/>
  <c r="B56" i="21" l="1"/>
  <c r="B57" i="21" s="1"/>
  <c r="D10" i="15"/>
  <c r="D43" i="21"/>
  <c r="D7" i="15"/>
  <c r="D9" i="15"/>
  <c r="C43" i="21"/>
  <c r="D44" i="21"/>
  <c r="D4" i="15"/>
  <c r="D6" i="15"/>
  <c r="B43" i="21"/>
  <c r="C44" i="21"/>
  <c r="D3" i="15"/>
  <c r="D11" i="15"/>
  <c r="B44" i="21"/>
  <c r="D12" i="15"/>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sharedStrings.xml><?xml version="1.0" encoding="utf-8"?>
<sst xmlns="http://schemas.openxmlformats.org/spreadsheetml/2006/main" count="18289" uniqueCount="114">
  <si>
    <t>date</t>
  </si>
  <si>
    <t>visitors</t>
  </si>
  <si>
    <t>pageviews</t>
  </si>
  <si>
    <t>sessions</t>
  </si>
  <si>
    <t>bounced_sessions</t>
  </si>
  <si>
    <t>avg_session_duration_secs</t>
  </si>
  <si>
    <t>description</t>
  </si>
  <si>
    <t>mobile_visitors</t>
  </si>
  <si>
    <t>1b</t>
  </si>
  <si>
    <t>2b</t>
  </si>
  <si>
    <t>4a</t>
  </si>
  <si>
    <t>4b</t>
  </si>
  <si>
    <t>4c</t>
  </si>
  <si>
    <t>5a</t>
  </si>
  <si>
    <t>5b</t>
  </si>
  <si>
    <t>5c</t>
  </si>
  <si>
    <t>6a</t>
  </si>
  <si>
    <t>6b</t>
  </si>
  <si>
    <t>6c</t>
  </si>
  <si>
    <t>year</t>
  </si>
  <si>
    <t>Regular Day</t>
  </si>
  <si>
    <t>Grammy Awards</t>
  </si>
  <si>
    <t>event_type</t>
  </si>
  <si>
    <t>website_content</t>
  </si>
  <si>
    <t>Question</t>
  </si>
  <si>
    <t>Tolerance</t>
  </si>
  <si>
    <t>Value</t>
  </si>
  <si>
    <t>7b</t>
  </si>
  <si>
    <t>Data Dictionary: Grammys</t>
  </si>
  <si>
    <t>Data Dictionary: TRA</t>
  </si>
  <si>
    <t>4d</t>
  </si>
  <si>
    <t>6d</t>
  </si>
  <si>
    <t>7c</t>
  </si>
  <si>
    <t>8a</t>
  </si>
  <si>
    <t>8b</t>
  </si>
  <si>
    <t>8c</t>
  </si>
  <si>
    <t>group</t>
  </si>
  <si>
    <t>control</t>
  </si>
  <si>
    <t>test</t>
  </si>
  <si>
    <t>website version</t>
  </si>
  <si>
    <t>CTA clicked</t>
  </si>
  <si>
    <t>websites combined</t>
  </si>
  <si>
    <t>websites split</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</si>
  <si>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</si>
  <si>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</si>
  <si>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</si>
  <si>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</si>
  <si>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</si>
  <si>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</si>
  <si>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</si>
  <si>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</si>
  <si>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</si>
  <si>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</si>
  <si>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</si>
  <si>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</si>
  <si>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t>student-solution</t>
  </si>
  <si>
    <t>student-formula</t>
  </si>
  <si>
    <t>free response</t>
  </si>
  <si>
    <t>LevelUp1</t>
  </si>
  <si>
    <t>LevelUp2</t>
  </si>
  <si>
    <t>LevelUp6</t>
  </si>
  <si>
    <t>LevelUp7</t>
  </si>
  <si>
    <t>Row Labels</t>
  </si>
  <si>
    <t>Grand Total</t>
  </si>
  <si>
    <t>Average of visitors</t>
  </si>
  <si>
    <t>Column Labels</t>
  </si>
  <si>
    <t>Count of group</t>
  </si>
  <si>
    <t>Recording Academy - Website Performance Analysis</t>
  </si>
  <si>
    <t>Overview</t>
  </si>
  <si>
    <t>The table below compares user engagement across three periods: the combined site (before Feb 2022), grammy.com (after split), and recordingacademy.com (after split).</t>
  </si>
  <si>
    <t>Site</t>
  </si>
  <si>
    <t>Pages per Session</t>
  </si>
  <si>
    <t>Bounce Rate</t>
  </si>
  <si>
    <t>Avg Time on Site (secs)</t>
  </si>
  <si>
    <t>Combined Site (pre-split)</t>
  </si>
  <si>
    <t>grammy.com (post-split)</t>
  </si>
  <si>
    <t>recordingacademy.com (post-split)</t>
  </si>
  <si>
    <t>1.  Traffic Analysis</t>
  </si>
  <si>
    <t>Difference (x)</t>
  </si>
  <si>
    <t>2.  Engagement KPIs</t>
  </si>
  <si>
    <t>3.  Device Breakdown</t>
  </si>
  <si>
    <t>Device</t>
  </si>
  <si>
    <t>% of Visitors</t>
  </si>
  <si>
    <t>Mobile</t>
  </si>
  <si>
    <t>Desktop</t>
  </si>
  <si>
    <t>4.  Recommendation</t>
  </si>
  <si>
    <t>Finding: The line chart shows that grammy.com traffic follows a clear seasonal pattern -
traffic runs at a steady baseline throughout the year but spikes dramatically every 
January/February during the Grammy Awards ceremony. Awards night generates 43x more 
visitors than a normal day (1,389,590 vs 32,388). Smaller secondary spikes around 
November/December correspond to Grammy nominee announcements.</t>
  </si>
  <si>
    <t>In February 2022, The Recording Academy - the non-profit behind the Grammy Awards - split their single website into two domains: grammy.com for the awards show and fan audience, and recordingacademy.com for their industry and professional community. This analysis examines whether that decision improved user engagement using real web traffic data spanning 2017-2023.</t>
  </si>
  <si>
    <t>Finding: 73.7% of grammy.com visitors access the site via mobile devices, compared to only 26.3% on desktop. This heavy mobile skew is important context for the engagement metrics - mobile users typically have higher bounce rates and shorter session times due to smaller screens and slower load times. This means grammy.com's actual desktop engagement is likely stronger than the overall averages suggest.</t>
  </si>
  <si>
    <t>Finding: All three engagement metrics improved after the website split. recordingacademy.com outperforms on every KPI - its bounce rate dropped 
to 33.7% (vs 41.6% combined), pages per session increased to 2.78 (vs 1.86 combined), and average time on site rose to 128.50 seconds (vs 102.85 combined). This confirms the split successfully created more focused, engaging experiences for each audience. Among the three metrics, 
average time on site showed the biggest improvement - rising from 102.85 to 128.50 seconds after the split.</t>
  </si>
  <si>
    <t>The data strongly supports keeping the two websites separate. All three engagement metrics - pages per session, bounce rate, and average time on site - improved after the split. recordingacademy.com in particular shows significantly better engagement, confirming that separating the professional audience from the fan audience was the right decision.    
However, two areas need attention: 
1. Seasonality: grammy.com relies almost entirely on the annual awards show, which drives 43x more traffic than a normal day. Investing in year-round content such as artist spotlights, music history, and exclusive features would help maintain traffic between events.
2. Mobile Optimization: With 73.7% of visitors on mobile, the mobile experience must be a top priority. Improving page load times, navigation, and mobile-friendly layouts could directly reduce the bounce rate and increase time on site.</t>
  </si>
  <si>
    <t>Analyzing the impact of splitting grammy.com and recordingacademy.com  |  Tools: Excel · PivotTables · XLOOKUP · SUMIF · AVERAGEIF · A/B Testing</t>
  </si>
  <si>
    <t>Formula Notes:
DATE(2022, 2, 1) is used because February 1st, 2022 is the exact date The Recording Academy split into two separate domains. Dates before this are labeled "Grammys + TRA" (combined site) and dates on or after are labeled "Grammys" (post-split). XLOOKUP matches each date to the mobile_visits table to fill in mobile visitor counts, returning 0 if no data exists for that date.</t>
  </si>
  <si>
    <t>Testing whether the website split improved user engagement with the Grammy Awards highlights CTA button</t>
  </si>
  <si>
    <t>Background</t>
  </si>
  <si>
    <t>The Recording Academy added a CTA (Call-to-Action) button on the homepage that read: "Click here to watch highlights from the 64th GRAMMY Awards!" An A/B test was conducted to measure whether visitors on the new split sites were more likely to click this button compared to visitors on the old combined site.</t>
  </si>
  <si>
    <t>Hypotheses</t>
  </si>
  <si>
    <t>Null Hypothesis (H₀)</t>
  </si>
  <si>
    <t>Splitting the website will not result in any significant difference in the CTA click-through rate compared to the old combined site.</t>
  </si>
  <si>
    <t>Alternative Hypothesis (H₁)</t>
  </si>
  <si>
    <t>Splitting the website will result in a higher CTA click-through rate compared to the old combined site.</t>
  </si>
  <si>
    <t>Test Setup</t>
  </si>
  <si>
    <t>Control Group</t>
  </si>
  <si>
    <t>Test Group</t>
  </si>
  <si>
    <t>Visitors directed to the original combined Grammy + Recording Academy website.</t>
  </si>
  <si>
    <t>Visitors directed to the new split sites (grammy.com or recordingacademy.com).</t>
  </si>
  <si>
    <t>Results</t>
  </si>
  <si>
    <t>Conclusion</t>
  </si>
  <si>
    <t>Count of website version</t>
  </si>
  <si>
    <t>Conversion Rate</t>
  </si>
  <si>
    <t>A/B Test - CTA Click - Through Rate Analysis</t>
  </si>
  <si>
    <r>
      <t>Note: In the dataset, CTA clicked = 1 means the visitor clicked the button and CTA clicked = 0 means they did not click it.
Finding: The test group (split sites) achieved a 3.85% conversion rate compared to 3.13% for the control group (combined site). The test group had 39 more CTA clicks despite only 302 more visitors. Statistical significance was verified using the Neil Patel A/B Testing Significance Calculator (</t>
    </r>
    <r>
      <rPr>
        <b/>
        <sz val="11"/>
        <color theme="1"/>
        <rFont val="Arial"/>
        <family val="2"/>
      </rPr>
      <t>neilpatel.com/ab-testing-calculator</t>
    </r>
    <r>
      <rPr>
        <sz val="11"/>
        <color theme="1"/>
        <rFont val="Arial"/>
        <family val="2"/>
      </rPr>
      <t>), confirming the improvement is real and not due to random chance. This confirms the website split made users more likely to engage with the Grammy highlights CTA.</t>
    </r>
  </si>
  <si>
    <t>The A/B test results support continuing with the split website structure. The test group showed a higher conversion rate 
(3.85% vs 3.13%), and the difference is statistically significant - verified using the Neil Patel A/B Testing Significance Calculator. This means visitors on the new split sites were more engaged and more likely to interact with the CTA button than visitors on the 
old combined site. The data supports that the website split improved user engagement and created a more focused browsing experience for each audience.</t>
  </si>
  <si>
    <t>Formulas Used:
website_content: = IF([@date] &gt;= DATE(2022,2,1), "Grammys", "Grammys + TRA")
mobile_visitors: = XLOOKUP([@date], mobile_visits[date], mobile_visits[mobile_visitors],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</si>
</sst>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quot;x&quot;"/>
  </numFmts>
  <fonts count="3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
      <sz val="12"/>
      <color theme="5" tint="0.79998168889431442"/>
      <name val="Calibri"/>
      <family val="2"/>
      <scheme val="minor"/>
    </font>
    <font>
      <b/>
      <sz val="24"/>
      <color theme="1"/>
      <name val="Calibri"/>
      <family val="2"/>
      <scheme val="minor"/>
    </font>
    <font>
      <b/>
      <sz val="12"/>
      <color theme="5"/>
      <name val="Calibri"/>
      <family val="2"/>
      <scheme val="minor"/>
    </font>
    <font>
      <b/>
      <sz val="18"/>
      <color rgb="FFFFFFFF"/>
      <name val="Arial"/>
      <family val="2"/>
    </font>
    <font>
      <b/>
      <sz val="12"/>
      <color rgb="FFFFFFFF"/>
      <name val="Arial"/>
      <family val="2"/>
    </font>
    <font>
      <sz val="10"/>
      <color rgb="FF000000"/>
      <name val="Arial"/>
      <family val="2"/>
    </font>
    <font>
      <sz val="10"/>
      <name val="Arial"/>
      <family val="2"/>
    </font>
    <font>
      <sz val="11"/>
      <color rgb="FF000000"/>
      <name val="Arial"/>
      <family val="2"/>
    </font>
    <font>
      <sz val="11"/>
      <color theme="1"/>
      <name val="Arial"/>
      <family val="2"/>
    </font>
    <font>
      <sz val="11"/>
      <color rgb="FFFFFFFF"/>
      <name val="Arial"/>
      <family val="2"/>
    </font>
    <font>
      <b/>
      <sz val="11"/>
      <color theme="1"/>
      <name val="Arial"/>
      <family val="2"/>
    </font>
    <font>
      <b/>
      <sz val="11"/>
      <color rgb="FFFFFFFF"/>
      <name val="Arial"/>
      <family val="2"/>
    </font>
    <font>
      <sz val="11"/>
      <color rgb="FF375623"/>
      <name val="Arial"/>
      <family val="2"/>
    </font>
    <font>
      <sz val="11"/>
      <name val="Arial"/>
      <family val="2"/>
    </font>
    <font>
      <b/>
      <sz val="10"/>
      <color rgb="FF000000"/>
      <name val="Arial"/>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8C43F"/>
        <bgColor indexed="64"/>
      </patternFill>
    </fill>
    <fill>
      <patternFill patternType="solid">
        <fgColor theme="8"/>
        <bgColor indexed="64"/>
      </patternFill>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E2EFDA"/>
        <bgColor rgb="FFF2F2F2"/>
      </patternFill>
    </fill>
    <fill>
      <patternFill patternType="solid">
        <fgColor theme="0"/>
        <bgColor rgb="FFE2EFDA"/>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rgb="FFE2EFDA"/>
      </patternFill>
    </fill>
    <fill>
      <patternFill patternType="solid">
        <fgColor theme="0"/>
        <bgColor rgb="FFF2F2F2"/>
      </patternFill>
    </fill>
    <fill>
      <patternFill patternType="solid">
        <fgColor theme="0"/>
        <bgColor indexed="64"/>
      </patternFill>
    </fill>
    <fill>
      <patternFill patternType="solid">
        <fgColor theme="5" tint="0.79998168889431442"/>
        <bgColor indexed="64"/>
      </patternFill>
    </fill>
    <fill>
      <patternFill patternType="solid">
        <fgColor rgb="FFF2F2F2"/>
        <bgColor rgb="FFE2EFDA"/>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top/>
      <bottom/>
      <diagonal/>
    </border>
    <border>
      <left style="thin">
        <color rgb="FFBFBFBF"/>
      </left>
      <right style="thin">
        <color rgb="FFBFBFBF"/>
      </right>
      <top style="thin">
        <color rgb="FFBFBFBF"/>
      </top>
      <bottom style="thin">
        <color rgb="FFBFBFBF"/>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68">
    <xf numFmtId="0" fontId="0" fillId="0" borderId="0" xfId="0"/>
    <xf numFmtId="14" fontId="0" fillId="0" borderId="0" xfId="0" applyNumberFormat="1"/>
    <xf numFmtId="1" fontId="0" fillId="0" borderId="0" xfId="0" applyNumberFormat="1"/>
    <xf numFmtId="0" fontId="0" fillId="33" borderId="0" xfId="0" applyFill="1"/>
    <xf numFmtId="0" fontId="0" fillId="0" borderId="0" xfId="0" applyAlignment="1">
      <alignment wrapText="1"/>
    </xf>
    <xf numFmtId="0" fontId="18" fillId="0" borderId="0" xfId="42"/>
    <xf numFmtId="0" fontId="1" fillId="0" borderId="0" xfId="43" applyAlignment="1">
      <alignment vertical="center"/>
    </xf>
    <xf numFmtId="0" fontId="18" fillId="0" borderId="0" xfId="42" applyAlignment="1">
      <alignment wrapText="1"/>
    </xf>
    <xf numFmtId="0" fontId="18" fillId="0" borderId="0" xfId="43" applyFont="1"/>
    <xf numFmtId="0" fontId="1" fillId="0" borderId="0" xfId="43"/>
    <xf numFmtId="0" fontId="16" fillId="0" borderId="0" xfId="0" applyFont="1"/>
    <xf numFmtId="0" fontId="16" fillId="0" borderId="0" xfId="0" applyFont="1" applyAlignment="1">
      <alignment wrapText="1"/>
    </xf>
    <xf numFmtId="0" fontId="18" fillId="0" borderId="0" xfId="43" applyFont="1" applyAlignment="1">
      <alignment wrapText="1"/>
    </xf>
    <xf numFmtId="0" fontId="19" fillId="14" borderId="0" xfId="23" applyFont="1" applyAlignment="1">
      <alignment wrapText="1"/>
    </xf>
    <xf numFmtId="0" fontId="21" fillId="33" borderId="0" xfId="0" applyFont="1" applyFill="1"/>
    <xf numFmtId="0" fontId="21" fillId="13" borderId="0" xfId="22" applyFont="1" applyAlignment="1">
      <alignment wrapText="1"/>
    </xf>
    <xf numFmtId="0" fontId="0" fillId="0" borderId="0" xfId="0" pivotButton="1"/>
    <xf numFmtId="0" fontId="0" fillId="0" borderId="0" xfId="0" applyAlignment="1">
      <alignment horizontal="left"/>
    </xf>
    <xf numFmtId="0" fontId="24" fillId="0" borderId="0" xfId="0" applyFont="1" applyAlignment="1">
      <alignment horizontal="left" vertical="center"/>
    </xf>
    <xf numFmtId="164" fontId="25" fillId="0" borderId="0" xfId="0" applyNumberFormat="1" applyFont="1" applyAlignment="1">
      <alignment horizontal="center"/>
    </xf>
    <xf numFmtId="0" fontId="27" fillId="41" borderId="0" xfId="0" applyFont="1" applyFill="1"/>
    <xf numFmtId="0" fontId="30" fillId="36" borderId="11" xfId="0" applyFont="1" applyFill="1" applyBorder="1" applyAlignment="1">
      <alignment horizontal="center" vertical="center"/>
    </xf>
    <xf numFmtId="0" fontId="31" fillId="39" borderId="11" xfId="0" applyFont="1" applyFill="1" applyBorder="1" applyAlignment="1">
      <alignment horizontal="left" vertical="center"/>
    </xf>
    <xf numFmtId="2" fontId="31" fillId="39" borderId="11" xfId="0" applyNumberFormat="1" applyFont="1" applyFill="1" applyBorder="1" applyAlignment="1">
      <alignment horizontal="center"/>
    </xf>
    <xf numFmtId="164" fontId="31" fillId="39" borderId="11" xfId="0" applyNumberFormat="1" applyFont="1" applyFill="1" applyBorder="1" applyAlignment="1">
      <alignment horizontal="center"/>
    </xf>
    <xf numFmtId="0" fontId="29" fillId="0" borderId="0" xfId="0" pivotButton="1" applyFont="1"/>
    <xf numFmtId="0" fontId="29" fillId="0" borderId="0" xfId="0" applyFont="1"/>
    <xf numFmtId="0" fontId="0" fillId="0" borderId="0" xfId="0" applyAlignment="1">
      <alignment vertical="center"/>
    </xf>
    <xf numFmtId="4" fontId="27" fillId="0" borderId="0" xfId="0" applyNumberFormat="1" applyFont="1" applyAlignment="1">
      <alignment horizontal="left"/>
    </xf>
    <xf numFmtId="4" fontId="27" fillId="0" borderId="0" xfId="0" applyNumberFormat="1" applyFont="1"/>
    <xf numFmtId="165" fontId="27" fillId="41" borderId="0" xfId="0" applyNumberFormat="1" applyFont="1" applyFill="1"/>
    <xf numFmtId="0" fontId="26" fillId="40" borderId="11" xfId="0" applyFont="1" applyFill="1" applyBorder="1" applyAlignment="1">
      <alignment horizontal="left" vertical="center"/>
    </xf>
    <xf numFmtId="2" fontId="26" fillId="40" borderId="11" xfId="0" applyNumberFormat="1" applyFont="1" applyFill="1" applyBorder="1" applyAlignment="1">
      <alignment horizontal="center"/>
    </xf>
    <xf numFmtId="164" fontId="26" fillId="40" borderId="11" xfId="0" applyNumberFormat="1" applyFont="1" applyFill="1" applyBorder="1" applyAlignment="1">
      <alignment horizontal="center"/>
    </xf>
    <xf numFmtId="0" fontId="26" fillId="44" borderId="11" xfId="0" applyFont="1" applyFill="1" applyBorder="1" applyAlignment="1">
      <alignment horizontal="left" vertical="center"/>
    </xf>
    <xf numFmtId="2" fontId="26" fillId="44" borderId="11" xfId="0" applyNumberFormat="1" applyFont="1" applyFill="1" applyBorder="1" applyAlignment="1">
      <alignment horizontal="center"/>
    </xf>
    <xf numFmtId="164" fontId="26" fillId="44" borderId="11" xfId="0" applyNumberFormat="1" applyFont="1" applyFill="1" applyBorder="1" applyAlignment="1">
      <alignment horizontal="center"/>
    </xf>
    <xf numFmtId="164" fontId="32" fillId="40" borderId="11" xfId="0" applyNumberFormat="1" applyFont="1" applyFill="1" applyBorder="1" applyAlignment="1">
      <alignment horizontal="center"/>
    </xf>
    <xf numFmtId="0" fontId="26" fillId="45" borderId="11" xfId="0" applyFont="1" applyFill="1" applyBorder="1" applyAlignment="1">
      <alignment horizontal="left" vertical="center"/>
    </xf>
    <xf numFmtId="164" fontId="32" fillId="45" borderId="11" xfId="0" applyNumberFormat="1" applyFont="1" applyFill="1" applyBorder="1" applyAlignment="1">
      <alignment horizontal="center"/>
    </xf>
    <xf numFmtId="0" fontId="33" fillId="47" borderId="0" xfId="0" applyFont="1" applyFill="1" applyAlignment="1">
      <alignment horizontal="left" vertical="center"/>
    </xf>
    <xf numFmtId="0" fontId="0" fillId="42" borderId="0" xfId="0" applyFill="1"/>
    <xf numFmtId="0" fontId="27" fillId="0" borderId="0" xfId="0" pivotButton="1" applyFont="1"/>
    <xf numFmtId="0" fontId="27" fillId="0" borderId="0" xfId="0" applyFont="1"/>
    <xf numFmtId="0" fontId="27" fillId="0" borderId="0" xfId="0" applyFont="1" applyAlignment="1">
      <alignment horizontal="left"/>
    </xf>
    <xf numFmtId="0" fontId="0" fillId="48" borderId="0" xfId="0" applyFill="1"/>
    <xf numFmtId="0" fontId="29" fillId="48" borderId="0" xfId="0" applyFont="1" applyFill="1"/>
    <xf numFmtId="10" fontId="27" fillId="41" borderId="0" xfId="0" applyNumberFormat="1" applyFont="1" applyFill="1"/>
    <xf numFmtId="0" fontId="27" fillId="41" borderId="0" xfId="0" applyFont="1" applyFill="1" applyAlignment="1">
      <alignment horizontal="left" vertical="center" wrapText="1"/>
    </xf>
    <xf numFmtId="0" fontId="26" fillId="43" borderId="0" xfId="0" applyFont="1" applyFill="1" applyAlignment="1">
      <alignment horizontal="left" vertical="center" wrapText="1"/>
    </xf>
    <xf numFmtId="0" fontId="26" fillId="38" borderId="0" xfId="0" applyFont="1" applyFill="1" applyAlignment="1">
      <alignment horizontal="left" vertical="center" wrapText="1"/>
    </xf>
    <xf numFmtId="0" fontId="23" fillId="37" borderId="0" xfId="0" applyFont="1" applyFill="1" applyAlignment="1">
      <alignment horizontal="left" vertical="center"/>
    </xf>
    <xf numFmtId="0" fontId="27" fillId="42" borderId="0" xfId="0" applyFont="1" applyFill="1" applyAlignment="1">
      <alignment horizontal="left" vertical="center" wrapText="1"/>
    </xf>
    <xf numFmtId="0" fontId="22" fillId="36" borderId="0" xfId="0" applyFont="1" applyFill="1" applyAlignment="1">
      <alignment horizontal="center" vertical="center"/>
    </xf>
    <xf numFmtId="0" fontId="28" fillId="37" borderId="0" xfId="0" applyFont="1" applyFill="1" applyAlignment="1">
      <alignment horizontal="center" vertical="center"/>
    </xf>
    <xf numFmtId="0" fontId="0" fillId="42" borderId="0" xfId="0" applyFill="1" applyAlignment="1">
      <alignment horizontal="left" vertical="center" wrapText="1"/>
    </xf>
    <xf numFmtId="14" fontId="27" fillId="46" borderId="0" xfId="0" applyNumberFormat="1" applyFont="1" applyFill="1" applyAlignment="1">
      <alignment horizontal="left" vertical="center" wrapText="1"/>
    </xf>
    <xf numFmtId="0" fontId="27" fillId="46" borderId="0" xfId="0" applyFont="1" applyFill="1" applyAlignment="1">
      <alignment horizontal="left" vertical="center" wrapText="1"/>
    </xf>
    <xf numFmtId="0" fontId="27" fillId="46" borderId="0" xfId="0" applyFont="1" applyFill="1" applyAlignment="1">
      <alignment horizontal="left" vertical="center"/>
    </xf>
    <xf numFmtId="0" fontId="30" fillId="36" borderId="0" xfId="0" applyFont="1" applyFill="1" applyAlignment="1">
      <alignment horizontal="center" vertical="center"/>
    </xf>
    <xf numFmtId="0" fontId="33" fillId="43" borderId="0" xfId="0" applyFont="1" applyFill="1" applyAlignment="1">
      <alignment horizontal="left" vertical="center"/>
    </xf>
    <xf numFmtId="0" fontId="27" fillId="39" borderId="0" xfId="0" applyFont="1" applyFill="1" applyAlignment="1">
      <alignment horizontal="left" vertical="center" wrapText="1"/>
    </xf>
    <xf numFmtId="0" fontId="33" fillId="47" borderId="0" xfId="0" applyFont="1" applyFill="1" applyAlignment="1">
      <alignment horizontal="left" vertical="center"/>
    </xf>
    <xf numFmtId="0" fontId="26" fillId="47" borderId="0" xfId="0" applyFont="1" applyFill="1" applyAlignment="1">
      <alignment horizontal="left" vertical="center" wrapText="1"/>
    </xf>
    <xf numFmtId="0" fontId="20" fillId="34" borderId="10" xfId="42" applyFont="1" applyFill="1" applyBorder="1" applyAlignment="1">
      <alignment horizontal="center" vertical="center"/>
    </xf>
    <xf numFmtId="0" fontId="20" fillId="34" borderId="0" xfId="42" applyFont="1" applyFill="1" applyAlignment="1">
      <alignment horizontal="center" vertical="center"/>
    </xf>
    <xf numFmtId="0" fontId="20" fillId="35" borderId="10" xfId="42" applyFont="1" applyFill="1" applyBorder="1" applyAlignment="1">
      <alignment horizontal="center" vertical="center"/>
    </xf>
    <xf numFmtId="0" fontId="20" fillId="35" borderId="0" xfId="42"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5784847-EB35-0F40-8267-B881941BD50B}"/>
    <cellStyle name="Normal 2 2" xfId="43" xr:uid="{B0F57022-88D3-E742-9E7C-1411A11CBD7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ill>
        <patternFill>
          <bgColor theme="5" tint="0.79998168889431442"/>
        </patternFill>
      </fill>
    </dxf>
    <dxf>
      <fill>
        <patternFill>
          <bgColor theme="5" tint="0.79998168889431442"/>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font>
        <sz val="11"/>
      </font>
    </dxf>
    <dxf>
      <font>
        <name val="Arial"/>
        <scheme val="none"/>
      </font>
    </dxf>
    <dxf>
      <numFmt numFmtId="1" formatCode="0"/>
    </dxf>
    <dxf>
      <numFmt numFmtId="19" formatCode="m/d/yy"/>
    </dxf>
    <dxf>
      <numFmt numFmtId="19" formatCode="m/d/yy"/>
    </dxf>
    <dxf>
      <numFmt numFmtId="0" formatCode="General"/>
    </dxf>
    <dxf>
      <numFmt numFmtId="0" formatCode="General"/>
    </dxf>
    <dxf>
      <numFmt numFmtId="19" formatCode="m/d/yy"/>
    </dxf>
    <dxf>
      <numFmt numFmtId="4" formatCode="#,##0.00"/>
    </dxf>
    <dxf>
      <numFmt numFmtId="4" formatCode="#,##0.00"/>
    </dxf>
    <dxf>
      <font>
        <b/>
      </font>
    </dxf>
    <dxf>
      <font>
        <b/>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s>
  <tableStyles count="0" defaultTableStyle="TableStyleMedium2" defaultPivotStyle="PivotStyleLight16"/>
  <colors>
    <mruColors>
      <color rgb="FF98DA74"/>
      <color rgb="FFCCFEFF"/>
      <color rgb="FF71D1EE"/>
      <color rgb="FFC3E8F3"/>
      <color rgb="FFFCF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i="0" u="none" strike="noStrike" baseline="0">
                <a:latin typeface="Arial" panose="020B0604020202020204" pitchFamily="34" charset="0"/>
                <a:cs typeface="Arial" panose="020B0604020202020204" pitchFamily="34" charset="0"/>
              </a:rPr>
              <a:t>Daily Visitors to Grammy.com Website</a:t>
            </a:r>
            <a:endParaRPr lang="en-US" sz="1400" b="1" i="0" baseline="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9B77-4249-A3A0-A9B57D4F1544}"/>
            </c:ext>
          </c:extLst>
        </c:ser>
        <c:dLbls>
          <c:showLegendKey val="0"/>
          <c:showVal val="0"/>
          <c:showCatName val="0"/>
          <c:showSerName val="0"/>
          <c:showPercent val="0"/>
          <c:showBubbleSize val="0"/>
        </c:dLbls>
        <c:smooth val="0"/>
        <c:axId val="534281056"/>
        <c:axId val="534063184"/>
      </c:lineChart>
      <c:dateAx>
        <c:axId val="5342810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100" b="1" i="0" baseline="0">
                    <a:latin typeface="Arial" panose="020B0604020202020204" pitchFamily="34" charset="0"/>
                    <a:cs typeface="Arial" panose="020B0604020202020204" pitchFamily="34" charset="0"/>
                  </a:rPr>
                  <a:t>Date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63184"/>
        <c:crosses val="autoZero"/>
        <c:auto val="1"/>
        <c:lblOffset val="100"/>
        <c:baseTimeUnit val="days"/>
      </c:dateAx>
      <c:valAx>
        <c:axId val="53406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100" b="1" i="0" baseline="0">
                    <a:latin typeface="Arial" panose="020B0604020202020204" pitchFamily="34" charset="0"/>
                    <a:cs typeface="Arial" panose="020B0604020202020204" pitchFamily="34" charset="0"/>
                  </a:rPr>
                  <a:t>Number Of Visitors (Millions)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281056"/>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14111</xdr:colOff>
      <xdr:row>10</xdr:row>
      <xdr:rowOff>169332</xdr:rowOff>
    </xdr:from>
    <xdr:to>
      <xdr:col>7</xdr:col>
      <xdr:colOff>0</xdr:colOff>
      <xdr:row>28</xdr:row>
      <xdr:rowOff>197555</xdr:rowOff>
    </xdr:to>
    <xdr:graphicFrame macro="">
      <xdr:nvGraphicFramePr>
        <xdr:cNvPr id="2" name="Chart 1">
          <a:extLst>
            <a:ext uri="{FF2B5EF4-FFF2-40B4-BE49-F238E27FC236}">
              <a16:creationId xmlns:a16="http://schemas.microsoft.com/office/drawing/2014/main" id="{A26AA36F-71CF-5842-8FC7-2A2CD959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rishna Varshith Danda" refreshedDate="45935.424570949071" createdVersion="8" refreshedVersion="8" minRefreshableVersion="3" recordCount="2342" xr:uid="{CC25CF5D-CDA6-1E49-9886-E573A202352E}">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rishna Varshith Danda" refreshedDate="45935.576960300925" createdVersion="8" refreshedVersion="8" minRefreshableVersion="3" recordCount="7896" xr:uid="{A2DC65EB-B7F3-D34E-9789-1E2DD5DEB9D4}">
  <cacheSource type="worksheet">
    <worksheetSource name="ABTest"/>
  </cacheSource>
  <cacheFields count="3">
    <cacheField name="website version" numFmtId="0">
      <sharedItems count="2">
        <s v="websites combined"/>
        <s v="websites split"/>
      </sharedItems>
    </cacheField>
    <cacheField name="group" numFmtId="0">
      <sharedItems count="2">
        <s v="control"/>
        <s v="test"/>
      </sharedItems>
    </cacheField>
    <cacheField name="CTA click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x v="0"/>
    <x v="0"/>
  </r>
  <r>
    <x v="0"/>
    <x v="0"/>
    <x v="0"/>
  </r>
  <r>
    <x v="1"/>
    <x v="1"/>
    <x v="0"/>
  </r>
  <r>
    <x v="0"/>
    <x v="0"/>
    <x v="0"/>
  </r>
  <r>
    <x v="0"/>
    <x v="0"/>
    <x v="0"/>
  </r>
  <r>
    <x v="0"/>
    <x v="0"/>
    <x v="0"/>
  </r>
  <r>
    <x v="0"/>
    <x v="0"/>
    <x v="0"/>
  </r>
  <r>
    <x v="1"/>
    <x v="1"/>
    <x v="0"/>
  </r>
  <r>
    <x v="0"/>
    <x v="0"/>
    <x v="0"/>
  </r>
  <r>
    <x v="0"/>
    <x v="0"/>
    <x v="0"/>
  </r>
  <r>
    <x v="0"/>
    <x v="0"/>
    <x v="0"/>
  </r>
  <r>
    <x v="1"/>
    <x v="1"/>
    <x v="0"/>
  </r>
  <r>
    <x v="1"/>
    <x v="1"/>
    <x v="0"/>
  </r>
  <r>
    <x v="1"/>
    <x v="1"/>
    <x v="0"/>
  </r>
  <r>
    <x v="0"/>
    <x v="0"/>
    <x v="0"/>
  </r>
  <r>
    <x v="0"/>
    <x v="0"/>
    <x v="0"/>
  </r>
  <r>
    <x v="1"/>
    <x v="1"/>
    <x v="0"/>
  </r>
  <r>
    <x v="0"/>
    <x v="0"/>
    <x v="0"/>
  </r>
  <r>
    <x v="1"/>
    <x v="1"/>
    <x v="0"/>
  </r>
  <r>
    <x v="1"/>
    <x v="1"/>
    <x v="0"/>
  </r>
  <r>
    <x v="0"/>
    <x v="0"/>
    <x v="1"/>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0"/>
    <x v="0"/>
    <x v="0"/>
  </r>
  <r>
    <x v="0"/>
    <x v="0"/>
    <x v="0"/>
  </r>
  <r>
    <x v="0"/>
    <x v="0"/>
    <x v="0"/>
  </r>
  <r>
    <x v="0"/>
    <x v="0"/>
    <x v="0"/>
  </r>
  <r>
    <x v="1"/>
    <x v="1"/>
    <x v="0"/>
  </r>
  <r>
    <x v="1"/>
    <x v="1"/>
    <x v="0"/>
  </r>
  <r>
    <x v="1"/>
    <x v="1"/>
    <x v="0"/>
  </r>
  <r>
    <x v="0"/>
    <x v="0"/>
    <x v="0"/>
  </r>
  <r>
    <x v="0"/>
    <x v="0"/>
    <x v="0"/>
  </r>
  <r>
    <x v="0"/>
    <x v="0"/>
    <x v="0"/>
  </r>
  <r>
    <x v="1"/>
    <x v="1"/>
    <x v="0"/>
  </r>
  <r>
    <x v="1"/>
    <x v="1"/>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1"/>
    <x v="1"/>
    <x v="0"/>
  </r>
  <r>
    <x v="0"/>
    <x v="0"/>
    <x v="0"/>
  </r>
  <r>
    <x v="1"/>
    <x v="1"/>
    <x v="0"/>
  </r>
  <r>
    <x v="1"/>
    <x v="1"/>
    <x v="0"/>
  </r>
  <r>
    <x v="1"/>
    <x v="1"/>
    <x v="0"/>
  </r>
  <r>
    <x v="1"/>
    <x v="1"/>
    <x v="0"/>
  </r>
  <r>
    <x v="0"/>
    <x v="0"/>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0"/>
  </r>
  <r>
    <x v="1"/>
    <x v="1"/>
    <x v="1"/>
  </r>
  <r>
    <x v="1"/>
    <x v="1"/>
    <x v="0"/>
  </r>
  <r>
    <x v="1"/>
    <x v="1"/>
    <x v="0"/>
  </r>
  <r>
    <x v="1"/>
    <x v="1"/>
    <x v="0"/>
  </r>
  <r>
    <x v="0"/>
    <x v="0"/>
    <x v="0"/>
  </r>
  <r>
    <x v="0"/>
    <x v="0"/>
    <x v="0"/>
  </r>
  <r>
    <x v="1"/>
    <x v="1"/>
    <x v="0"/>
  </r>
  <r>
    <x v="0"/>
    <x v="0"/>
    <x v="0"/>
  </r>
  <r>
    <x v="1"/>
    <x v="1"/>
    <x v="0"/>
  </r>
  <r>
    <x v="1"/>
    <x v="1"/>
    <x v="0"/>
  </r>
  <r>
    <x v="1"/>
    <x v="1"/>
    <x v="0"/>
  </r>
  <r>
    <x v="0"/>
    <x v="0"/>
    <x v="0"/>
  </r>
  <r>
    <x v="1"/>
    <x v="1"/>
    <x v="0"/>
  </r>
  <r>
    <x v="1"/>
    <x v="1"/>
    <x v="0"/>
  </r>
  <r>
    <x v="1"/>
    <x v="1"/>
    <x v="0"/>
  </r>
  <r>
    <x v="0"/>
    <x v="0"/>
    <x v="0"/>
  </r>
  <r>
    <x v="0"/>
    <x v="0"/>
    <x v="0"/>
  </r>
  <r>
    <x v="0"/>
    <x v="0"/>
    <x v="0"/>
  </r>
  <r>
    <x v="1"/>
    <x v="1"/>
    <x v="0"/>
  </r>
  <r>
    <x v="1"/>
    <x v="1"/>
    <x v="0"/>
  </r>
  <r>
    <x v="1"/>
    <x v="1"/>
    <x v="0"/>
  </r>
  <r>
    <x v="0"/>
    <x v="0"/>
    <x v="0"/>
  </r>
  <r>
    <x v="1"/>
    <x v="1"/>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1"/>
    <x v="1"/>
    <x v="0"/>
  </r>
  <r>
    <x v="1"/>
    <x v="1"/>
    <x v="0"/>
  </r>
  <r>
    <x v="1"/>
    <x v="1"/>
    <x v="0"/>
  </r>
  <r>
    <x v="0"/>
    <x v="0"/>
    <x v="0"/>
  </r>
  <r>
    <x v="0"/>
    <x v="0"/>
    <x v="0"/>
  </r>
  <r>
    <x v="0"/>
    <x v="0"/>
    <x v="1"/>
  </r>
  <r>
    <x v="0"/>
    <x v="0"/>
    <x v="0"/>
  </r>
  <r>
    <x v="0"/>
    <x v="0"/>
    <x v="0"/>
  </r>
  <r>
    <x v="1"/>
    <x v="1"/>
    <x v="0"/>
  </r>
  <r>
    <x v="0"/>
    <x v="0"/>
    <x v="0"/>
  </r>
  <r>
    <x v="0"/>
    <x v="0"/>
    <x v="1"/>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0"/>
    <x v="0"/>
    <x v="0"/>
  </r>
  <r>
    <x v="0"/>
    <x v="0"/>
    <x v="0"/>
  </r>
  <r>
    <x v="1"/>
    <x v="1"/>
    <x v="0"/>
  </r>
  <r>
    <x v="1"/>
    <x v="1"/>
    <x v="0"/>
  </r>
  <r>
    <x v="1"/>
    <x v="1"/>
    <x v="0"/>
  </r>
  <r>
    <x v="0"/>
    <x v="0"/>
    <x v="0"/>
  </r>
  <r>
    <x v="1"/>
    <x v="1"/>
    <x v="1"/>
  </r>
  <r>
    <x v="1"/>
    <x v="1"/>
    <x v="0"/>
  </r>
  <r>
    <x v="0"/>
    <x v="0"/>
    <x v="0"/>
  </r>
  <r>
    <x v="1"/>
    <x v="1"/>
    <x v="0"/>
  </r>
  <r>
    <x v="1"/>
    <x v="1"/>
    <x v="0"/>
  </r>
  <r>
    <x v="0"/>
    <x v="0"/>
    <x v="0"/>
  </r>
  <r>
    <x v="0"/>
    <x v="0"/>
    <x v="0"/>
  </r>
  <r>
    <x v="1"/>
    <x v="1"/>
    <x v="0"/>
  </r>
  <r>
    <x v="0"/>
    <x v="0"/>
    <x v="0"/>
  </r>
  <r>
    <x v="0"/>
    <x v="0"/>
    <x v="0"/>
  </r>
  <r>
    <x v="0"/>
    <x v="0"/>
    <x v="0"/>
  </r>
  <r>
    <x v="1"/>
    <x v="1"/>
    <x v="0"/>
  </r>
  <r>
    <x v="1"/>
    <x v="1"/>
    <x v="0"/>
  </r>
  <r>
    <x v="1"/>
    <x v="1"/>
    <x v="0"/>
  </r>
  <r>
    <x v="0"/>
    <x v="0"/>
    <x v="0"/>
  </r>
  <r>
    <x v="0"/>
    <x v="0"/>
    <x v="0"/>
  </r>
  <r>
    <x v="0"/>
    <x v="0"/>
    <x v="0"/>
  </r>
  <r>
    <x v="0"/>
    <x v="0"/>
    <x v="0"/>
  </r>
  <r>
    <x v="0"/>
    <x v="0"/>
    <x v="0"/>
  </r>
  <r>
    <x v="0"/>
    <x v="0"/>
    <x v="0"/>
  </r>
  <r>
    <x v="0"/>
    <x v="0"/>
    <x v="0"/>
  </r>
  <r>
    <x v="1"/>
    <x v="1"/>
    <x v="0"/>
  </r>
  <r>
    <x v="0"/>
    <x v="0"/>
    <x v="0"/>
  </r>
  <r>
    <x v="0"/>
    <x v="0"/>
    <x v="0"/>
  </r>
  <r>
    <x v="0"/>
    <x v="0"/>
    <x v="0"/>
  </r>
  <r>
    <x v="0"/>
    <x v="0"/>
    <x v="0"/>
  </r>
  <r>
    <x v="1"/>
    <x v="1"/>
    <x v="1"/>
  </r>
  <r>
    <x v="1"/>
    <x v="1"/>
    <x v="0"/>
  </r>
  <r>
    <x v="1"/>
    <x v="1"/>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0"/>
    <x v="0"/>
    <x v="0"/>
  </r>
  <r>
    <x v="0"/>
    <x v="0"/>
    <x v="0"/>
  </r>
  <r>
    <x v="0"/>
    <x v="0"/>
    <x v="0"/>
  </r>
  <r>
    <x v="1"/>
    <x v="1"/>
    <x v="0"/>
  </r>
  <r>
    <x v="0"/>
    <x v="0"/>
    <x v="0"/>
  </r>
  <r>
    <x v="0"/>
    <x v="0"/>
    <x v="1"/>
  </r>
  <r>
    <x v="0"/>
    <x v="0"/>
    <x v="0"/>
  </r>
  <r>
    <x v="1"/>
    <x v="1"/>
    <x v="0"/>
  </r>
  <r>
    <x v="0"/>
    <x v="0"/>
    <x v="0"/>
  </r>
  <r>
    <x v="1"/>
    <x v="1"/>
    <x v="0"/>
  </r>
  <r>
    <x v="1"/>
    <x v="1"/>
    <x v="1"/>
  </r>
  <r>
    <x v="0"/>
    <x v="0"/>
    <x v="0"/>
  </r>
  <r>
    <x v="0"/>
    <x v="0"/>
    <x v="0"/>
  </r>
  <r>
    <x v="1"/>
    <x v="1"/>
    <x v="0"/>
  </r>
  <r>
    <x v="1"/>
    <x v="1"/>
    <x v="0"/>
  </r>
  <r>
    <x v="1"/>
    <x v="1"/>
    <x v="0"/>
  </r>
  <r>
    <x v="1"/>
    <x v="1"/>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1"/>
    <x v="1"/>
    <x v="0"/>
  </r>
  <r>
    <x v="1"/>
    <x v="1"/>
    <x v="0"/>
  </r>
  <r>
    <x v="1"/>
    <x v="1"/>
    <x v="0"/>
  </r>
  <r>
    <x v="1"/>
    <x v="1"/>
    <x v="1"/>
  </r>
  <r>
    <x v="1"/>
    <x v="1"/>
    <x v="1"/>
  </r>
  <r>
    <x v="0"/>
    <x v="0"/>
    <x v="0"/>
  </r>
  <r>
    <x v="0"/>
    <x v="0"/>
    <x v="0"/>
  </r>
  <r>
    <x v="1"/>
    <x v="1"/>
    <x v="0"/>
  </r>
  <r>
    <x v="1"/>
    <x v="1"/>
    <x v="0"/>
  </r>
  <r>
    <x v="0"/>
    <x v="0"/>
    <x v="0"/>
  </r>
  <r>
    <x v="0"/>
    <x v="0"/>
    <x v="0"/>
  </r>
  <r>
    <x v="1"/>
    <x v="1"/>
    <x v="0"/>
  </r>
  <r>
    <x v="1"/>
    <x v="1"/>
    <x v="0"/>
  </r>
  <r>
    <x v="1"/>
    <x v="1"/>
    <x v="0"/>
  </r>
  <r>
    <x v="0"/>
    <x v="0"/>
    <x v="0"/>
  </r>
  <r>
    <x v="0"/>
    <x v="0"/>
    <x v="0"/>
  </r>
  <r>
    <x v="1"/>
    <x v="1"/>
    <x v="0"/>
  </r>
  <r>
    <x v="0"/>
    <x v="0"/>
    <x v="0"/>
  </r>
  <r>
    <x v="1"/>
    <x v="1"/>
    <x v="0"/>
  </r>
  <r>
    <x v="1"/>
    <x v="1"/>
    <x v="0"/>
  </r>
  <r>
    <x v="0"/>
    <x v="0"/>
    <x v="0"/>
  </r>
  <r>
    <x v="0"/>
    <x v="0"/>
    <x v="0"/>
  </r>
  <r>
    <x v="0"/>
    <x v="0"/>
    <x v="0"/>
  </r>
  <r>
    <x v="1"/>
    <x v="1"/>
    <x v="0"/>
  </r>
  <r>
    <x v="1"/>
    <x v="1"/>
    <x v="0"/>
  </r>
  <r>
    <x v="0"/>
    <x v="0"/>
    <x v="0"/>
  </r>
  <r>
    <x v="1"/>
    <x v="1"/>
    <x v="0"/>
  </r>
  <r>
    <x v="0"/>
    <x v="0"/>
    <x v="0"/>
  </r>
  <r>
    <x v="1"/>
    <x v="1"/>
    <x v="0"/>
  </r>
  <r>
    <x v="1"/>
    <x v="1"/>
    <x v="0"/>
  </r>
  <r>
    <x v="1"/>
    <x v="1"/>
    <x v="0"/>
  </r>
  <r>
    <x v="1"/>
    <x v="1"/>
    <x v="0"/>
  </r>
  <r>
    <x v="0"/>
    <x v="0"/>
    <x v="0"/>
  </r>
  <r>
    <x v="1"/>
    <x v="1"/>
    <x v="0"/>
  </r>
  <r>
    <x v="1"/>
    <x v="1"/>
    <x v="0"/>
  </r>
  <r>
    <x v="0"/>
    <x v="0"/>
    <x v="0"/>
  </r>
  <r>
    <x v="0"/>
    <x v="0"/>
    <x v="0"/>
  </r>
  <r>
    <x v="1"/>
    <x v="1"/>
    <x v="0"/>
  </r>
  <r>
    <x v="0"/>
    <x v="0"/>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0"/>
    <x v="0"/>
    <x v="0"/>
  </r>
  <r>
    <x v="0"/>
    <x v="0"/>
    <x v="0"/>
  </r>
  <r>
    <x v="1"/>
    <x v="1"/>
    <x v="0"/>
  </r>
  <r>
    <x v="1"/>
    <x v="1"/>
    <x v="0"/>
  </r>
  <r>
    <x v="1"/>
    <x v="1"/>
    <x v="0"/>
  </r>
  <r>
    <x v="0"/>
    <x v="0"/>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1"/>
    <x v="1"/>
    <x v="0"/>
  </r>
  <r>
    <x v="0"/>
    <x v="0"/>
    <x v="1"/>
  </r>
  <r>
    <x v="1"/>
    <x v="1"/>
    <x v="0"/>
  </r>
  <r>
    <x v="1"/>
    <x v="1"/>
    <x v="0"/>
  </r>
  <r>
    <x v="1"/>
    <x v="1"/>
    <x v="0"/>
  </r>
  <r>
    <x v="0"/>
    <x v="0"/>
    <x v="0"/>
  </r>
  <r>
    <x v="1"/>
    <x v="1"/>
    <x v="0"/>
  </r>
  <r>
    <x v="1"/>
    <x v="1"/>
    <x v="0"/>
  </r>
  <r>
    <x v="1"/>
    <x v="1"/>
    <x v="0"/>
  </r>
  <r>
    <x v="0"/>
    <x v="0"/>
    <x v="1"/>
  </r>
  <r>
    <x v="1"/>
    <x v="1"/>
    <x v="0"/>
  </r>
  <r>
    <x v="0"/>
    <x v="0"/>
    <x v="0"/>
  </r>
  <r>
    <x v="0"/>
    <x v="0"/>
    <x v="0"/>
  </r>
  <r>
    <x v="1"/>
    <x v="1"/>
    <x v="0"/>
  </r>
  <r>
    <x v="1"/>
    <x v="1"/>
    <x v="0"/>
  </r>
  <r>
    <x v="1"/>
    <x v="1"/>
    <x v="0"/>
  </r>
  <r>
    <x v="0"/>
    <x v="0"/>
    <x v="0"/>
  </r>
  <r>
    <x v="0"/>
    <x v="0"/>
    <x v="1"/>
  </r>
  <r>
    <x v="1"/>
    <x v="1"/>
    <x v="0"/>
  </r>
  <r>
    <x v="1"/>
    <x v="1"/>
    <x v="0"/>
  </r>
  <r>
    <x v="1"/>
    <x v="1"/>
    <x v="0"/>
  </r>
  <r>
    <x v="0"/>
    <x v="0"/>
    <x v="0"/>
  </r>
  <r>
    <x v="1"/>
    <x v="1"/>
    <x v="0"/>
  </r>
  <r>
    <x v="0"/>
    <x v="0"/>
    <x v="0"/>
  </r>
  <r>
    <x v="0"/>
    <x v="0"/>
    <x v="0"/>
  </r>
  <r>
    <x v="0"/>
    <x v="0"/>
    <x v="0"/>
  </r>
  <r>
    <x v="0"/>
    <x v="0"/>
    <x v="0"/>
  </r>
  <r>
    <x v="1"/>
    <x v="1"/>
    <x v="0"/>
  </r>
  <r>
    <x v="1"/>
    <x v="1"/>
    <x v="0"/>
  </r>
  <r>
    <x v="1"/>
    <x v="1"/>
    <x v="0"/>
  </r>
  <r>
    <x v="0"/>
    <x v="0"/>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1"/>
    <x v="1"/>
    <x v="0"/>
  </r>
  <r>
    <x v="0"/>
    <x v="0"/>
    <x v="0"/>
  </r>
  <r>
    <x v="0"/>
    <x v="0"/>
    <x v="0"/>
  </r>
  <r>
    <x v="1"/>
    <x v="1"/>
    <x v="0"/>
  </r>
  <r>
    <x v="0"/>
    <x v="0"/>
    <x v="0"/>
  </r>
  <r>
    <x v="1"/>
    <x v="1"/>
    <x v="0"/>
  </r>
  <r>
    <x v="1"/>
    <x v="1"/>
    <x v="0"/>
  </r>
  <r>
    <x v="0"/>
    <x v="0"/>
    <x v="0"/>
  </r>
  <r>
    <x v="0"/>
    <x v="0"/>
    <x v="0"/>
  </r>
  <r>
    <x v="1"/>
    <x v="1"/>
    <x v="0"/>
  </r>
  <r>
    <x v="1"/>
    <x v="1"/>
    <x v="0"/>
  </r>
  <r>
    <x v="0"/>
    <x v="0"/>
    <x v="0"/>
  </r>
  <r>
    <x v="0"/>
    <x v="0"/>
    <x v="0"/>
  </r>
  <r>
    <x v="0"/>
    <x v="0"/>
    <x v="0"/>
  </r>
  <r>
    <x v="0"/>
    <x v="0"/>
    <x v="0"/>
  </r>
  <r>
    <x v="0"/>
    <x v="0"/>
    <x v="0"/>
  </r>
  <r>
    <x v="0"/>
    <x v="0"/>
    <x v="0"/>
  </r>
  <r>
    <x v="1"/>
    <x v="1"/>
    <x v="0"/>
  </r>
  <r>
    <x v="1"/>
    <x v="1"/>
    <x v="0"/>
  </r>
  <r>
    <x v="0"/>
    <x v="0"/>
    <x v="0"/>
  </r>
  <r>
    <x v="0"/>
    <x v="0"/>
    <x v="0"/>
  </r>
  <r>
    <x v="1"/>
    <x v="1"/>
    <x v="0"/>
  </r>
  <r>
    <x v="1"/>
    <x v="1"/>
    <x v="0"/>
  </r>
  <r>
    <x v="1"/>
    <x v="1"/>
    <x v="0"/>
  </r>
  <r>
    <x v="0"/>
    <x v="0"/>
    <x v="0"/>
  </r>
  <r>
    <x v="1"/>
    <x v="1"/>
    <x v="0"/>
  </r>
  <r>
    <x v="0"/>
    <x v="0"/>
    <x v="0"/>
  </r>
  <r>
    <x v="0"/>
    <x v="0"/>
    <x v="0"/>
  </r>
  <r>
    <x v="1"/>
    <x v="1"/>
    <x v="0"/>
  </r>
  <r>
    <x v="1"/>
    <x v="1"/>
    <x v="0"/>
  </r>
  <r>
    <x v="0"/>
    <x v="0"/>
    <x v="0"/>
  </r>
  <r>
    <x v="0"/>
    <x v="0"/>
    <x v="0"/>
  </r>
  <r>
    <x v="1"/>
    <x v="1"/>
    <x v="0"/>
  </r>
  <r>
    <x v="0"/>
    <x v="0"/>
    <x v="0"/>
  </r>
  <r>
    <x v="1"/>
    <x v="1"/>
    <x v="0"/>
  </r>
  <r>
    <x v="0"/>
    <x v="0"/>
    <x v="0"/>
  </r>
  <r>
    <x v="0"/>
    <x v="0"/>
    <x v="0"/>
  </r>
  <r>
    <x v="1"/>
    <x v="1"/>
    <x v="0"/>
  </r>
  <r>
    <x v="0"/>
    <x v="0"/>
    <x v="0"/>
  </r>
  <r>
    <x v="1"/>
    <x v="1"/>
    <x v="0"/>
  </r>
  <r>
    <x v="0"/>
    <x v="0"/>
    <x v="0"/>
  </r>
  <r>
    <x v="1"/>
    <x v="1"/>
    <x v="0"/>
  </r>
  <r>
    <x v="0"/>
    <x v="0"/>
    <x v="0"/>
  </r>
  <r>
    <x v="0"/>
    <x v="0"/>
    <x v="0"/>
  </r>
  <r>
    <x v="1"/>
    <x v="1"/>
    <x v="0"/>
  </r>
  <r>
    <x v="1"/>
    <x v="1"/>
    <x v="0"/>
  </r>
  <r>
    <x v="1"/>
    <x v="1"/>
    <x v="0"/>
  </r>
  <r>
    <x v="0"/>
    <x v="0"/>
    <x v="0"/>
  </r>
  <r>
    <x v="1"/>
    <x v="1"/>
    <x v="0"/>
  </r>
  <r>
    <x v="0"/>
    <x v="0"/>
    <x v="0"/>
  </r>
  <r>
    <x v="1"/>
    <x v="1"/>
    <x v="0"/>
  </r>
  <r>
    <x v="1"/>
    <x v="1"/>
    <x v="0"/>
  </r>
  <r>
    <x v="1"/>
    <x v="1"/>
    <x v="0"/>
  </r>
  <r>
    <x v="1"/>
    <x v="1"/>
    <x v="0"/>
  </r>
  <r>
    <x v="1"/>
    <x v="1"/>
    <x v="0"/>
  </r>
  <r>
    <x v="1"/>
    <x v="1"/>
    <x v="0"/>
  </r>
  <r>
    <x v="1"/>
    <x v="1"/>
    <x v="0"/>
  </r>
  <r>
    <x v="1"/>
    <x v="1"/>
    <x v="0"/>
  </r>
  <r>
    <x v="0"/>
    <x v="0"/>
    <x v="1"/>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1"/>
    <x v="1"/>
    <x v="0"/>
  </r>
  <r>
    <x v="0"/>
    <x v="0"/>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0"/>
  </r>
  <r>
    <x v="0"/>
    <x v="0"/>
    <x v="0"/>
  </r>
  <r>
    <x v="1"/>
    <x v="1"/>
    <x v="1"/>
  </r>
  <r>
    <x v="1"/>
    <x v="1"/>
    <x v="1"/>
  </r>
  <r>
    <x v="1"/>
    <x v="1"/>
    <x v="0"/>
  </r>
  <r>
    <x v="0"/>
    <x v="0"/>
    <x v="0"/>
  </r>
  <r>
    <x v="0"/>
    <x v="0"/>
    <x v="0"/>
  </r>
  <r>
    <x v="0"/>
    <x v="0"/>
    <x v="0"/>
  </r>
  <r>
    <x v="1"/>
    <x v="1"/>
    <x v="0"/>
  </r>
  <r>
    <x v="1"/>
    <x v="1"/>
    <x v="0"/>
  </r>
  <r>
    <x v="1"/>
    <x v="1"/>
    <x v="0"/>
  </r>
  <r>
    <x v="1"/>
    <x v="1"/>
    <x v="0"/>
  </r>
  <r>
    <x v="1"/>
    <x v="1"/>
    <x v="0"/>
  </r>
  <r>
    <x v="1"/>
    <x v="1"/>
    <x v="1"/>
  </r>
  <r>
    <x v="1"/>
    <x v="1"/>
    <x v="1"/>
  </r>
  <r>
    <x v="1"/>
    <x v="1"/>
    <x v="0"/>
  </r>
  <r>
    <x v="1"/>
    <x v="1"/>
    <x v="0"/>
  </r>
  <r>
    <x v="1"/>
    <x v="1"/>
    <x v="0"/>
  </r>
  <r>
    <x v="1"/>
    <x v="1"/>
    <x v="0"/>
  </r>
  <r>
    <x v="0"/>
    <x v="0"/>
    <x v="0"/>
  </r>
  <r>
    <x v="0"/>
    <x v="0"/>
    <x v="0"/>
  </r>
  <r>
    <x v="1"/>
    <x v="1"/>
    <x v="0"/>
  </r>
  <r>
    <x v="1"/>
    <x v="1"/>
    <x v="0"/>
  </r>
  <r>
    <x v="1"/>
    <x v="1"/>
    <x v="1"/>
  </r>
  <r>
    <x v="1"/>
    <x v="1"/>
    <x v="1"/>
  </r>
  <r>
    <x v="1"/>
    <x v="1"/>
    <x v="0"/>
  </r>
  <r>
    <x v="0"/>
    <x v="0"/>
    <x v="0"/>
  </r>
  <r>
    <x v="1"/>
    <x v="1"/>
    <x v="0"/>
  </r>
  <r>
    <x v="1"/>
    <x v="1"/>
    <x v="0"/>
  </r>
  <r>
    <x v="0"/>
    <x v="0"/>
    <x v="0"/>
  </r>
  <r>
    <x v="0"/>
    <x v="0"/>
    <x v="0"/>
  </r>
  <r>
    <x v="1"/>
    <x v="1"/>
    <x v="0"/>
  </r>
  <r>
    <x v="0"/>
    <x v="0"/>
    <x v="0"/>
  </r>
  <r>
    <x v="0"/>
    <x v="0"/>
    <x v="0"/>
  </r>
  <r>
    <x v="1"/>
    <x v="1"/>
    <x v="0"/>
  </r>
  <r>
    <x v="0"/>
    <x v="0"/>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1"/>
    <x v="1"/>
    <x v="0"/>
  </r>
  <r>
    <x v="0"/>
    <x v="0"/>
    <x v="0"/>
  </r>
  <r>
    <x v="1"/>
    <x v="1"/>
    <x v="0"/>
  </r>
  <r>
    <x v="0"/>
    <x v="0"/>
    <x v="0"/>
  </r>
  <r>
    <x v="1"/>
    <x v="1"/>
    <x v="0"/>
  </r>
  <r>
    <x v="1"/>
    <x v="1"/>
    <x v="0"/>
  </r>
  <r>
    <x v="1"/>
    <x v="1"/>
    <x v="0"/>
  </r>
  <r>
    <x v="1"/>
    <x v="1"/>
    <x v="0"/>
  </r>
  <r>
    <x v="0"/>
    <x v="0"/>
    <x v="0"/>
  </r>
  <r>
    <x v="1"/>
    <x v="1"/>
    <x v="0"/>
  </r>
  <r>
    <x v="1"/>
    <x v="1"/>
    <x v="0"/>
  </r>
  <r>
    <x v="1"/>
    <x v="1"/>
    <x v="0"/>
  </r>
  <r>
    <x v="1"/>
    <x v="1"/>
    <x v="0"/>
  </r>
  <r>
    <x v="1"/>
    <x v="1"/>
    <x v="0"/>
  </r>
  <r>
    <x v="1"/>
    <x v="1"/>
    <x v="0"/>
  </r>
  <r>
    <x v="0"/>
    <x v="0"/>
    <x v="0"/>
  </r>
  <r>
    <x v="0"/>
    <x v="0"/>
    <x v="0"/>
  </r>
  <r>
    <x v="0"/>
    <x v="0"/>
    <x v="1"/>
  </r>
  <r>
    <x v="0"/>
    <x v="0"/>
    <x v="0"/>
  </r>
  <r>
    <x v="1"/>
    <x v="1"/>
    <x v="0"/>
  </r>
  <r>
    <x v="1"/>
    <x v="1"/>
    <x v="0"/>
  </r>
  <r>
    <x v="0"/>
    <x v="0"/>
    <x v="0"/>
  </r>
  <r>
    <x v="1"/>
    <x v="1"/>
    <x v="0"/>
  </r>
  <r>
    <x v="0"/>
    <x v="0"/>
    <x v="0"/>
  </r>
  <r>
    <x v="1"/>
    <x v="1"/>
    <x v="0"/>
  </r>
  <r>
    <x v="0"/>
    <x v="0"/>
    <x v="0"/>
  </r>
  <r>
    <x v="1"/>
    <x v="1"/>
    <x v="0"/>
  </r>
  <r>
    <x v="0"/>
    <x v="0"/>
    <x v="0"/>
  </r>
  <r>
    <x v="0"/>
    <x v="0"/>
    <x v="0"/>
  </r>
  <r>
    <x v="0"/>
    <x v="0"/>
    <x v="0"/>
  </r>
  <r>
    <x v="0"/>
    <x v="0"/>
    <x v="0"/>
  </r>
  <r>
    <x v="1"/>
    <x v="1"/>
    <x v="0"/>
  </r>
  <r>
    <x v="1"/>
    <x v="1"/>
    <x v="0"/>
  </r>
  <r>
    <x v="1"/>
    <x v="1"/>
    <x v="0"/>
  </r>
  <r>
    <x v="0"/>
    <x v="0"/>
    <x v="0"/>
  </r>
  <r>
    <x v="0"/>
    <x v="0"/>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1"/>
    <x v="1"/>
    <x v="0"/>
  </r>
  <r>
    <x v="0"/>
    <x v="0"/>
    <x v="0"/>
  </r>
  <r>
    <x v="1"/>
    <x v="1"/>
    <x v="0"/>
  </r>
  <r>
    <x v="0"/>
    <x v="0"/>
    <x v="0"/>
  </r>
  <r>
    <x v="0"/>
    <x v="0"/>
    <x v="0"/>
  </r>
  <r>
    <x v="1"/>
    <x v="1"/>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0"/>
    <x v="0"/>
    <x v="0"/>
  </r>
  <r>
    <x v="1"/>
    <x v="1"/>
    <x v="0"/>
  </r>
  <r>
    <x v="1"/>
    <x v="1"/>
    <x v="0"/>
  </r>
  <r>
    <x v="0"/>
    <x v="0"/>
    <x v="0"/>
  </r>
  <r>
    <x v="0"/>
    <x v="0"/>
    <x v="0"/>
  </r>
  <r>
    <x v="1"/>
    <x v="1"/>
    <x v="0"/>
  </r>
  <r>
    <x v="1"/>
    <x v="1"/>
    <x v="0"/>
  </r>
  <r>
    <x v="0"/>
    <x v="0"/>
    <x v="0"/>
  </r>
  <r>
    <x v="1"/>
    <x v="1"/>
    <x v="0"/>
  </r>
  <r>
    <x v="0"/>
    <x v="0"/>
    <x v="0"/>
  </r>
  <r>
    <x v="1"/>
    <x v="1"/>
    <x v="0"/>
  </r>
  <r>
    <x v="1"/>
    <x v="1"/>
    <x v="0"/>
  </r>
  <r>
    <x v="1"/>
    <x v="1"/>
    <x v="0"/>
  </r>
  <r>
    <x v="0"/>
    <x v="0"/>
    <x v="0"/>
  </r>
  <r>
    <x v="1"/>
    <x v="1"/>
    <x v="1"/>
  </r>
  <r>
    <x v="0"/>
    <x v="0"/>
    <x v="0"/>
  </r>
  <r>
    <x v="1"/>
    <x v="1"/>
    <x v="1"/>
  </r>
  <r>
    <x v="1"/>
    <x v="1"/>
    <x v="0"/>
  </r>
  <r>
    <x v="0"/>
    <x v="0"/>
    <x v="0"/>
  </r>
  <r>
    <x v="1"/>
    <x v="1"/>
    <x v="0"/>
  </r>
  <r>
    <x v="0"/>
    <x v="0"/>
    <x v="0"/>
  </r>
  <r>
    <x v="0"/>
    <x v="0"/>
    <x v="0"/>
  </r>
  <r>
    <x v="1"/>
    <x v="1"/>
    <x v="1"/>
  </r>
  <r>
    <x v="1"/>
    <x v="1"/>
    <x v="0"/>
  </r>
  <r>
    <x v="1"/>
    <x v="1"/>
    <x v="0"/>
  </r>
  <r>
    <x v="0"/>
    <x v="0"/>
    <x v="0"/>
  </r>
  <r>
    <x v="1"/>
    <x v="1"/>
    <x v="0"/>
  </r>
  <r>
    <x v="1"/>
    <x v="1"/>
    <x v="0"/>
  </r>
  <r>
    <x v="0"/>
    <x v="0"/>
    <x v="0"/>
  </r>
  <r>
    <x v="0"/>
    <x v="0"/>
    <x v="0"/>
  </r>
  <r>
    <x v="1"/>
    <x v="1"/>
    <x v="0"/>
  </r>
  <r>
    <x v="0"/>
    <x v="0"/>
    <x v="0"/>
  </r>
  <r>
    <x v="1"/>
    <x v="1"/>
    <x v="0"/>
  </r>
  <r>
    <x v="0"/>
    <x v="0"/>
    <x v="1"/>
  </r>
  <r>
    <x v="0"/>
    <x v="0"/>
    <x v="0"/>
  </r>
  <r>
    <x v="1"/>
    <x v="1"/>
    <x v="0"/>
  </r>
  <r>
    <x v="1"/>
    <x v="1"/>
    <x v="0"/>
  </r>
  <r>
    <x v="0"/>
    <x v="0"/>
    <x v="0"/>
  </r>
  <r>
    <x v="1"/>
    <x v="1"/>
    <x v="0"/>
  </r>
  <r>
    <x v="1"/>
    <x v="1"/>
    <x v="0"/>
  </r>
  <r>
    <x v="0"/>
    <x v="0"/>
    <x v="0"/>
  </r>
  <r>
    <x v="0"/>
    <x v="0"/>
    <x v="0"/>
  </r>
  <r>
    <x v="0"/>
    <x v="0"/>
    <x v="0"/>
  </r>
  <r>
    <x v="0"/>
    <x v="0"/>
    <x v="0"/>
  </r>
  <r>
    <x v="1"/>
    <x v="1"/>
    <x v="0"/>
  </r>
  <r>
    <x v="0"/>
    <x v="0"/>
    <x v="0"/>
  </r>
  <r>
    <x v="0"/>
    <x v="0"/>
    <x v="0"/>
  </r>
  <r>
    <x v="1"/>
    <x v="1"/>
    <x v="0"/>
  </r>
  <r>
    <x v="0"/>
    <x v="0"/>
    <x v="0"/>
  </r>
  <r>
    <x v="0"/>
    <x v="0"/>
    <x v="0"/>
  </r>
  <r>
    <x v="0"/>
    <x v="0"/>
    <x v="0"/>
  </r>
  <r>
    <x v="1"/>
    <x v="1"/>
    <x v="0"/>
  </r>
  <r>
    <x v="1"/>
    <x v="1"/>
    <x v="0"/>
  </r>
  <r>
    <x v="1"/>
    <x v="1"/>
    <x v="0"/>
  </r>
  <r>
    <x v="1"/>
    <x v="1"/>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1"/>
    <x v="1"/>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0"/>
    <x v="0"/>
    <x v="0"/>
  </r>
  <r>
    <x v="1"/>
    <x v="1"/>
    <x v="0"/>
  </r>
  <r>
    <x v="1"/>
    <x v="1"/>
    <x v="0"/>
  </r>
  <r>
    <x v="1"/>
    <x v="1"/>
    <x v="0"/>
  </r>
  <r>
    <x v="1"/>
    <x v="1"/>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0"/>
    <x v="0"/>
    <x v="0"/>
  </r>
  <r>
    <x v="1"/>
    <x v="1"/>
    <x v="0"/>
  </r>
  <r>
    <x v="0"/>
    <x v="0"/>
    <x v="0"/>
  </r>
  <r>
    <x v="0"/>
    <x v="0"/>
    <x v="0"/>
  </r>
  <r>
    <x v="1"/>
    <x v="1"/>
    <x v="0"/>
  </r>
  <r>
    <x v="0"/>
    <x v="0"/>
    <x v="0"/>
  </r>
  <r>
    <x v="0"/>
    <x v="0"/>
    <x v="0"/>
  </r>
  <r>
    <x v="1"/>
    <x v="1"/>
    <x v="0"/>
  </r>
  <r>
    <x v="1"/>
    <x v="1"/>
    <x v="0"/>
  </r>
  <r>
    <x v="0"/>
    <x v="0"/>
    <x v="0"/>
  </r>
  <r>
    <x v="0"/>
    <x v="0"/>
    <x v="0"/>
  </r>
  <r>
    <x v="0"/>
    <x v="0"/>
    <x v="0"/>
  </r>
  <r>
    <x v="1"/>
    <x v="1"/>
    <x v="0"/>
  </r>
  <r>
    <x v="1"/>
    <x v="1"/>
    <x v="0"/>
  </r>
  <r>
    <x v="1"/>
    <x v="1"/>
    <x v="0"/>
  </r>
  <r>
    <x v="0"/>
    <x v="0"/>
    <x v="0"/>
  </r>
  <r>
    <x v="1"/>
    <x v="1"/>
    <x v="0"/>
  </r>
  <r>
    <x v="1"/>
    <x v="1"/>
    <x v="0"/>
  </r>
  <r>
    <x v="1"/>
    <x v="1"/>
    <x v="0"/>
  </r>
  <r>
    <x v="1"/>
    <x v="1"/>
    <x v="0"/>
  </r>
  <r>
    <x v="0"/>
    <x v="0"/>
    <x v="1"/>
  </r>
  <r>
    <x v="0"/>
    <x v="0"/>
    <x v="0"/>
  </r>
  <r>
    <x v="0"/>
    <x v="0"/>
    <x v="0"/>
  </r>
  <r>
    <x v="0"/>
    <x v="0"/>
    <x v="0"/>
  </r>
  <r>
    <x v="1"/>
    <x v="1"/>
    <x v="0"/>
  </r>
  <r>
    <x v="0"/>
    <x v="0"/>
    <x v="0"/>
  </r>
  <r>
    <x v="1"/>
    <x v="1"/>
    <x v="0"/>
  </r>
  <r>
    <x v="0"/>
    <x v="0"/>
    <x v="0"/>
  </r>
  <r>
    <x v="1"/>
    <x v="1"/>
    <x v="0"/>
  </r>
  <r>
    <x v="1"/>
    <x v="1"/>
    <x v="0"/>
  </r>
  <r>
    <x v="0"/>
    <x v="0"/>
    <x v="0"/>
  </r>
  <r>
    <x v="0"/>
    <x v="0"/>
    <x v="0"/>
  </r>
  <r>
    <x v="1"/>
    <x v="1"/>
    <x v="0"/>
  </r>
  <r>
    <x v="0"/>
    <x v="0"/>
    <x v="0"/>
  </r>
  <r>
    <x v="1"/>
    <x v="1"/>
    <x v="0"/>
  </r>
  <r>
    <x v="0"/>
    <x v="0"/>
    <x v="0"/>
  </r>
  <r>
    <x v="0"/>
    <x v="0"/>
    <x v="0"/>
  </r>
  <r>
    <x v="1"/>
    <x v="1"/>
    <x v="0"/>
  </r>
  <r>
    <x v="1"/>
    <x v="1"/>
    <x v="0"/>
  </r>
  <r>
    <x v="1"/>
    <x v="1"/>
    <x v="1"/>
  </r>
  <r>
    <x v="0"/>
    <x v="0"/>
    <x v="0"/>
  </r>
  <r>
    <x v="1"/>
    <x v="1"/>
    <x v="0"/>
  </r>
  <r>
    <x v="1"/>
    <x v="1"/>
    <x v="0"/>
  </r>
  <r>
    <x v="1"/>
    <x v="1"/>
    <x v="0"/>
  </r>
  <r>
    <x v="1"/>
    <x v="1"/>
    <x v="0"/>
  </r>
  <r>
    <x v="0"/>
    <x v="0"/>
    <x v="0"/>
  </r>
  <r>
    <x v="1"/>
    <x v="1"/>
    <x v="0"/>
  </r>
  <r>
    <x v="0"/>
    <x v="0"/>
    <x v="0"/>
  </r>
  <r>
    <x v="0"/>
    <x v="0"/>
    <x v="0"/>
  </r>
  <r>
    <x v="1"/>
    <x v="1"/>
    <x v="0"/>
  </r>
  <r>
    <x v="1"/>
    <x v="1"/>
    <x v="0"/>
  </r>
  <r>
    <x v="0"/>
    <x v="0"/>
    <x v="0"/>
  </r>
  <r>
    <x v="0"/>
    <x v="0"/>
    <x v="0"/>
  </r>
  <r>
    <x v="0"/>
    <x v="0"/>
    <x v="0"/>
  </r>
  <r>
    <x v="0"/>
    <x v="0"/>
    <x v="0"/>
  </r>
  <r>
    <x v="1"/>
    <x v="1"/>
    <x v="0"/>
  </r>
  <r>
    <x v="0"/>
    <x v="0"/>
    <x v="0"/>
  </r>
  <r>
    <x v="1"/>
    <x v="1"/>
    <x v="0"/>
  </r>
  <r>
    <x v="0"/>
    <x v="0"/>
    <x v="0"/>
  </r>
  <r>
    <x v="0"/>
    <x v="0"/>
    <x v="0"/>
  </r>
  <r>
    <x v="1"/>
    <x v="1"/>
    <x v="0"/>
  </r>
  <r>
    <x v="1"/>
    <x v="1"/>
    <x v="0"/>
  </r>
  <r>
    <x v="0"/>
    <x v="0"/>
    <x v="0"/>
  </r>
  <r>
    <x v="0"/>
    <x v="0"/>
    <x v="0"/>
  </r>
  <r>
    <x v="0"/>
    <x v="0"/>
    <x v="0"/>
  </r>
  <r>
    <x v="1"/>
    <x v="1"/>
    <x v="0"/>
  </r>
  <r>
    <x v="1"/>
    <x v="1"/>
    <x v="0"/>
  </r>
  <r>
    <x v="0"/>
    <x v="0"/>
    <x v="0"/>
  </r>
  <r>
    <x v="0"/>
    <x v="0"/>
    <x v="0"/>
  </r>
  <r>
    <x v="0"/>
    <x v="0"/>
    <x v="0"/>
  </r>
  <r>
    <x v="0"/>
    <x v="0"/>
    <x v="0"/>
  </r>
  <r>
    <x v="0"/>
    <x v="0"/>
    <x v="0"/>
  </r>
  <r>
    <x v="1"/>
    <x v="1"/>
    <x v="0"/>
  </r>
  <r>
    <x v="1"/>
    <x v="1"/>
    <x v="0"/>
  </r>
  <r>
    <x v="0"/>
    <x v="0"/>
    <x v="0"/>
  </r>
  <r>
    <x v="1"/>
    <x v="1"/>
    <x v="0"/>
  </r>
  <r>
    <x v="1"/>
    <x v="1"/>
    <x v="0"/>
  </r>
  <r>
    <x v="0"/>
    <x v="0"/>
    <x v="0"/>
  </r>
  <r>
    <x v="1"/>
    <x v="1"/>
    <x v="0"/>
  </r>
  <r>
    <x v="1"/>
    <x v="1"/>
    <x v="0"/>
  </r>
  <r>
    <x v="0"/>
    <x v="0"/>
    <x v="0"/>
  </r>
  <r>
    <x v="1"/>
    <x v="1"/>
    <x v="0"/>
  </r>
  <r>
    <x v="0"/>
    <x v="0"/>
    <x v="0"/>
  </r>
  <r>
    <x v="1"/>
    <x v="1"/>
    <x v="0"/>
  </r>
  <r>
    <x v="0"/>
    <x v="0"/>
    <x v="1"/>
  </r>
  <r>
    <x v="1"/>
    <x v="1"/>
    <x v="0"/>
  </r>
  <r>
    <x v="1"/>
    <x v="1"/>
    <x v="0"/>
  </r>
  <r>
    <x v="1"/>
    <x v="1"/>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0"/>
    <x v="0"/>
    <x v="0"/>
  </r>
  <r>
    <x v="1"/>
    <x v="1"/>
    <x v="0"/>
  </r>
  <r>
    <x v="0"/>
    <x v="0"/>
    <x v="0"/>
  </r>
  <r>
    <x v="0"/>
    <x v="0"/>
    <x v="1"/>
  </r>
  <r>
    <x v="1"/>
    <x v="1"/>
    <x v="0"/>
  </r>
  <r>
    <x v="0"/>
    <x v="0"/>
    <x v="0"/>
  </r>
  <r>
    <x v="1"/>
    <x v="1"/>
    <x v="0"/>
  </r>
  <r>
    <x v="1"/>
    <x v="1"/>
    <x v="0"/>
  </r>
  <r>
    <x v="0"/>
    <x v="0"/>
    <x v="0"/>
  </r>
  <r>
    <x v="0"/>
    <x v="0"/>
    <x v="0"/>
  </r>
  <r>
    <x v="0"/>
    <x v="0"/>
    <x v="0"/>
  </r>
  <r>
    <x v="0"/>
    <x v="0"/>
    <x v="0"/>
  </r>
  <r>
    <x v="0"/>
    <x v="0"/>
    <x v="0"/>
  </r>
  <r>
    <x v="1"/>
    <x v="1"/>
    <x v="0"/>
  </r>
  <r>
    <x v="0"/>
    <x v="0"/>
    <x v="0"/>
  </r>
  <r>
    <x v="1"/>
    <x v="1"/>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0"/>
    <x v="0"/>
    <x v="0"/>
  </r>
  <r>
    <x v="1"/>
    <x v="1"/>
    <x v="0"/>
  </r>
  <r>
    <x v="0"/>
    <x v="0"/>
    <x v="0"/>
  </r>
  <r>
    <x v="1"/>
    <x v="1"/>
    <x v="0"/>
  </r>
  <r>
    <x v="0"/>
    <x v="0"/>
    <x v="0"/>
  </r>
  <r>
    <x v="0"/>
    <x v="0"/>
    <x v="0"/>
  </r>
  <r>
    <x v="1"/>
    <x v="1"/>
    <x v="0"/>
  </r>
  <r>
    <x v="1"/>
    <x v="1"/>
    <x v="0"/>
  </r>
  <r>
    <x v="1"/>
    <x v="1"/>
    <x v="0"/>
  </r>
  <r>
    <x v="0"/>
    <x v="0"/>
    <x v="0"/>
  </r>
  <r>
    <x v="1"/>
    <x v="1"/>
    <x v="0"/>
  </r>
  <r>
    <x v="0"/>
    <x v="0"/>
    <x v="0"/>
  </r>
  <r>
    <x v="0"/>
    <x v="0"/>
    <x v="0"/>
  </r>
  <r>
    <x v="0"/>
    <x v="0"/>
    <x v="0"/>
  </r>
  <r>
    <x v="1"/>
    <x v="1"/>
    <x v="0"/>
  </r>
  <r>
    <x v="1"/>
    <x v="1"/>
    <x v="0"/>
  </r>
  <r>
    <x v="1"/>
    <x v="1"/>
    <x v="0"/>
  </r>
  <r>
    <x v="1"/>
    <x v="1"/>
    <x v="0"/>
  </r>
  <r>
    <x v="0"/>
    <x v="0"/>
    <x v="0"/>
  </r>
  <r>
    <x v="1"/>
    <x v="1"/>
    <x v="0"/>
  </r>
  <r>
    <x v="0"/>
    <x v="0"/>
    <x v="0"/>
  </r>
  <r>
    <x v="0"/>
    <x v="0"/>
    <x v="0"/>
  </r>
  <r>
    <x v="1"/>
    <x v="1"/>
    <x v="0"/>
  </r>
  <r>
    <x v="1"/>
    <x v="1"/>
    <x v="1"/>
  </r>
  <r>
    <x v="1"/>
    <x v="1"/>
    <x v="0"/>
  </r>
  <r>
    <x v="0"/>
    <x v="0"/>
    <x v="0"/>
  </r>
  <r>
    <x v="1"/>
    <x v="1"/>
    <x v="0"/>
  </r>
  <r>
    <x v="0"/>
    <x v="0"/>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1"/>
    <x v="1"/>
    <x v="0"/>
  </r>
  <r>
    <x v="0"/>
    <x v="0"/>
    <x v="0"/>
  </r>
  <r>
    <x v="0"/>
    <x v="0"/>
    <x v="0"/>
  </r>
  <r>
    <x v="0"/>
    <x v="0"/>
    <x v="0"/>
  </r>
  <r>
    <x v="1"/>
    <x v="1"/>
    <x v="1"/>
  </r>
  <r>
    <x v="1"/>
    <x v="1"/>
    <x v="0"/>
  </r>
  <r>
    <x v="0"/>
    <x v="0"/>
    <x v="0"/>
  </r>
  <r>
    <x v="0"/>
    <x v="0"/>
    <x v="0"/>
  </r>
  <r>
    <x v="1"/>
    <x v="1"/>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1"/>
  </r>
  <r>
    <x v="1"/>
    <x v="1"/>
    <x v="0"/>
  </r>
  <r>
    <x v="1"/>
    <x v="1"/>
    <x v="0"/>
  </r>
  <r>
    <x v="1"/>
    <x v="1"/>
    <x v="0"/>
  </r>
  <r>
    <x v="1"/>
    <x v="1"/>
    <x v="0"/>
  </r>
  <r>
    <x v="1"/>
    <x v="1"/>
    <x v="0"/>
  </r>
  <r>
    <x v="0"/>
    <x v="0"/>
    <x v="0"/>
  </r>
  <r>
    <x v="1"/>
    <x v="1"/>
    <x v="0"/>
  </r>
  <r>
    <x v="1"/>
    <x v="1"/>
    <x v="0"/>
  </r>
  <r>
    <x v="0"/>
    <x v="0"/>
    <x v="0"/>
  </r>
  <r>
    <x v="0"/>
    <x v="0"/>
    <x v="0"/>
  </r>
  <r>
    <x v="1"/>
    <x v="1"/>
    <x v="0"/>
  </r>
  <r>
    <x v="1"/>
    <x v="1"/>
    <x v="0"/>
  </r>
  <r>
    <x v="0"/>
    <x v="0"/>
    <x v="0"/>
  </r>
  <r>
    <x v="0"/>
    <x v="0"/>
    <x v="0"/>
  </r>
  <r>
    <x v="0"/>
    <x v="0"/>
    <x v="0"/>
  </r>
  <r>
    <x v="1"/>
    <x v="1"/>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1"/>
    <x v="1"/>
    <x v="0"/>
  </r>
  <r>
    <x v="0"/>
    <x v="0"/>
    <x v="1"/>
  </r>
  <r>
    <x v="0"/>
    <x v="0"/>
    <x v="0"/>
  </r>
  <r>
    <x v="0"/>
    <x v="0"/>
    <x v="0"/>
  </r>
  <r>
    <x v="1"/>
    <x v="1"/>
    <x v="1"/>
  </r>
  <r>
    <x v="1"/>
    <x v="1"/>
    <x v="0"/>
  </r>
  <r>
    <x v="1"/>
    <x v="1"/>
    <x v="0"/>
  </r>
  <r>
    <x v="0"/>
    <x v="0"/>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1"/>
  </r>
  <r>
    <x v="0"/>
    <x v="0"/>
    <x v="0"/>
  </r>
  <r>
    <x v="1"/>
    <x v="1"/>
    <x v="0"/>
  </r>
  <r>
    <x v="0"/>
    <x v="0"/>
    <x v="0"/>
  </r>
  <r>
    <x v="1"/>
    <x v="1"/>
    <x v="0"/>
  </r>
  <r>
    <x v="0"/>
    <x v="0"/>
    <x v="0"/>
  </r>
  <r>
    <x v="0"/>
    <x v="0"/>
    <x v="0"/>
  </r>
  <r>
    <x v="0"/>
    <x v="0"/>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1"/>
  </r>
  <r>
    <x v="0"/>
    <x v="0"/>
    <x v="0"/>
  </r>
  <r>
    <x v="0"/>
    <x v="0"/>
    <x v="0"/>
  </r>
  <r>
    <x v="0"/>
    <x v="0"/>
    <x v="0"/>
  </r>
  <r>
    <x v="1"/>
    <x v="1"/>
    <x v="0"/>
  </r>
  <r>
    <x v="1"/>
    <x v="1"/>
    <x v="0"/>
  </r>
  <r>
    <x v="0"/>
    <x v="0"/>
    <x v="0"/>
  </r>
  <r>
    <x v="0"/>
    <x v="0"/>
    <x v="0"/>
  </r>
  <r>
    <x v="0"/>
    <x v="0"/>
    <x v="0"/>
  </r>
  <r>
    <x v="1"/>
    <x v="1"/>
    <x v="0"/>
  </r>
  <r>
    <x v="0"/>
    <x v="0"/>
    <x v="0"/>
  </r>
  <r>
    <x v="0"/>
    <x v="0"/>
    <x v="1"/>
  </r>
  <r>
    <x v="1"/>
    <x v="1"/>
    <x v="0"/>
  </r>
  <r>
    <x v="1"/>
    <x v="1"/>
    <x v="0"/>
  </r>
  <r>
    <x v="1"/>
    <x v="1"/>
    <x v="1"/>
  </r>
  <r>
    <x v="1"/>
    <x v="1"/>
    <x v="0"/>
  </r>
  <r>
    <x v="0"/>
    <x v="0"/>
    <x v="0"/>
  </r>
  <r>
    <x v="1"/>
    <x v="1"/>
    <x v="0"/>
  </r>
  <r>
    <x v="1"/>
    <x v="1"/>
    <x v="0"/>
  </r>
  <r>
    <x v="1"/>
    <x v="1"/>
    <x v="0"/>
  </r>
  <r>
    <x v="0"/>
    <x v="0"/>
    <x v="0"/>
  </r>
  <r>
    <x v="1"/>
    <x v="1"/>
    <x v="0"/>
  </r>
  <r>
    <x v="1"/>
    <x v="1"/>
    <x v="0"/>
  </r>
  <r>
    <x v="0"/>
    <x v="0"/>
    <x v="0"/>
  </r>
  <r>
    <x v="1"/>
    <x v="1"/>
    <x v="0"/>
  </r>
  <r>
    <x v="0"/>
    <x v="0"/>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0"/>
  </r>
  <r>
    <x v="0"/>
    <x v="0"/>
    <x v="0"/>
  </r>
  <r>
    <x v="1"/>
    <x v="1"/>
    <x v="0"/>
  </r>
  <r>
    <x v="1"/>
    <x v="1"/>
    <x v="0"/>
  </r>
  <r>
    <x v="1"/>
    <x v="1"/>
    <x v="0"/>
  </r>
  <r>
    <x v="0"/>
    <x v="0"/>
    <x v="1"/>
  </r>
  <r>
    <x v="0"/>
    <x v="0"/>
    <x v="0"/>
  </r>
  <r>
    <x v="0"/>
    <x v="0"/>
    <x v="0"/>
  </r>
  <r>
    <x v="1"/>
    <x v="1"/>
    <x v="0"/>
  </r>
  <r>
    <x v="0"/>
    <x v="0"/>
    <x v="0"/>
  </r>
  <r>
    <x v="1"/>
    <x v="1"/>
    <x v="0"/>
  </r>
  <r>
    <x v="1"/>
    <x v="1"/>
    <x v="0"/>
  </r>
  <r>
    <x v="1"/>
    <x v="1"/>
    <x v="0"/>
  </r>
  <r>
    <x v="1"/>
    <x v="1"/>
    <x v="0"/>
  </r>
  <r>
    <x v="0"/>
    <x v="0"/>
    <x v="0"/>
  </r>
  <r>
    <x v="1"/>
    <x v="1"/>
    <x v="0"/>
  </r>
  <r>
    <x v="0"/>
    <x v="0"/>
    <x v="0"/>
  </r>
  <r>
    <x v="1"/>
    <x v="1"/>
    <x v="0"/>
  </r>
  <r>
    <x v="0"/>
    <x v="0"/>
    <x v="0"/>
  </r>
  <r>
    <x v="1"/>
    <x v="1"/>
    <x v="0"/>
  </r>
  <r>
    <x v="0"/>
    <x v="0"/>
    <x v="0"/>
  </r>
  <r>
    <x v="1"/>
    <x v="1"/>
    <x v="0"/>
  </r>
  <r>
    <x v="1"/>
    <x v="1"/>
    <x v="0"/>
  </r>
  <r>
    <x v="0"/>
    <x v="0"/>
    <x v="0"/>
  </r>
  <r>
    <x v="0"/>
    <x v="0"/>
    <x v="0"/>
  </r>
  <r>
    <x v="0"/>
    <x v="0"/>
    <x v="0"/>
  </r>
  <r>
    <x v="1"/>
    <x v="1"/>
    <x v="0"/>
  </r>
  <r>
    <x v="1"/>
    <x v="1"/>
    <x v="0"/>
  </r>
  <r>
    <x v="0"/>
    <x v="0"/>
    <x v="0"/>
  </r>
  <r>
    <x v="1"/>
    <x v="1"/>
    <x v="0"/>
  </r>
  <r>
    <x v="1"/>
    <x v="1"/>
    <x v="0"/>
  </r>
  <r>
    <x v="0"/>
    <x v="0"/>
    <x v="0"/>
  </r>
  <r>
    <x v="1"/>
    <x v="1"/>
    <x v="0"/>
  </r>
  <r>
    <x v="0"/>
    <x v="0"/>
    <x v="0"/>
  </r>
  <r>
    <x v="0"/>
    <x v="0"/>
    <x v="0"/>
  </r>
  <r>
    <x v="0"/>
    <x v="0"/>
    <x v="0"/>
  </r>
  <r>
    <x v="1"/>
    <x v="1"/>
    <x v="0"/>
  </r>
  <r>
    <x v="1"/>
    <x v="1"/>
    <x v="0"/>
  </r>
  <r>
    <x v="1"/>
    <x v="1"/>
    <x v="0"/>
  </r>
  <r>
    <x v="0"/>
    <x v="0"/>
    <x v="0"/>
  </r>
  <r>
    <x v="0"/>
    <x v="0"/>
    <x v="0"/>
  </r>
  <r>
    <x v="1"/>
    <x v="1"/>
    <x v="0"/>
  </r>
  <r>
    <x v="0"/>
    <x v="0"/>
    <x v="0"/>
  </r>
  <r>
    <x v="1"/>
    <x v="1"/>
    <x v="0"/>
  </r>
  <r>
    <x v="1"/>
    <x v="1"/>
    <x v="0"/>
  </r>
  <r>
    <x v="1"/>
    <x v="1"/>
    <x v="0"/>
  </r>
  <r>
    <x v="1"/>
    <x v="1"/>
    <x v="0"/>
  </r>
  <r>
    <x v="1"/>
    <x v="1"/>
    <x v="0"/>
  </r>
  <r>
    <x v="0"/>
    <x v="0"/>
    <x v="0"/>
  </r>
  <r>
    <x v="0"/>
    <x v="0"/>
    <x v="0"/>
  </r>
  <r>
    <x v="1"/>
    <x v="1"/>
    <x v="0"/>
  </r>
  <r>
    <x v="1"/>
    <x v="1"/>
    <x v="0"/>
  </r>
  <r>
    <x v="1"/>
    <x v="1"/>
    <x v="0"/>
  </r>
  <r>
    <x v="1"/>
    <x v="1"/>
    <x v="0"/>
  </r>
  <r>
    <x v="1"/>
    <x v="1"/>
    <x v="0"/>
  </r>
  <r>
    <x v="0"/>
    <x v="0"/>
    <x v="0"/>
  </r>
  <r>
    <x v="0"/>
    <x v="0"/>
    <x v="0"/>
  </r>
  <r>
    <x v="0"/>
    <x v="0"/>
    <x v="0"/>
  </r>
  <r>
    <x v="0"/>
    <x v="0"/>
    <x v="0"/>
  </r>
  <r>
    <x v="1"/>
    <x v="1"/>
    <x v="0"/>
  </r>
  <r>
    <x v="0"/>
    <x v="0"/>
    <x v="0"/>
  </r>
  <r>
    <x v="1"/>
    <x v="1"/>
    <x v="1"/>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0"/>
    <x v="0"/>
    <x v="0"/>
  </r>
  <r>
    <x v="0"/>
    <x v="0"/>
    <x v="0"/>
  </r>
  <r>
    <x v="0"/>
    <x v="0"/>
    <x v="0"/>
  </r>
  <r>
    <x v="0"/>
    <x v="0"/>
    <x v="0"/>
  </r>
  <r>
    <x v="0"/>
    <x v="0"/>
    <x v="0"/>
  </r>
  <r>
    <x v="1"/>
    <x v="1"/>
    <x v="0"/>
  </r>
  <r>
    <x v="1"/>
    <x v="1"/>
    <x v="0"/>
  </r>
  <r>
    <x v="0"/>
    <x v="0"/>
    <x v="0"/>
  </r>
  <r>
    <x v="1"/>
    <x v="1"/>
    <x v="0"/>
  </r>
  <r>
    <x v="0"/>
    <x v="0"/>
    <x v="0"/>
  </r>
  <r>
    <x v="0"/>
    <x v="0"/>
    <x v="1"/>
  </r>
  <r>
    <x v="0"/>
    <x v="0"/>
    <x v="0"/>
  </r>
  <r>
    <x v="0"/>
    <x v="0"/>
    <x v="0"/>
  </r>
  <r>
    <x v="1"/>
    <x v="1"/>
    <x v="0"/>
  </r>
  <r>
    <x v="1"/>
    <x v="1"/>
    <x v="0"/>
  </r>
  <r>
    <x v="1"/>
    <x v="1"/>
    <x v="0"/>
  </r>
  <r>
    <x v="0"/>
    <x v="0"/>
    <x v="0"/>
  </r>
  <r>
    <x v="1"/>
    <x v="1"/>
    <x v="0"/>
  </r>
  <r>
    <x v="0"/>
    <x v="0"/>
    <x v="0"/>
  </r>
  <r>
    <x v="1"/>
    <x v="1"/>
    <x v="0"/>
  </r>
  <r>
    <x v="1"/>
    <x v="1"/>
    <x v="0"/>
  </r>
  <r>
    <x v="1"/>
    <x v="1"/>
    <x v="0"/>
  </r>
  <r>
    <x v="1"/>
    <x v="1"/>
    <x v="0"/>
  </r>
  <r>
    <x v="0"/>
    <x v="0"/>
    <x v="0"/>
  </r>
  <r>
    <x v="1"/>
    <x v="1"/>
    <x v="1"/>
  </r>
  <r>
    <x v="1"/>
    <x v="1"/>
    <x v="0"/>
  </r>
  <r>
    <x v="1"/>
    <x v="1"/>
    <x v="0"/>
  </r>
  <r>
    <x v="0"/>
    <x v="0"/>
    <x v="0"/>
  </r>
  <r>
    <x v="1"/>
    <x v="1"/>
    <x v="0"/>
  </r>
  <r>
    <x v="1"/>
    <x v="1"/>
    <x v="0"/>
  </r>
  <r>
    <x v="0"/>
    <x v="0"/>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1"/>
    <x v="1"/>
    <x v="0"/>
  </r>
  <r>
    <x v="0"/>
    <x v="0"/>
    <x v="0"/>
  </r>
  <r>
    <x v="0"/>
    <x v="0"/>
    <x v="0"/>
  </r>
  <r>
    <x v="0"/>
    <x v="0"/>
    <x v="0"/>
  </r>
  <r>
    <x v="0"/>
    <x v="0"/>
    <x v="0"/>
  </r>
  <r>
    <x v="1"/>
    <x v="1"/>
    <x v="0"/>
  </r>
  <r>
    <x v="1"/>
    <x v="1"/>
    <x v="0"/>
  </r>
  <r>
    <x v="0"/>
    <x v="0"/>
    <x v="0"/>
  </r>
  <r>
    <x v="0"/>
    <x v="0"/>
    <x v="0"/>
  </r>
  <r>
    <x v="0"/>
    <x v="0"/>
    <x v="0"/>
  </r>
  <r>
    <x v="1"/>
    <x v="1"/>
    <x v="0"/>
  </r>
  <r>
    <x v="0"/>
    <x v="0"/>
    <x v="0"/>
  </r>
  <r>
    <x v="0"/>
    <x v="0"/>
    <x v="0"/>
  </r>
  <r>
    <x v="1"/>
    <x v="1"/>
    <x v="0"/>
  </r>
  <r>
    <x v="1"/>
    <x v="1"/>
    <x v="0"/>
  </r>
  <r>
    <x v="1"/>
    <x v="1"/>
    <x v="0"/>
  </r>
  <r>
    <x v="0"/>
    <x v="0"/>
    <x v="1"/>
  </r>
  <r>
    <x v="1"/>
    <x v="1"/>
    <x v="0"/>
  </r>
  <r>
    <x v="0"/>
    <x v="0"/>
    <x v="0"/>
  </r>
  <r>
    <x v="1"/>
    <x v="1"/>
    <x v="1"/>
  </r>
  <r>
    <x v="1"/>
    <x v="1"/>
    <x v="0"/>
  </r>
  <r>
    <x v="1"/>
    <x v="1"/>
    <x v="0"/>
  </r>
  <r>
    <x v="1"/>
    <x v="1"/>
    <x v="0"/>
  </r>
  <r>
    <x v="1"/>
    <x v="1"/>
    <x v="0"/>
  </r>
  <r>
    <x v="0"/>
    <x v="0"/>
    <x v="0"/>
  </r>
  <r>
    <x v="0"/>
    <x v="0"/>
    <x v="0"/>
  </r>
  <r>
    <x v="0"/>
    <x v="0"/>
    <x v="0"/>
  </r>
  <r>
    <x v="1"/>
    <x v="1"/>
    <x v="0"/>
  </r>
  <r>
    <x v="0"/>
    <x v="0"/>
    <x v="0"/>
  </r>
  <r>
    <x v="1"/>
    <x v="1"/>
    <x v="0"/>
  </r>
  <r>
    <x v="0"/>
    <x v="0"/>
    <x v="0"/>
  </r>
  <r>
    <x v="0"/>
    <x v="0"/>
    <x v="0"/>
  </r>
  <r>
    <x v="1"/>
    <x v="1"/>
    <x v="0"/>
  </r>
  <r>
    <x v="1"/>
    <x v="1"/>
    <x v="0"/>
  </r>
  <r>
    <x v="0"/>
    <x v="0"/>
    <x v="0"/>
  </r>
  <r>
    <x v="1"/>
    <x v="1"/>
    <x v="0"/>
  </r>
  <r>
    <x v="0"/>
    <x v="0"/>
    <x v="1"/>
  </r>
  <r>
    <x v="1"/>
    <x v="1"/>
    <x v="0"/>
  </r>
  <r>
    <x v="1"/>
    <x v="1"/>
    <x v="0"/>
  </r>
  <r>
    <x v="1"/>
    <x v="1"/>
    <x v="0"/>
  </r>
  <r>
    <x v="1"/>
    <x v="1"/>
    <x v="0"/>
  </r>
  <r>
    <x v="1"/>
    <x v="1"/>
    <x v="0"/>
  </r>
  <r>
    <x v="0"/>
    <x v="0"/>
    <x v="0"/>
  </r>
  <r>
    <x v="0"/>
    <x v="0"/>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1"/>
  </r>
  <r>
    <x v="0"/>
    <x v="0"/>
    <x v="0"/>
  </r>
  <r>
    <x v="0"/>
    <x v="0"/>
    <x v="0"/>
  </r>
  <r>
    <x v="1"/>
    <x v="1"/>
    <x v="0"/>
  </r>
  <r>
    <x v="1"/>
    <x v="1"/>
    <x v="0"/>
  </r>
  <r>
    <x v="0"/>
    <x v="0"/>
    <x v="0"/>
  </r>
  <r>
    <x v="1"/>
    <x v="1"/>
    <x v="1"/>
  </r>
  <r>
    <x v="0"/>
    <x v="0"/>
    <x v="0"/>
  </r>
  <r>
    <x v="0"/>
    <x v="0"/>
    <x v="0"/>
  </r>
  <r>
    <x v="1"/>
    <x v="1"/>
    <x v="0"/>
  </r>
  <r>
    <x v="1"/>
    <x v="1"/>
    <x v="0"/>
  </r>
  <r>
    <x v="1"/>
    <x v="1"/>
    <x v="0"/>
  </r>
  <r>
    <x v="0"/>
    <x v="0"/>
    <x v="0"/>
  </r>
  <r>
    <x v="1"/>
    <x v="1"/>
    <x v="0"/>
  </r>
  <r>
    <x v="1"/>
    <x v="1"/>
    <x v="0"/>
  </r>
  <r>
    <x v="0"/>
    <x v="0"/>
    <x v="0"/>
  </r>
  <r>
    <x v="1"/>
    <x v="1"/>
    <x v="0"/>
  </r>
  <r>
    <x v="0"/>
    <x v="0"/>
    <x v="0"/>
  </r>
  <r>
    <x v="1"/>
    <x v="1"/>
    <x v="0"/>
  </r>
  <r>
    <x v="1"/>
    <x v="1"/>
    <x v="0"/>
  </r>
  <r>
    <x v="1"/>
    <x v="1"/>
    <x v="0"/>
  </r>
  <r>
    <x v="0"/>
    <x v="0"/>
    <x v="0"/>
  </r>
  <r>
    <x v="1"/>
    <x v="1"/>
    <x v="0"/>
  </r>
  <r>
    <x v="0"/>
    <x v="0"/>
    <x v="0"/>
  </r>
  <r>
    <x v="0"/>
    <x v="0"/>
    <x v="0"/>
  </r>
  <r>
    <x v="1"/>
    <x v="1"/>
    <x v="0"/>
  </r>
  <r>
    <x v="0"/>
    <x v="0"/>
    <x v="0"/>
  </r>
  <r>
    <x v="1"/>
    <x v="1"/>
    <x v="0"/>
  </r>
  <r>
    <x v="0"/>
    <x v="0"/>
    <x v="0"/>
  </r>
  <r>
    <x v="0"/>
    <x v="0"/>
    <x v="0"/>
  </r>
  <r>
    <x v="1"/>
    <x v="1"/>
    <x v="0"/>
  </r>
  <r>
    <x v="1"/>
    <x v="1"/>
    <x v="0"/>
  </r>
  <r>
    <x v="1"/>
    <x v="1"/>
    <x v="0"/>
  </r>
  <r>
    <x v="0"/>
    <x v="0"/>
    <x v="0"/>
  </r>
  <r>
    <x v="1"/>
    <x v="1"/>
    <x v="0"/>
  </r>
  <r>
    <x v="1"/>
    <x v="1"/>
    <x v="0"/>
  </r>
  <r>
    <x v="1"/>
    <x v="1"/>
    <x v="1"/>
  </r>
  <r>
    <x v="1"/>
    <x v="1"/>
    <x v="0"/>
  </r>
  <r>
    <x v="0"/>
    <x v="0"/>
    <x v="0"/>
  </r>
  <r>
    <x v="1"/>
    <x v="1"/>
    <x v="0"/>
  </r>
  <r>
    <x v="0"/>
    <x v="0"/>
    <x v="0"/>
  </r>
  <r>
    <x v="0"/>
    <x v="0"/>
    <x v="0"/>
  </r>
  <r>
    <x v="1"/>
    <x v="1"/>
    <x v="0"/>
  </r>
  <r>
    <x v="0"/>
    <x v="0"/>
    <x v="0"/>
  </r>
  <r>
    <x v="1"/>
    <x v="1"/>
    <x v="0"/>
  </r>
  <r>
    <x v="1"/>
    <x v="1"/>
    <x v="0"/>
  </r>
  <r>
    <x v="0"/>
    <x v="0"/>
    <x v="0"/>
  </r>
  <r>
    <x v="1"/>
    <x v="1"/>
    <x v="0"/>
  </r>
  <r>
    <x v="0"/>
    <x v="0"/>
    <x v="0"/>
  </r>
  <r>
    <x v="0"/>
    <x v="0"/>
    <x v="0"/>
  </r>
  <r>
    <x v="0"/>
    <x v="0"/>
    <x v="0"/>
  </r>
  <r>
    <x v="1"/>
    <x v="1"/>
    <x v="0"/>
  </r>
  <r>
    <x v="0"/>
    <x v="0"/>
    <x v="0"/>
  </r>
  <r>
    <x v="0"/>
    <x v="0"/>
    <x v="1"/>
  </r>
  <r>
    <x v="1"/>
    <x v="1"/>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1"/>
    <x v="1"/>
    <x v="0"/>
  </r>
  <r>
    <x v="1"/>
    <x v="1"/>
    <x v="0"/>
  </r>
  <r>
    <x v="1"/>
    <x v="1"/>
    <x v="0"/>
  </r>
  <r>
    <x v="0"/>
    <x v="0"/>
    <x v="0"/>
  </r>
  <r>
    <x v="0"/>
    <x v="0"/>
    <x v="0"/>
  </r>
  <r>
    <x v="0"/>
    <x v="0"/>
    <x v="0"/>
  </r>
  <r>
    <x v="1"/>
    <x v="1"/>
    <x v="0"/>
  </r>
  <r>
    <x v="1"/>
    <x v="1"/>
    <x v="0"/>
  </r>
  <r>
    <x v="0"/>
    <x v="0"/>
    <x v="0"/>
  </r>
  <r>
    <x v="0"/>
    <x v="0"/>
    <x v="0"/>
  </r>
  <r>
    <x v="1"/>
    <x v="1"/>
    <x v="0"/>
  </r>
  <r>
    <x v="0"/>
    <x v="0"/>
    <x v="0"/>
  </r>
  <r>
    <x v="0"/>
    <x v="0"/>
    <x v="0"/>
  </r>
  <r>
    <x v="0"/>
    <x v="0"/>
    <x v="0"/>
  </r>
  <r>
    <x v="0"/>
    <x v="0"/>
    <x v="0"/>
  </r>
  <r>
    <x v="1"/>
    <x v="1"/>
    <x v="0"/>
  </r>
  <r>
    <x v="0"/>
    <x v="0"/>
    <x v="1"/>
  </r>
  <r>
    <x v="0"/>
    <x v="0"/>
    <x v="0"/>
  </r>
  <r>
    <x v="1"/>
    <x v="1"/>
    <x v="0"/>
  </r>
  <r>
    <x v="0"/>
    <x v="0"/>
    <x v="0"/>
  </r>
  <r>
    <x v="0"/>
    <x v="0"/>
    <x v="0"/>
  </r>
  <r>
    <x v="1"/>
    <x v="1"/>
    <x v="0"/>
  </r>
  <r>
    <x v="0"/>
    <x v="0"/>
    <x v="0"/>
  </r>
  <r>
    <x v="1"/>
    <x v="1"/>
    <x v="0"/>
  </r>
  <r>
    <x v="0"/>
    <x v="0"/>
    <x v="0"/>
  </r>
  <r>
    <x v="0"/>
    <x v="0"/>
    <x v="0"/>
  </r>
  <r>
    <x v="1"/>
    <x v="1"/>
    <x v="0"/>
  </r>
  <r>
    <x v="0"/>
    <x v="0"/>
    <x v="0"/>
  </r>
  <r>
    <x v="1"/>
    <x v="1"/>
    <x v="0"/>
  </r>
  <r>
    <x v="1"/>
    <x v="1"/>
    <x v="0"/>
  </r>
  <r>
    <x v="0"/>
    <x v="0"/>
    <x v="0"/>
  </r>
  <r>
    <x v="0"/>
    <x v="0"/>
    <x v="0"/>
  </r>
  <r>
    <x v="1"/>
    <x v="1"/>
    <x v="0"/>
  </r>
  <r>
    <x v="1"/>
    <x v="1"/>
    <x v="1"/>
  </r>
  <r>
    <x v="1"/>
    <x v="1"/>
    <x v="0"/>
  </r>
  <r>
    <x v="0"/>
    <x v="0"/>
    <x v="0"/>
  </r>
  <r>
    <x v="1"/>
    <x v="1"/>
    <x v="0"/>
  </r>
  <r>
    <x v="0"/>
    <x v="0"/>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0"/>
    <x v="0"/>
    <x v="0"/>
  </r>
  <r>
    <x v="0"/>
    <x v="0"/>
    <x v="0"/>
  </r>
  <r>
    <x v="1"/>
    <x v="1"/>
    <x v="0"/>
  </r>
  <r>
    <x v="1"/>
    <x v="1"/>
    <x v="0"/>
  </r>
  <r>
    <x v="0"/>
    <x v="0"/>
    <x v="0"/>
  </r>
  <r>
    <x v="0"/>
    <x v="0"/>
    <x v="0"/>
  </r>
  <r>
    <x v="1"/>
    <x v="1"/>
    <x v="0"/>
  </r>
  <r>
    <x v="0"/>
    <x v="0"/>
    <x v="0"/>
  </r>
  <r>
    <x v="1"/>
    <x v="1"/>
    <x v="0"/>
  </r>
  <r>
    <x v="1"/>
    <x v="1"/>
    <x v="0"/>
  </r>
  <r>
    <x v="1"/>
    <x v="1"/>
    <x v="0"/>
  </r>
  <r>
    <x v="1"/>
    <x v="1"/>
    <x v="0"/>
  </r>
  <r>
    <x v="1"/>
    <x v="1"/>
    <x v="0"/>
  </r>
  <r>
    <x v="1"/>
    <x v="1"/>
    <x v="0"/>
  </r>
  <r>
    <x v="0"/>
    <x v="0"/>
    <x v="0"/>
  </r>
  <r>
    <x v="0"/>
    <x v="0"/>
    <x v="0"/>
  </r>
  <r>
    <x v="0"/>
    <x v="0"/>
    <x v="0"/>
  </r>
  <r>
    <x v="1"/>
    <x v="1"/>
    <x v="0"/>
  </r>
  <r>
    <x v="0"/>
    <x v="0"/>
    <x v="0"/>
  </r>
  <r>
    <x v="1"/>
    <x v="1"/>
    <x v="0"/>
  </r>
  <r>
    <x v="1"/>
    <x v="1"/>
    <x v="0"/>
  </r>
  <r>
    <x v="1"/>
    <x v="1"/>
    <x v="1"/>
  </r>
  <r>
    <x v="1"/>
    <x v="1"/>
    <x v="0"/>
  </r>
  <r>
    <x v="0"/>
    <x v="0"/>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1"/>
    <x v="1"/>
    <x v="1"/>
  </r>
  <r>
    <x v="0"/>
    <x v="0"/>
    <x v="0"/>
  </r>
  <r>
    <x v="1"/>
    <x v="1"/>
    <x v="0"/>
  </r>
  <r>
    <x v="1"/>
    <x v="1"/>
    <x v="0"/>
  </r>
  <r>
    <x v="0"/>
    <x v="0"/>
    <x v="0"/>
  </r>
  <r>
    <x v="1"/>
    <x v="1"/>
    <x v="0"/>
  </r>
  <r>
    <x v="0"/>
    <x v="0"/>
    <x v="0"/>
  </r>
  <r>
    <x v="0"/>
    <x v="0"/>
    <x v="0"/>
  </r>
  <r>
    <x v="1"/>
    <x v="1"/>
    <x v="0"/>
  </r>
  <r>
    <x v="0"/>
    <x v="0"/>
    <x v="0"/>
  </r>
  <r>
    <x v="1"/>
    <x v="1"/>
    <x v="0"/>
  </r>
  <r>
    <x v="1"/>
    <x v="1"/>
    <x v="0"/>
  </r>
  <r>
    <x v="0"/>
    <x v="0"/>
    <x v="0"/>
  </r>
  <r>
    <x v="0"/>
    <x v="0"/>
    <x v="0"/>
  </r>
  <r>
    <x v="1"/>
    <x v="1"/>
    <x v="0"/>
  </r>
  <r>
    <x v="0"/>
    <x v="0"/>
    <x v="0"/>
  </r>
  <r>
    <x v="0"/>
    <x v="0"/>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1"/>
    <x v="1"/>
    <x v="0"/>
  </r>
  <r>
    <x v="0"/>
    <x v="0"/>
    <x v="0"/>
  </r>
  <r>
    <x v="0"/>
    <x v="0"/>
    <x v="0"/>
  </r>
  <r>
    <x v="1"/>
    <x v="1"/>
    <x v="0"/>
  </r>
  <r>
    <x v="1"/>
    <x v="1"/>
    <x v="0"/>
  </r>
  <r>
    <x v="1"/>
    <x v="1"/>
    <x v="0"/>
  </r>
  <r>
    <x v="0"/>
    <x v="0"/>
    <x v="0"/>
  </r>
  <r>
    <x v="1"/>
    <x v="1"/>
    <x v="0"/>
  </r>
  <r>
    <x v="0"/>
    <x v="0"/>
    <x v="0"/>
  </r>
  <r>
    <x v="1"/>
    <x v="1"/>
    <x v="0"/>
  </r>
  <r>
    <x v="0"/>
    <x v="0"/>
    <x v="0"/>
  </r>
  <r>
    <x v="0"/>
    <x v="0"/>
    <x v="0"/>
  </r>
  <r>
    <x v="1"/>
    <x v="1"/>
    <x v="0"/>
  </r>
  <r>
    <x v="1"/>
    <x v="1"/>
    <x v="0"/>
  </r>
  <r>
    <x v="0"/>
    <x v="0"/>
    <x v="0"/>
  </r>
  <r>
    <x v="0"/>
    <x v="0"/>
    <x v="0"/>
  </r>
  <r>
    <x v="0"/>
    <x v="0"/>
    <x v="0"/>
  </r>
  <r>
    <x v="0"/>
    <x v="0"/>
    <x v="0"/>
  </r>
  <r>
    <x v="1"/>
    <x v="1"/>
    <x v="0"/>
  </r>
  <r>
    <x v="0"/>
    <x v="0"/>
    <x v="0"/>
  </r>
  <r>
    <x v="0"/>
    <x v="0"/>
    <x v="1"/>
  </r>
  <r>
    <x v="1"/>
    <x v="1"/>
    <x v="0"/>
  </r>
  <r>
    <x v="1"/>
    <x v="1"/>
    <x v="0"/>
  </r>
  <r>
    <x v="1"/>
    <x v="1"/>
    <x v="0"/>
  </r>
  <r>
    <x v="1"/>
    <x v="1"/>
    <x v="0"/>
  </r>
  <r>
    <x v="1"/>
    <x v="1"/>
    <x v="0"/>
  </r>
  <r>
    <x v="1"/>
    <x v="1"/>
    <x v="0"/>
  </r>
  <r>
    <x v="0"/>
    <x v="0"/>
    <x v="0"/>
  </r>
  <r>
    <x v="0"/>
    <x v="0"/>
    <x v="0"/>
  </r>
  <r>
    <x v="0"/>
    <x v="0"/>
    <x v="0"/>
  </r>
  <r>
    <x v="0"/>
    <x v="0"/>
    <x v="0"/>
  </r>
  <r>
    <x v="1"/>
    <x v="1"/>
    <x v="0"/>
  </r>
  <r>
    <x v="0"/>
    <x v="0"/>
    <x v="0"/>
  </r>
  <r>
    <x v="0"/>
    <x v="0"/>
    <x v="0"/>
  </r>
  <r>
    <x v="0"/>
    <x v="0"/>
    <x v="0"/>
  </r>
  <r>
    <x v="0"/>
    <x v="0"/>
    <x v="0"/>
  </r>
  <r>
    <x v="1"/>
    <x v="1"/>
    <x v="0"/>
  </r>
  <r>
    <x v="0"/>
    <x v="0"/>
    <x v="0"/>
  </r>
  <r>
    <x v="1"/>
    <x v="1"/>
    <x v="0"/>
  </r>
  <r>
    <x v="1"/>
    <x v="1"/>
    <x v="1"/>
  </r>
  <r>
    <x v="0"/>
    <x v="0"/>
    <x v="0"/>
  </r>
  <r>
    <x v="0"/>
    <x v="0"/>
    <x v="1"/>
  </r>
  <r>
    <x v="1"/>
    <x v="1"/>
    <x v="0"/>
  </r>
  <r>
    <x v="0"/>
    <x v="0"/>
    <x v="0"/>
  </r>
  <r>
    <x v="0"/>
    <x v="0"/>
    <x v="0"/>
  </r>
  <r>
    <x v="0"/>
    <x v="0"/>
    <x v="0"/>
  </r>
  <r>
    <x v="0"/>
    <x v="0"/>
    <x v="1"/>
  </r>
  <r>
    <x v="1"/>
    <x v="1"/>
    <x v="0"/>
  </r>
  <r>
    <x v="1"/>
    <x v="1"/>
    <x v="0"/>
  </r>
  <r>
    <x v="0"/>
    <x v="0"/>
    <x v="0"/>
  </r>
  <r>
    <x v="1"/>
    <x v="1"/>
    <x v="0"/>
  </r>
  <r>
    <x v="0"/>
    <x v="0"/>
    <x v="0"/>
  </r>
  <r>
    <x v="0"/>
    <x v="0"/>
    <x v="0"/>
  </r>
  <r>
    <x v="0"/>
    <x v="0"/>
    <x v="0"/>
  </r>
  <r>
    <x v="0"/>
    <x v="0"/>
    <x v="0"/>
  </r>
  <r>
    <x v="0"/>
    <x v="0"/>
    <x v="0"/>
  </r>
  <r>
    <x v="0"/>
    <x v="0"/>
    <x v="0"/>
  </r>
  <r>
    <x v="1"/>
    <x v="1"/>
    <x v="1"/>
  </r>
  <r>
    <x v="0"/>
    <x v="0"/>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0"/>
    <x v="0"/>
    <x v="0"/>
  </r>
  <r>
    <x v="0"/>
    <x v="0"/>
    <x v="0"/>
  </r>
  <r>
    <x v="1"/>
    <x v="1"/>
    <x v="0"/>
  </r>
  <r>
    <x v="1"/>
    <x v="1"/>
    <x v="0"/>
  </r>
  <r>
    <x v="0"/>
    <x v="0"/>
    <x v="0"/>
  </r>
  <r>
    <x v="0"/>
    <x v="0"/>
    <x v="0"/>
  </r>
  <r>
    <x v="0"/>
    <x v="0"/>
    <x v="0"/>
  </r>
  <r>
    <x v="1"/>
    <x v="1"/>
    <x v="0"/>
  </r>
  <r>
    <x v="1"/>
    <x v="1"/>
    <x v="0"/>
  </r>
  <r>
    <x v="1"/>
    <x v="1"/>
    <x v="0"/>
  </r>
  <r>
    <x v="0"/>
    <x v="0"/>
    <x v="0"/>
  </r>
  <r>
    <x v="0"/>
    <x v="0"/>
    <x v="0"/>
  </r>
  <r>
    <x v="1"/>
    <x v="1"/>
    <x v="0"/>
  </r>
  <r>
    <x v="1"/>
    <x v="1"/>
    <x v="0"/>
  </r>
  <r>
    <x v="0"/>
    <x v="0"/>
    <x v="0"/>
  </r>
  <r>
    <x v="1"/>
    <x v="1"/>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1"/>
  </r>
  <r>
    <x v="1"/>
    <x v="1"/>
    <x v="0"/>
  </r>
  <r>
    <x v="1"/>
    <x v="1"/>
    <x v="0"/>
  </r>
  <r>
    <x v="1"/>
    <x v="1"/>
    <x v="0"/>
  </r>
  <r>
    <x v="0"/>
    <x v="0"/>
    <x v="0"/>
  </r>
  <r>
    <x v="1"/>
    <x v="1"/>
    <x v="0"/>
  </r>
  <r>
    <x v="0"/>
    <x v="0"/>
    <x v="0"/>
  </r>
  <r>
    <x v="1"/>
    <x v="1"/>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0"/>
    <x v="0"/>
    <x v="0"/>
  </r>
  <r>
    <x v="1"/>
    <x v="1"/>
    <x v="0"/>
  </r>
  <r>
    <x v="1"/>
    <x v="1"/>
    <x v="0"/>
  </r>
  <r>
    <x v="1"/>
    <x v="1"/>
    <x v="0"/>
  </r>
  <r>
    <x v="0"/>
    <x v="0"/>
    <x v="0"/>
  </r>
  <r>
    <x v="1"/>
    <x v="1"/>
    <x v="0"/>
  </r>
  <r>
    <x v="1"/>
    <x v="1"/>
    <x v="1"/>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0"/>
    <x v="0"/>
    <x v="0"/>
  </r>
  <r>
    <x v="0"/>
    <x v="0"/>
    <x v="0"/>
  </r>
  <r>
    <x v="1"/>
    <x v="1"/>
    <x v="0"/>
  </r>
  <r>
    <x v="0"/>
    <x v="0"/>
    <x v="0"/>
  </r>
  <r>
    <x v="1"/>
    <x v="1"/>
    <x v="0"/>
  </r>
  <r>
    <x v="0"/>
    <x v="0"/>
    <x v="0"/>
  </r>
  <r>
    <x v="0"/>
    <x v="0"/>
    <x v="0"/>
  </r>
  <r>
    <x v="0"/>
    <x v="0"/>
    <x v="0"/>
  </r>
  <r>
    <x v="1"/>
    <x v="1"/>
    <x v="0"/>
  </r>
  <r>
    <x v="0"/>
    <x v="0"/>
    <x v="0"/>
  </r>
  <r>
    <x v="0"/>
    <x v="0"/>
    <x v="0"/>
  </r>
  <r>
    <x v="0"/>
    <x v="0"/>
    <x v="1"/>
  </r>
  <r>
    <x v="1"/>
    <x v="1"/>
    <x v="0"/>
  </r>
  <r>
    <x v="1"/>
    <x v="1"/>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1"/>
    <x v="1"/>
    <x v="0"/>
  </r>
  <r>
    <x v="1"/>
    <x v="1"/>
    <x v="0"/>
  </r>
  <r>
    <x v="1"/>
    <x v="1"/>
    <x v="0"/>
  </r>
  <r>
    <x v="0"/>
    <x v="0"/>
    <x v="0"/>
  </r>
  <r>
    <x v="1"/>
    <x v="1"/>
    <x v="0"/>
  </r>
  <r>
    <x v="1"/>
    <x v="1"/>
    <x v="0"/>
  </r>
  <r>
    <x v="1"/>
    <x v="1"/>
    <x v="0"/>
  </r>
  <r>
    <x v="0"/>
    <x v="0"/>
    <x v="0"/>
  </r>
  <r>
    <x v="0"/>
    <x v="0"/>
    <x v="0"/>
  </r>
  <r>
    <x v="1"/>
    <x v="1"/>
    <x v="0"/>
  </r>
  <r>
    <x v="0"/>
    <x v="0"/>
    <x v="0"/>
  </r>
  <r>
    <x v="0"/>
    <x v="0"/>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1"/>
    <x v="1"/>
    <x v="0"/>
  </r>
  <r>
    <x v="1"/>
    <x v="1"/>
    <x v="0"/>
  </r>
  <r>
    <x v="0"/>
    <x v="0"/>
    <x v="1"/>
  </r>
  <r>
    <x v="0"/>
    <x v="0"/>
    <x v="0"/>
  </r>
  <r>
    <x v="0"/>
    <x v="0"/>
    <x v="0"/>
  </r>
  <r>
    <x v="0"/>
    <x v="0"/>
    <x v="0"/>
  </r>
  <r>
    <x v="0"/>
    <x v="0"/>
    <x v="0"/>
  </r>
  <r>
    <x v="0"/>
    <x v="0"/>
    <x v="0"/>
  </r>
  <r>
    <x v="1"/>
    <x v="1"/>
    <x v="0"/>
  </r>
  <r>
    <x v="0"/>
    <x v="0"/>
    <x v="0"/>
  </r>
  <r>
    <x v="0"/>
    <x v="0"/>
    <x v="1"/>
  </r>
  <r>
    <x v="0"/>
    <x v="0"/>
    <x v="0"/>
  </r>
  <r>
    <x v="1"/>
    <x v="1"/>
    <x v="0"/>
  </r>
  <r>
    <x v="1"/>
    <x v="1"/>
    <x v="0"/>
  </r>
  <r>
    <x v="0"/>
    <x v="0"/>
    <x v="0"/>
  </r>
  <r>
    <x v="1"/>
    <x v="1"/>
    <x v="0"/>
  </r>
  <r>
    <x v="0"/>
    <x v="0"/>
    <x v="0"/>
  </r>
  <r>
    <x v="1"/>
    <x v="1"/>
    <x v="0"/>
  </r>
  <r>
    <x v="0"/>
    <x v="0"/>
    <x v="0"/>
  </r>
  <r>
    <x v="1"/>
    <x v="1"/>
    <x v="0"/>
  </r>
  <r>
    <x v="1"/>
    <x v="1"/>
    <x v="0"/>
  </r>
  <r>
    <x v="1"/>
    <x v="1"/>
    <x v="0"/>
  </r>
  <r>
    <x v="1"/>
    <x v="1"/>
    <x v="0"/>
  </r>
  <r>
    <x v="0"/>
    <x v="0"/>
    <x v="0"/>
  </r>
  <r>
    <x v="0"/>
    <x v="0"/>
    <x v="1"/>
  </r>
  <r>
    <x v="0"/>
    <x v="0"/>
    <x v="0"/>
  </r>
  <r>
    <x v="0"/>
    <x v="0"/>
    <x v="0"/>
  </r>
  <r>
    <x v="0"/>
    <x v="0"/>
    <x v="0"/>
  </r>
  <r>
    <x v="1"/>
    <x v="1"/>
    <x v="0"/>
  </r>
  <r>
    <x v="1"/>
    <x v="1"/>
    <x v="0"/>
  </r>
  <r>
    <x v="1"/>
    <x v="1"/>
    <x v="0"/>
  </r>
  <r>
    <x v="1"/>
    <x v="1"/>
    <x v="0"/>
  </r>
  <r>
    <x v="0"/>
    <x v="0"/>
    <x v="0"/>
  </r>
  <r>
    <x v="0"/>
    <x v="0"/>
    <x v="0"/>
  </r>
  <r>
    <x v="1"/>
    <x v="1"/>
    <x v="0"/>
  </r>
  <r>
    <x v="0"/>
    <x v="0"/>
    <x v="0"/>
  </r>
  <r>
    <x v="1"/>
    <x v="1"/>
    <x v="1"/>
  </r>
  <r>
    <x v="0"/>
    <x v="0"/>
    <x v="0"/>
  </r>
  <r>
    <x v="1"/>
    <x v="1"/>
    <x v="0"/>
  </r>
  <r>
    <x v="0"/>
    <x v="0"/>
    <x v="0"/>
  </r>
  <r>
    <x v="1"/>
    <x v="1"/>
    <x v="0"/>
  </r>
  <r>
    <x v="1"/>
    <x v="1"/>
    <x v="0"/>
  </r>
  <r>
    <x v="1"/>
    <x v="1"/>
    <x v="1"/>
  </r>
  <r>
    <x v="1"/>
    <x v="1"/>
    <x v="1"/>
  </r>
  <r>
    <x v="0"/>
    <x v="0"/>
    <x v="0"/>
  </r>
  <r>
    <x v="0"/>
    <x v="0"/>
    <x v="0"/>
  </r>
  <r>
    <x v="0"/>
    <x v="0"/>
    <x v="0"/>
  </r>
  <r>
    <x v="0"/>
    <x v="0"/>
    <x v="0"/>
  </r>
  <r>
    <x v="0"/>
    <x v="0"/>
    <x v="1"/>
  </r>
  <r>
    <x v="1"/>
    <x v="1"/>
    <x v="0"/>
  </r>
  <r>
    <x v="0"/>
    <x v="0"/>
    <x v="0"/>
  </r>
  <r>
    <x v="1"/>
    <x v="1"/>
    <x v="0"/>
  </r>
  <r>
    <x v="1"/>
    <x v="1"/>
    <x v="0"/>
  </r>
  <r>
    <x v="0"/>
    <x v="0"/>
    <x v="0"/>
  </r>
  <r>
    <x v="1"/>
    <x v="1"/>
    <x v="0"/>
  </r>
  <r>
    <x v="1"/>
    <x v="1"/>
    <x v="0"/>
  </r>
  <r>
    <x v="0"/>
    <x v="0"/>
    <x v="0"/>
  </r>
  <r>
    <x v="0"/>
    <x v="0"/>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1"/>
    <x v="1"/>
    <x v="0"/>
  </r>
  <r>
    <x v="1"/>
    <x v="1"/>
    <x v="0"/>
  </r>
  <r>
    <x v="0"/>
    <x v="0"/>
    <x v="0"/>
  </r>
  <r>
    <x v="1"/>
    <x v="1"/>
    <x v="0"/>
  </r>
  <r>
    <x v="1"/>
    <x v="1"/>
    <x v="0"/>
  </r>
  <r>
    <x v="1"/>
    <x v="1"/>
    <x v="1"/>
  </r>
  <r>
    <x v="1"/>
    <x v="1"/>
    <x v="0"/>
  </r>
  <r>
    <x v="0"/>
    <x v="0"/>
    <x v="0"/>
  </r>
  <r>
    <x v="0"/>
    <x v="0"/>
    <x v="0"/>
  </r>
  <r>
    <x v="1"/>
    <x v="1"/>
    <x v="0"/>
  </r>
  <r>
    <x v="1"/>
    <x v="1"/>
    <x v="0"/>
  </r>
  <r>
    <x v="0"/>
    <x v="0"/>
    <x v="0"/>
  </r>
  <r>
    <x v="0"/>
    <x v="0"/>
    <x v="0"/>
  </r>
  <r>
    <x v="1"/>
    <x v="1"/>
    <x v="0"/>
  </r>
  <r>
    <x v="0"/>
    <x v="0"/>
    <x v="0"/>
  </r>
  <r>
    <x v="0"/>
    <x v="0"/>
    <x v="0"/>
  </r>
  <r>
    <x v="0"/>
    <x v="0"/>
    <x v="0"/>
  </r>
  <r>
    <x v="0"/>
    <x v="0"/>
    <x v="0"/>
  </r>
  <r>
    <x v="1"/>
    <x v="1"/>
    <x v="0"/>
  </r>
  <r>
    <x v="0"/>
    <x v="0"/>
    <x v="0"/>
  </r>
  <r>
    <x v="0"/>
    <x v="0"/>
    <x v="0"/>
  </r>
  <r>
    <x v="0"/>
    <x v="0"/>
    <x v="0"/>
  </r>
  <r>
    <x v="1"/>
    <x v="1"/>
    <x v="0"/>
  </r>
  <r>
    <x v="1"/>
    <x v="1"/>
    <x v="0"/>
  </r>
  <r>
    <x v="0"/>
    <x v="0"/>
    <x v="0"/>
  </r>
  <r>
    <x v="0"/>
    <x v="0"/>
    <x v="1"/>
  </r>
  <r>
    <x v="1"/>
    <x v="1"/>
    <x v="0"/>
  </r>
  <r>
    <x v="0"/>
    <x v="0"/>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1"/>
    <x v="1"/>
    <x v="0"/>
  </r>
  <r>
    <x v="0"/>
    <x v="0"/>
    <x v="0"/>
  </r>
  <r>
    <x v="0"/>
    <x v="0"/>
    <x v="0"/>
  </r>
  <r>
    <x v="0"/>
    <x v="0"/>
    <x v="0"/>
  </r>
  <r>
    <x v="1"/>
    <x v="1"/>
    <x v="0"/>
  </r>
  <r>
    <x v="1"/>
    <x v="1"/>
    <x v="0"/>
  </r>
  <r>
    <x v="1"/>
    <x v="1"/>
    <x v="0"/>
  </r>
  <r>
    <x v="0"/>
    <x v="0"/>
    <x v="0"/>
  </r>
  <r>
    <x v="1"/>
    <x v="1"/>
    <x v="0"/>
  </r>
  <r>
    <x v="0"/>
    <x v="0"/>
    <x v="0"/>
  </r>
  <r>
    <x v="1"/>
    <x v="1"/>
    <x v="0"/>
  </r>
  <r>
    <x v="0"/>
    <x v="0"/>
    <x v="0"/>
  </r>
  <r>
    <x v="1"/>
    <x v="1"/>
    <x v="0"/>
  </r>
  <r>
    <x v="0"/>
    <x v="0"/>
    <x v="1"/>
  </r>
  <r>
    <x v="1"/>
    <x v="1"/>
    <x v="0"/>
  </r>
  <r>
    <x v="0"/>
    <x v="0"/>
    <x v="0"/>
  </r>
  <r>
    <x v="1"/>
    <x v="1"/>
    <x v="0"/>
  </r>
  <r>
    <x v="1"/>
    <x v="1"/>
    <x v="0"/>
  </r>
  <r>
    <x v="0"/>
    <x v="0"/>
    <x v="0"/>
  </r>
  <r>
    <x v="0"/>
    <x v="0"/>
    <x v="0"/>
  </r>
  <r>
    <x v="0"/>
    <x v="0"/>
    <x v="0"/>
  </r>
  <r>
    <x v="0"/>
    <x v="0"/>
    <x v="1"/>
  </r>
  <r>
    <x v="0"/>
    <x v="0"/>
    <x v="0"/>
  </r>
  <r>
    <x v="0"/>
    <x v="0"/>
    <x v="0"/>
  </r>
  <r>
    <x v="0"/>
    <x v="0"/>
    <x v="0"/>
  </r>
  <r>
    <x v="0"/>
    <x v="0"/>
    <x v="0"/>
  </r>
  <r>
    <x v="1"/>
    <x v="1"/>
    <x v="0"/>
  </r>
  <r>
    <x v="1"/>
    <x v="1"/>
    <x v="1"/>
  </r>
  <r>
    <x v="1"/>
    <x v="1"/>
    <x v="0"/>
  </r>
  <r>
    <x v="1"/>
    <x v="1"/>
    <x v="0"/>
  </r>
  <r>
    <x v="0"/>
    <x v="0"/>
    <x v="0"/>
  </r>
  <r>
    <x v="1"/>
    <x v="1"/>
    <x v="0"/>
  </r>
  <r>
    <x v="1"/>
    <x v="1"/>
    <x v="0"/>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0"/>
    <x v="0"/>
    <x v="0"/>
  </r>
  <r>
    <x v="1"/>
    <x v="1"/>
    <x v="0"/>
  </r>
  <r>
    <x v="0"/>
    <x v="0"/>
    <x v="0"/>
  </r>
  <r>
    <x v="0"/>
    <x v="0"/>
    <x v="0"/>
  </r>
  <r>
    <x v="1"/>
    <x v="1"/>
    <x v="0"/>
  </r>
  <r>
    <x v="1"/>
    <x v="1"/>
    <x v="0"/>
  </r>
  <r>
    <x v="1"/>
    <x v="1"/>
    <x v="0"/>
  </r>
  <r>
    <x v="1"/>
    <x v="1"/>
    <x v="0"/>
  </r>
  <r>
    <x v="1"/>
    <x v="1"/>
    <x v="0"/>
  </r>
  <r>
    <x v="0"/>
    <x v="0"/>
    <x v="0"/>
  </r>
  <r>
    <x v="0"/>
    <x v="0"/>
    <x v="0"/>
  </r>
  <r>
    <x v="0"/>
    <x v="0"/>
    <x v="0"/>
  </r>
  <r>
    <x v="1"/>
    <x v="1"/>
    <x v="0"/>
  </r>
  <r>
    <x v="0"/>
    <x v="0"/>
    <x v="0"/>
  </r>
  <r>
    <x v="0"/>
    <x v="0"/>
    <x v="0"/>
  </r>
  <r>
    <x v="1"/>
    <x v="1"/>
    <x v="0"/>
  </r>
  <r>
    <x v="0"/>
    <x v="0"/>
    <x v="0"/>
  </r>
  <r>
    <x v="0"/>
    <x v="0"/>
    <x v="0"/>
  </r>
  <r>
    <x v="0"/>
    <x v="0"/>
    <x v="0"/>
  </r>
  <r>
    <x v="0"/>
    <x v="0"/>
    <x v="0"/>
  </r>
  <r>
    <x v="1"/>
    <x v="1"/>
    <x v="0"/>
  </r>
  <r>
    <x v="0"/>
    <x v="0"/>
    <x v="0"/>
  </r>
  <r>
    <x v="1"/>
    <x v="1"/>
    <x v="0"/>
  </r>
  <r>
    <x v="1"/>
    <x v="1"/>
    <x v="0"/>
  </r>
  <r>
    <x v="1"/>
    <x v="1"/>
    <x v="0"/>
  </r>
  <r>
    <x v="0"/>
    <x v="0"/>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1"/>
    <x v="1"/>
    <x v="1"/>
  </r>
  <r>
    <x v="1"/>
    <x v="1"/>
    <x v="0"/>
  </r>
  <r>
    <x v="1"/>
    <x v="1"/>
    <x v="0"/>
  </r>
  <r>
    <x v="0"/>
    <x v="0"/>
    <x v="0"/>
  </r>
  <r>
    <x v="0"/>
    <x v="0"/>
    <x v="0"/>
  </r>
  <r>
    <x v="1"/>
    <x v="1"/>
    <x v="1"/>
  </r>
  <r>
    <x v="1"/>
    <x v="1"/>
    <x v="0"/>
  </r>
  <r>
    <x v="1"/>
    <x v="1"/>
    <x v="0"/>
  </r>
  <r>
    <x v="1"/>
    <x v="1"/>
    <x v="0"/>
  </r>
  <r>
    <x v="0"/>
    <x v="0"/>
    <x v="0"/>
  </r>
  <r>
    <x v="1"/>
    <x v="1"/>
    <x v="0"/>
  </r>
  <r>
    <x v="0"/>
    <x v="0"/>
    <x v="0"/>
  </r>
  <r>
    <x v="0"/>
    <x v="0"/>
    <x v="0"/>
  </r>
  <r>
    <x v="0"/>
    <x v="0"/>
    <x v="0"/>
  </r>
  <r>
    <x v="0"/>
    <x v="0"/>
    <x v="1"/>
  </r>
  <r>
    <x v="1"/>
    <x v="1"/>
    <x v="0"/>
  </r>
  <r>
    <x v="1"/>
    <x v="1"/>
    <x v="0"/>
  </r>
  <r>
    <x v="1"/>
    <x v="1"/>
    <x v="0"/>
  </r>
  <r>
    <x v="0"/>
    <x v="0"/>
    <x v="1"/>
  </r>
  <r>
    <x v="0"/>
    <x v="0"/>
    <x v="0"/>
  </r>
  <r>
    <x v="0"/>
    <x v="0"/>
    <x v="0"/>
  </r>
  <r>
    <x v="1"/>
    <x v="1"/>
    <x v="1"/>
  </r>
  <r>
    <x v="0"/>
    <x v="0"/>
    <x v="0"/>
  </r>
  <r>
    <x v="1"/>
    <x v="1"/>
    <x v="0"/>
  </r>
  <r>
    <x v="1"/>
    <x v="1"/>
    <x v="0"/>
  </r>
  <r>
    <x v="0"/>
    <x v="0"/>
    <x v="0"/>
  </r>
  <r>
    <x v="1"/>
    <x v="1"/>
    <x v="0"/>
  </r>
  <r>
    <x v="0"/>
    <x v="0"/>
    <x v="0"/>
  </r>
  <r>
    <x v="1"/>
    <x v="1"/>
    <x v="0"/>
  </r>
  <r>
    <x v="0"/>
    <x v="0"/>
    <x v="0"/>
  </r>
  <r>
    <x v="1"/>
    <x v="1"/>
    <x v="0"/>
  </r>
  <r>
    <x v="1"/>
    <x v="1"/>
    <x v="0"/>
  </r>
  <r>
    <x v="1"/>
    <x v="1"/>
    <x v="0"/>
  </r>
  <r>
    <x v="0"/>
    <x v="0"/>
    <x v="0"/>
  </r>
  <r>
    <x v="1"/>
    <x v="1"/>
    <x v="0"/>
  </r>
  <r>
    <x v="1"/>
    <x v="1"/>
    <x v="0"/>
  </r>
  <r>
    <x v="1"/>
    <x v="1"/>
    <x v="0"/>
  </r>
  <r>
    <x v="0"/>
    <x v="0"/>
    <x v="0"/>
  </r>
  <r>
    <x v="0"/>
    <x v="0"/>
    <x v="0"/>
  </r>
  <r>
    <x v="0"/>
    <x v="0"/>
    <x v="0"/>
  </r>
  <r>
    <x v="1"/>
    <x v="1"/>
    <x v="0"/>
  </r>
  <r>
    <x v="0"/>
    <x v="0"/>
    <x v="1"/>
  </r>
  <r>
    <x v="1"/>
    <x v="1"/>
    <x v="0"/>
  </r>
  <r>
    <x v="0"/>
    <x v="0"/>
    <x v="0"/>
  </r>
  <r>
    <x v="1"/>
    <x v="1"/>
    <x v="0"/>
  </r>
  <r>
    <x v="1"/>
    <x v="1"/>
    <x v="0"/>
  </r>
  <r>
    <x v="1"/>
    <x v="1"/>
    <x v="0"/>
  </r>
  <r>
    <x v="1"/>
    <x v="1"/>
    <x v="0"/>
  </r>
  <r>
    <x v="0"/>
    <x v="0"/>
    <x v="0"/>
  </r>
  <r>
    <x v="1"/>
    <x v="1"/>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1"/>
    <x v="1"/>
    <x v="0"/>
  </r>
  <r>
    <x v="1"/>
    <x v="1"/>
    <x v="1"/>
  </r>
  <r>
    <x v="0"/>
    <x v="0"/>
    <x v="0"/>
  </r>
  <r>
    <x v="1"/>
    <x v="1"/>
    <x v="0"/>
  </r>
  <r>
    <x v="1"/>
    <x v="1"/>
    <x v="0"/>
  </r>
  <r>
    <x v="1"/>
    <x v="1"/>
    <x v="0"/>
  </r>
  <r>
    <x v="1"/>
    <x v="1"/>
    <x v="0"/>
  </r>
  <r>
    <x v="1"/>
    <x v="1"/>
    <x v="0"/>
  </r>
  <r>
    <x v="0"/>
    <x v="0"/>
    <x v="0"/>
  </r>
  <r>
    <x v="1"/>
    <x v="1"/>
    <x v="0"/>
  </r>
  <r>
    <x v="0"/>
    <x v="0"/>
    <x v="1"/>
  </r>
  <r>
    <x v="1"/>
    <x v="1"/>
    <x v="0"/>
  </r>
  <r>
    <x v="1"/>
    <x v="1"/>
    <x v="0"/>
  </r>
  <r>
    <x v="0"/>
    <x v="0"/>
    <x v="0"/>
  </r>
  <r>
    <x v="0"/>
    <x v="0"/>
    <x v="0"/>
  </r>
  <r>
    <x v="1"/>
    <x v="1"/>
    <x v="0"/>
  </r>
  <r>
    <x v="0"/>
    <x v="0"/>
    <x v="0"/>
  </r>
  <r>
    <x v="0"/>
    <x v="0"/>
    <x v="0"/>
  </r>
  <r>
    <x v="0"/>
    <x v="0"/>
    <x v="0"/>
  </r>
  <r>
    <x v="0"/>
    <x v="0"/>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1"/>
  </r>
  <r>
    <x v="0"/>
    <x v="0"/>
    <x v="0"/>
  </r>
  <r>
    <x v="1"/>
    <x v="1"/>
    <x v="0"/>
  </r>
  <r>
    <x v="1"/>
    <x v="1"/>
    <x v="0"/>
  </r>
  <r>
    <x v="1"/>
    <x v="1"/>
    <x v="0"/>
  </r>
  <r>
    <x v="1"/>
    <x v="1"/>
    <x v="0"/>
  </r>
  <r>
    <x v="1"/>
    <x v="1"/>
    <x v="0"/>
  </r>
  <r>
    <x v="1"/>
    <x v="1"/>
    <x v="0"/>
  </r>
  <r>
    <x v="0"/>
    <x v="0"/>
    <x v="0"/>
  </r>
  <r>
    <x v="0"/>
    <x v="0"/>
    <x v="0"/>
  </r>
  <r>
    <x v="0"/>
    <x v="0"/>
    <x v="0"/>
  </r>
  <r>
    <x v="1"/>
    <x v="1"/>
    <x v="0"/>
  </r>
  <r>
    <x v="1"/>
    <x v="1"/>
    <x v="0"/>
  </r>
  <r>
    <x v="0"/>
    <x v="0"/>
    <x v="0"/>
  </r>
  <r>
    <x v="0"/>
    <x v="0"/>
    <x v="0"/>
  </r>
  <r>
    <x v="1"/>
    <x v="1"/>
    <x v="0"/>
  </r>
  <r>
    <x v="1"/>
    <x v="1"/>
    <x v="0"/>
  </r>
  <r>
    <x v="1"/>
    <x v="1"/>
    <x v="0"/>
  </r>
  <r>
    <x v="1"/>
    <x v="1"/>
    <x v="0"/>
  </r>
  <r>
    <x v="0"/>
    <x v="0"/>
    <x v="0"/>
  </r>
  <r>
    <x v="1"/>
    <x v="1"/>
    <x v="0"/>
  </r>
  <r>
    <x v="0"/>
    <x v="0"/>
    <x v="0"/>
  </r>
  <r>
    <x v="0"/>
    <x v="0"/>
    <x v="0"/>
  </r>
  <r>
    <x v="0"/>
    <x v="0"/>
    <x v="0"/>
  </r>
  <r>
    <x v="1"/>
    <x v="1"/>
    <x v="0"/>
  </r>
  <r>
    <x v="0"/>
    <x v="0"/>
    <x v="0"/>
  </r>
  <r>
    <x v="1"/>
    <x v="1"/>
    <x v="0"/>
  </r>
  <r>
    <x v="1"/>
    <x v="1"/>
    <x v="0"/>
  </r>
  <r>
    <x v="1"/>
    <x v="1"/>
    <x v="0"/>
  </r>
  <r>
    <x v="0"/>
    <x v="0"/>
    <x v="0"/>
  </r>
  <r>
    <x v="0"/>
    <x v="0"/>
    <x v="0"/>
  </r>
  <r>
    <x v="0"/>
    <x v="0"/>
    <x v="0"/>
  </r>
  <r>
    <x v="0"/>
    <x v="0"/>
    <x v="0"/>
  </r>
  <r>
    <x v="0"/>
    <x v="0"/>
    <x v="0"/>
  </r>
  <r>
    <x v="1"/>
    <x v="1"/>
    <x v="0"/>
  </r>
  <r>
    <x v="0"/>
    <x v="0"/>
    <x v="0"/>
  </r>
  <r>
    <x v="0"/>
    <x v="0"/>
    <x v="0"/>
  </r>
  <r>
    <x v="0"/>
    <x v="0"/>
    <x v="0"/>
  </r>
  <r>
    <x v="1"/>
    <x v="1"/>
    <x v="0"/>
  </r>
  <r>
    <x v="0"/>
    <x v="0"/>
    <x v="0"/>
  </r>
  <r>
    <x v="0"/>
    <x v="0"/>
    <x v="0"/>
  </r>
  <r>
    <x v="1"/>
    <x v="1"/>
    <x v="0"/>
  </r>
  <r>
    <x v="0"/>
    <x v="0"/>
    <x v="0"/>
  </r>
  <r>
    <x v="1"/>
    <x v="1"/>
    <x v="1"/>
  </r>
  <r>
    <x v="1"/>
    <x v="1"/>
    <x v="0"/>
  </r>
  <r>
    <x v="0"/>
    <x v="0"/>
    <x v="0"/>
  </r>
  <r>
    <x v="0"/>
    <x v="0"/>
    <x v="0"/>
  </r>
  <r>
    <x v="0"/>
    <x v="0"/>
    <x v="0"/>
  </r>
  <r>
    <x v="1"/>
    <x v="1"/>
    <x v="0"/>
  </r>
  <r>
    <x v="1"/>
    <x v="1"/>
    <x v="1"/>
  </r>
  <r>
    <x v="0"/>
    <x v="0"/>
    <x v="0"/>
  </r>
  <r>
    <x v="1"/>
    <x v="1"/>
    <x v="0"/>
  </r>
  <r>
    <x v="1"/>
    <x v="1"/>
    <x v="0"/>
  </r>
  <r>
    <x v="1"/>
    <x v="1"/>
    <x v="0"/>
  </r>
  <r>
    <x v="0"/>
    <x v="0"/>
    <x v="0"/>
  </r>
  <r>
    <x v="0"/>
    <x v="0"/>
    <x v="0"/>
  </r>
  <r>
    <x v="0"/>
    <x v="0"/>
    <x v="0"/>
  </r>
  <r>
    <x v="0"/>
    <x v="0"/>
    <x v="0"/>
  </r>
  <r>
    <x v="1"/>
    <x v="1"/>
    <x v="0"/>
  </r>
  <r>
    <x v="1"/>
    <x v="1"/>
    <x v="1"/>
  </r>
  <r>
    <x v="1"/>
    <x v="1"/>
    <x v="0"/>
  </r>
  <r>
    <x v="1"/>
    <x v="1"/>
    <x v="0"/>
  </r>
  <r>
    <x v="0"/>
    <x v="0"/>
    <x v="0"/>
  </r>
  <r>
    <x v="0"/>
    <x v="0"/>
    <x v="0"/>
  </r>
  <r>
    <x v="1"/>
    <x v="1"/>
    <x v="0"/>
  </r>
  <r>
    <x v="1"/>
    <x v="1"/>
    <x v="0"/>
  </r>
  <r>
    <x v="0"/>
    <x v="0"/>
    <x v="0"/>
  </r>
  <r>
    <x v="1"/>
    <x v="1"/>
    <x v="0"/>
  </r>
  <r>
    <x v="0"/>
    <x v="0"/>
    <x v="0"/>
  </r>
  <r>
    <x v="0"/>
    <x v="0"/>
    <x v="0"/>
  </r>
  <r>
    <x v="0"/>
    <x v="0"/>
    <x v="0"/>
  </r>
  <r>
    <x v="0"/>
    <x v="0"/>
    <x v="0"/>
  </r>
  <r>
    <x v="1"/>
    <x v="1"/>
    <x v="0"/>
  </r>
  <r>
    <x v="1"/>
    <x v="1"/>
    <x v="0"/>
  </r>
  <r>
    <x v="1"/>
    <x v="1"/>
    <x v="0"/>
  </r>
  <r>
    <x v="0"/>
    <x v="0"/>
    <x v="0"/>
  </r>
  <r>
    <x v="1"/>
    <x v="1"/>
    <x v="1"/>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1"/>
    <x v="1"/>
    <x v="0"/>
  </r>
  <r>
    <x v="1"/>
    <x v="1"/>
    <x v="0"/>
  </r>
  <r>
    <x v="0"/>
    <x v="0"/>
    <x v="1"/>
  </r>
  <r>
    <x v="1"/>
    <x v="1"/>
    <x v="0"/>
  </r>
  <r>
    <x v="1"/>
    <x v="1"/>
    <x v="0"/>
  </r>
  <r>
    <x v="1"/>
    <x v="1"/>
    <x v="1"/>
  </r>
  <r>
    <x v="0"/>
    <x v="0"/>
    <x v="0"/>
  </r>
  <r>
    <x v="1"/>
    <x v="1"/>
    <x v="0"/>
  </r>
  <r>
    <x v="1"/>
    <x v="1"/>
    <x v="0"/>
  </r>
  <r>
    <x v="1"/>
    <x v="1"/>
    <x v="0"/>
  </r>
  <r>
    <x v="1"/>
    <x v="1"/>
    <x v="0"/>
  </r>
  <r>
    <x v="0"/>
    <x v="0"/>
    <x v="0"/>
  </r>
  <r>
    <x v="0"/>
    <x v="0"/>
    <x v="1"/>
  </r>
  <r>
    <x v="0"/>
    <x v="0"/>
    <x v="1"/>
  </r>
  <r>
    <x v="1"/>
    <x v="1"/>
    <x v="0"/>
  </r>
  <r>
    <x v="0"/>
    <x v="0"/>
    <x v="0"/>
  </r>
  <r>
    <x v="0"/>
    <x v="0"/>
    <x v="0"/>
  </r>
  <r>
    <x v="0"/>
    <x v="0"/>
    <x v="0"/>
  </r>
  <r>
    <x v="0"/>
    <x v="0"/>
    <x v="0"/>
  </r>
  <r>
    <x v="0"/>
    <x v="0"/>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0"/>
    <x v="0"/>
    <x v="0"/>
  </r>
  <r>
    <x v="1"/>
    <x v="1"/>
    <x v="1"/>
  </r>
  <r>
    <x v="1"/>
    <x v="1"/>
    <x v="0"/>
  </r>
  <r>
    <x v="1"/>
    <x v="1"/>
    <x v="0"/>
  </r>
  <r>
    <x v="0"/>
    <x v="0"/>
    <x v="0"/>
  </r>
  <r>
    <x v="1"/>
    <x v="1"/>
    <x v="0"/>
  </r>
  <r>
    <x v="0"/>
    <x v="0"/>
    <x v="0"/>
  </r>
  <r>
    <x v="1"/>
    <x v="1"/>
    <x v="0"/>
  </r>
  <r>
    <x v="1"/>
    <x v="1"/>
    <x v="0"/>
  </r>
  <r>
    <x v="1"/>
    <x v="1"/>
    <x v="1"/>
  </r>
  <r>
    <x v="0"/>
    <x v="0"/>
    <x v="0"/>
  </r>
  <r>
    <x v="0"/>
    <x v="0"/>
    <x v="0"/>
  </r>
  <r>
    <x v="0"/>
    <x v="0"/>
    <x v="0"/>
  </r>
  <r>
    <x v="1"/>
    <x v="1"/>
    <x v="0"/>
  </r>
  <r>
    <x v="1"/>
    <x v="1"/>
    <x v="0"/>
  </r>
  <r>
    <x v="1"/>
    <x v="1"/>
    <x v="1"/>
  </r>
  <r>
    <x v="0"/>
    <x v="0"/>
    <x v="0"/>
  </r>
  <r>
    <x v="0"/>
    <x v="0"/>
    <x v="0"/>
  </r>
  <r>
    <x v="1"/>
    <x v="1"/>
    <x v="0"/>
  </r>
  <r>
    <x v="1"/>
    <x v="1"/>
    <x v="0"/>
  </r>
  <r>
    <x v="0"/>
    <x v="0"/>
    <x v="0"/>
  </r>
  <r>
    <x v="0"/>
    <x v="0"/>
    <x v="0"/>
  </r>
  <r>
    <x v="0"/>
    <x v="0"/>
    <x v="0"/>
  </r>
  <r>
    <x v="1"/>
    <x v="1"/>
    <x v="0"/>
  </r>
  <r>
    <x v="0"/>
    <x v="0"/>
    <x v="0"/>
  </r>
  <r>
    <x v="0"/>
    <x v="0"/>
    <x v="0"/>
  </r>
  <r>
    <x v="0"/>
    <x v="0"/>
    <x v="0"/>
  </r>
  <r>
    <x v="1"/>
    <x v="1"/>
    <x v="0"/>
  </r>
  <r>
    <x v="0"/>
    <x v="0"/>
    <x v="0"/>
  </r>
  <r>
    <x v="0"/>
    <x v="0"/>
    <x v="0"/>
  </r>
  <r>
    <x v="1"/>
    <x v="1"/>
    <x v="0"/>
  </r>
  <r>
    <x v="0"/>
    <x v="0"/>
    <x v="0"/>
  </r>
  <r>
    <x v="1"/>
    <x v="1"/>
    <x v="0"/>
  </r>
  <r>
    <x v="0"/>
    <x v="0"/>
    <x v="0"/>
  </r>
  <r>
    <x v="0"/>
    <x v="0"/>
    <x v="0"/>
  </r>
  <r>
    <x v="0"/>
    <x v="0"/>
    <x v="0"/>
  </r>
  <r>
    <x v="0"/>
    <x v="0"/>
    <x v="0"/>
  </r>
  <r>
    <x v="0"/>
    <x v="0"/>
    <x v="0"/>
  </r>
  <r>
    <x v="1"/>
    <x v="1"/>
    <x v="0"/>
  </r>
  <r>
    <x v="0"/>
    <x v="0"/>
    <x v="0"/>
  </r>
  <r>
    <x v="0"/>
    <x v="0"/>
    <x v="0"/>
  </r>
  <r>
    <x v="1"/>
    <x v="1"/>
    <x v="0"/>
  </r>
  <r>
    <x v="1"/>
    <x v="1"/>
    <x v="0"/>
  </r>
  <r>
    <x v="1"/>
    <x v="1"/>
    <x v="0"/>
  </r>
  <r>
    <x v="0"/>
    <x v="0"/>
    <x v="0"/>
  </r>
  <r>
    <x v="0"/>
    <x v="0"/>
    <x v="0"/>
  </r>
  <r>
    <x v="1"/>
    <x v="1"/>
    <x v="0"/>
  </r>
  <r>
    <x v="0"/>
    <x v="0"/>
    <x v="1"/>
  </r>
  <r>
    <x v="1"/>
    <x v="1"/>
    <x v="0"/>
  </r>
  <r>
    <x v="1"/>
    <x v="1"/>
    <x v="0"/>
  </r>
  <r>
    <x v="0"/>
    <x v="0"/>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1"/>
    <x v="1"/>
    <x v="0"/>
  </r>
  <r>
    <x v="0"/>
    <x v="0"/>
    <x v="0"/>
  </r>
  <r>
    <x v="1"/>
    <x v="1"/>
    <x v="0"/>
  </r>
  <r>
    <x v="1"/>
    <x v="1"/>
    <x v="0"/>
  </r>
  <r>
    <x v="1"/>
    <x v="1"/>
    <x v="0"/>
  </r>
  <r>
    <x v="0"/>
    <x v="0"/>
    <x v="0"/>
  </r>
  <r>
    <x v="0"/>
    <x v="0"/>
    <x v="0"/>
  </r>
  <r>
    <x v="0"/>
    <x v="0"/>
    <x v="0"/>
  </r>
  <r>
    <x v="0"/>
    <x v="0"/>
    <x v="0"/>
  </r>
  <r>
    <x v="1"/>
    <x v="1"/>
    <x v="0"/>
  </r>
  <r>
    <x v="0"/>
    <x v="0"/>
    <x v="0"/>
  </r>
  <r>
    <x v="0"/>
    <x v="0"/>
    <x v="0"/>
  </r>
  <r>
    <x v="1"/>
    <x v="1"/>
    <x v="1"/>
  </r>
  <r>
    <x v="1"/>
    <x v="1"/>
    <x v="0"/>
  </r>
  <r>
    <x v="1"/>
    <x v="1"/>
    <x v="0"/>
  </r>
  <r>
    <x v="1"/>
    <x v="1"/>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0"/>
    <x v="0"/>
    <x v="0"/>
  </r>
  <r>
    <x v="1"/>
    <x v="1"/>
    <x v="0"/>
  </r>
  <r>
    <x v="0"/>
    <x v="0"/>
    <x v="0"/>
  </r>
  <r>
    <x v="1"/>
    <x v="1"/>
    <x v="0"/>
  </r>
  <r>
    <x v="1"/>
    <x v="1"/>
    <x v="0"/>
  </r>
  <r>
    <x v="0"/>
    <x v="0"/>
    <x v="1"/>
  </r>
  <r>
    <x v="1"/>
    <x v="1"/>
    <x v="0"/>
  </r>
  <r>
    <x v="1"/>
    <x v="1"/>
    <x v="0"/>
  </r>
  <r>
    <x v="1"/>
    <x v="1"/>
    <x v="0"/>
  </r>
  <r>
    <x v="0"/>
    <x v="0"/>
    <x v="0"/>
  </r>
  <r>
    <x v="1"/>
    <x v="1"/>
    <x v="0"/>
  </r>
  <r>
    <x v="0"/>
    <x v="0"/>
    <x v="0"/>
  </r>
  <r>
    <x v="1"/>
    <x v="1"/>
    <x v="0"/>
  </r>
  <r>
    <x v="0"/>
    <x v="0"/>
    <x v="0"/>
  </r>
  <r>
    <x v="1"/>
    <x v="1"/>
    <x v="0"/>
  </r>
  <r>
    <x v="1"/>
    <x v="1"/>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0"/>
    <x v="0"/>
    <x v="0"/>
  </r>
  <r>
    <x v="0"/>
    <x v="0"/>
    <x v="0"/>
  </r>
  <r>
    <x v="1"/>
    <x v="1"/>
    <x v="0"/>
  </r>
  <r>
    <x v="1"/>
    <x v="1"/>
    <x v="0"/>
  </r>
  <r>
    <x v="0"/>
    <x v="0"/>
    <x v="0"/>
  </r>
  <r>
    <x v="1"/>
    <x v="1"/>
    <x v="1"/>
  </r>
  <r>
    <x v="1"/>
    <x v="1"/>
    <x v="0"/>
  </r>
  <r>
    <x v="1"/>
    <x v="1"/>
    <x v="0"/>
  </r>
  <r>
    <x v="1"/>
    <x v="1"/>
    <x v="0"/>
  </r>
  <r>
    <x v="0"/>
    <x v="0"/>
    <x v="0"/>
  </r>
  <r>
    <x v="1"/>
    <x v="1"/>
    <x v="0"/>
  </r>
  <r>
    <x v="1"/>
    <x v="1"/>
    <x v="0"/>
  </r>
  <r>
    <x v="1"/>
    <x v="1"/>
    <x v="0"/>
  </r>
  <r>
    <x v="1"/>
    <x v="1"/>
    <x v="0"/>
  </r>
  <r>
    <x v="1"/>
    <x v="1"/>
    <x v="0"/>
  </r>
  <r>
    <x v="1"/>
    <x v="1"/>
    <x v="0"/>
  </r>
  <r>
    <x v="1"/>
    <x v="1"/>
    <x v="0"/>
  </r>
  <r>
    <x v="0"/>
    <x v="0"/>
    <x v="0"/>
  </r>
  <r>
    <x v="0"/>
    <x v="0"/>
    <x v="0"/>
  </r>
  <r>
    <x v="0"/>
    <x v="0"/>
    <x v="0"/>
  </r>
  <r>
    <x v="0"/>
    <x v="0"/>
    <x v="0"/>
  </r>
  <r>
    <x v="0"/>
    <x v="0"/>
    <x v="0"/>
  </r>
  <r>
    <x v="0"/>
    <x v="0"/>
    <x v="0"/>
  </r>
  <r>
    <x v="1"/>
    <x v="1"/>
    <x v="0"/>
  </r>
  <r>
    <x v="0"/>
    <x v="0"/>
    <x v="0"/>
  </r>
  <r>
    <x v="1"/>
    <x v="1"/>
    <x v="0"/>
  </r>
  <r>
    <x v="1"/>
    <x v="1"/>
    <x v="0"/>
  </r>
  <r>
    <x v="1"/>
    <x v="1"/>
    <x v="0"/>
  </r>
  <r>
    <x v="1"/>
    <x v="1"/>
    <x v="0"/>
  </r>
  <r>
    <x v="0"/>
    <x v="0"/>
    <x v="0"/>
  </r>
  <r>
    <x v="0"/>
    <x v="0"/>
    <x v="0"/>
  </r>
  <r>
    <x v="1"/>
    <x v="1"/>
    <x v="0"/>
  </r>
  <r>
    <x v="0"/>
    <x v="0"/>
    <x v="0"/>
  </r>
  <r>
    <x v="0"/>
    <x v="0"/>
    <x v="0"/>
  </r>
  <r>
    <x v="0"/>
    <x v="0"/>
    <x v="0"/>
  </r>
  <r>
    <x v="0"/>
    <x v="0"/>
    <x v="0"/>
  </r>
  <r>
    <x v="1"/>
    <x v="1"/>
    <x v="0"/>
  </r>
  <r>
    <x v="1"/>
    <x v="1"/>
    <x v="0"/>
  </r>
  <r>
    <x v="0"/>
    <x v="0"/>
    <x v="0"/>
  </r>
  <r>
    <x v="1"/>
    <x v="1"/>
    <x v="0"/>
  </r>
  <r>
    <x v="1"/>
    <x v="1"/>
    <x v="0"/>
  </r>
  <r>
    <x v="0"/>
    <x v="0"/>
    <x v="0"/>
  </r>
  <r>
    <x v="0"/>
    <x v="0"/>
    <x v="0"/>
  </r>
  <r>
    <x v="1"/>
    <x v="1"/>
    <x v="0"/>
  </r>
  <r>
    <x v="1"/>
    <x v="1"/>
    <x v="0"/>
  </r>
  <r>
    <x v="0"/>
    <x v="0"/>
    <x v="0"/>
  </r>
  <r>
    <x v="0"/>
    <x v="0"/>
    <x v="0"/>
  </r>
  <r>
    <x v="0"/>
    <x v="0"/>
    <x v="0"/>
  </r>
  <r>
    <x v="0"/>
    <x v="0"/>
    <x v="0"/>
  </r>
  <r>
    <x v="1"/>
    <x v="1"/>
    <x v="0"/>
  </r>
  <r>
    <x v="1"/>
    <x v="1"/>
    <x v="0"/>
  </r>
  <r>
    <x v="1"/>
    <x v="1"/>
    <x v="0"/>
  </r>
  <r>
    <x v="1"/>
    <x v="1"/>
    <x v="1"/>
  </r>
  <r>
    <x v="1"/>
    <x v="1"/>
    <x v="0"/>
  </r>
  <r>
    <x v="1"/>
    <x v="1"/>
    <x v="0"/>
  </r>
  <r>
    <x v="1"/>
    <x v="1"/>
    <x v="0"/>
  </r>
  <r>
    <x v="1"/>
    <x v="1"/>
    <x v="0"/>
  </r>
  <r>
    <x v="0"/>
    <x v="0"/>
    <x v="0"/>
  </r>
  <r>
    <x v="1"/>
    <x v="1"/>
    <x v="0"/>
  </r>
  <r>
    <x v="0"/>
    <x v="0"/>
    <x v="0"/>
  </r>
  <r>
    <x v="1"/>
    <x v="1"/>
    <x v="0"/>
  </r>
  <r>
    <x v="1"/>
    <x v="1"/>
    <x v="0"/>
  </r>
  <r>
    <x v="0"/>
    <x v="0"/>
    <x v="0"/>
  </r>
  <r>
    <x v="0"/>
    <x v="0"/>
    <x v="0"/>
  </r>
  <r>
    <x v="0"/>
    <x v="0"/>
    <x v="0"/>
  </r>
  <r>
    <x v="0"/>
    <x v="0"/>
    <x v="0"/>
  </r>
  <r>
    <x v="0"/>
    <x v="0"/>
    <x v="0"/>
  </r>
  <r>
    <x v="1"/>
    <x v="1"/>
    <x v="0"/>
  </r>
  <r>
    <x v="0"/>
    <x v="0"/>
    <x v="0"/>
  </r>
  <r>
    <x v="0"/>
    <x v="0"/>
    <x v="0"/>
  </r>
  <r>
    <x v="1"/>
    <x v="1"/>
    <x v="0"/>
  </r>
  <r>
    <x v="0"/>
    <x v="0"/>
    <x v="0"/>
  </r>
  <r>
    <x v="0"/>
    <x v="0"/>
    <x v="0"/>
  </r>
  <r>
    <x v="1"/>
    <x v="1"/>
    <x v="0"/>
  </r>
  <r>
    <x v="0"/>
    <x v="0"/>
    <x v="1"/>
  </r>
  <r>
    <x v="1"/>
    <x v="1"/>
    <x v="0"/>
  </r>
  <r>
    <x v="1"/>
    <x v="1"/>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1"/>
    <x v="1"/>
    <x v="0"/>
  </r>
  <r>
    <x v="1"/>
    <x v="1"/>
    <x v="0"/>
  </r>
  <r>
    <x v="0"/>
    <x v="0"/>
    <x v="0"/>
  </r>
  <r>
    <x v="0"/>
    <x v="0"/>
    <x v="0"/>
  </r>
  <r>
    <x v="0"/>
    <x v="0"/>
    <x v="0"/>
  </r>
  <r>
    <x v="1"/>
    <x v="1"/>
    <x v="0"/>
  </r>
  <r>
    <x v="0"/>
    <x v="0"/>
    <x v="0"/>
  </r>
  <r>
    <x v="0"/>
    <x v="0"/>
    <x v="0"/>
  </r>
  <r>
    <x v="0"/>
    <x v="0"/>
    <x v="0"/>
  </r>
  <r>
    <x v="1"/>
    <x v="1"/>
    <x v="0"/>
  </r>
  <r>
    <x v="0"/>
    <x v="0"/>
    <x v="0"/>
  </r>
  <r>
    <x v="0"/>
    <x v="0"/>
    <x v="0"/>
  </r>
  <r>
    <x v="1"/>
    <x v="1"/>
    <x v="0"/>
  </r>
  <r>
    <x v="1"/>
    <x v="1"/>
    <x v="0"/>
  </r>
  <r>
    <x v="0"/>
    <x v="0"/>
    <x v="0"/>
  </r>
  <r>
    <x v="0"/>
    <x v="0"/>
    <x v="0"/>
  </r>
  <r>
    <x v="1"/>
    <x v="1"/>
    <x v="0"/>
  </r>
  <r>
    <x v="1"/>
    <x v="1"/>
    <x v="0"/>
  </r>
  <r>
    <x v="1"/>
    <x v="1"/>
    <x v="0"/>
  </r>
  <r>
    <x v="0"/>
    <x v="0"/>
    <x v="0"/>
  </r>
  <r>
    <x v="0"/>
    <x v="0"/>
    <x v="0"/>
  </r>
  <r>
    <x v="0"/>
    <x v="0"/>
    <x v="0"/>
  </r>
  <r>
    <x v="1"/>
    <x v="1"/>
    <x v="1"/>
  </r>
  <r>
    <x v="0"/>
    <x v="0"/>
    <x v="0"/>
  </r>
  <r>
    <x v="0"/>
    <x v="0"/>
    <x v="0"/>
  </r>
  <r>
    <x v="1"/>
    <x v="1"/>
    <x v="0"/>
  </r>
  <r>
    <x v="0"/>
    <x v="0"/>
    <x v="0"/>
  </r>
  <r>
    <x v="1"/>
    <x v="1"/>
    <x v="0"/>
  </r>
  <r>
    <x v="1"/>
    <x v="1"/>
    <x v="0"/>
  </r>
  <r>
    <x v="1"/>
    <x v="1"/>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0"/>
    <x v="0"/>
    <x v="0"/>
  </r>
  <r>
    <x v="1"/>
    <x v="1"/>
    <x v="0"/>
  </r>
  <r>
    <x v="0"/>
    <x v="0"/>
    <x v="0"/>
  </r>
  <r>
    <x v="0"/>
    <x v="0"/>
    <x v="0"/>
  </r>
  <r>
    <x v="1"/>
    <x v="1"/>
    <x v="0"/>
  </r>
  <r>
    <x v="1"/>
    <x v="1"/>
    <x v="0"/>
  </r>
  <r>
    <x v="0"/>
    <x v="0"/>
    <x v="0"/>
  </r>
  <r>
    <x v="1"/>
    <x v="1"/>
    <x v="0"/>
  </r>
  <r>
    <x v="1"/>
    <x v="1"/>
    <x v="0"/>
  </r>
  <r>
    <x v="1"/>
    <x v="1"/>
    <x v="0"/>
  </r>
  <r>
    <x v="0"/>
    <x v="0"/>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1"/>
    <x v="1"/>
    <x v="0"/>
  </r>
  <r>
    <x v="0"/>
    <x v="0"/>
    <x v="0"/>
  </r>
  <r>
    <x v="0"/>
    <x v="0"/>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1"/>
    <x v="1"/>
    <x v="0"/>
  </r>
  <r>
    <x v="1"/>
    <x v="1"/>
    <x v="0"/>
  </r>
  <r>
    <x v="1"/>
    <x v="1"/>
    <x v="0"/>
  </r>
  <r>
    <x v="1"/>
    <x v="1"/>
    <x v="0"/>
  </r>
  <r>
    <x v="1"/>
    <x v="1"/>
    <x v="0"/>
  </r>
  <r>
    <x v="0"/>
    <x v="0"/>
    <x v="0"/>
  </r>
  <r>
    <x v="0"/>
    <x v="0"/>
    <x v="1"/>
  </r>
  <r>
    <x v="0"/>
    <x v="0"/>
    <x v="1"/>
  </r>
  <r>
    <x v="1"/>
    <x v="1"/>
    <x v="0"/>
  </r>
  <r>
    <x v="0"/>
    <x v="0"/>
    <x v="0"/>
  </r>
  <r>
    <x v="0"/>
    <x v="0"/>
    <x v="0"/>
  </r>
  <r>
    <x v="0"/>
    <x v="0"/>
    <x v="0"/>
  </r>
  <r>
    <x v="0"/>
    <x v="0"/>
    <x v="0"/>
  </r>
  <r>
    <x v="1"/>
    <x v="1"/>
    <x v="0"/>
  </r>
  <r>
    <x v="0"/>
    <x v="0"/>
    <x v="0"/>
  </r>
  <r>
    <x v="1"/>
    <x v="1"/>
    <x v="0"/>
  </r>
  <r>
    <x v="0"/>
    <x v="0"/>
    <x v="0"/>
  </r>
  <r>
    <x v="0"/>
    <x v="0"/>
    <x v="0"/>
  </r>
  <r>
    <x v="1"/>
    <x v="1"/>
    <x v="0"/>
  </r>
  <r>
    <x v="1"/>
    <x v="1"/>
    <x v="0"/>
  </r>
  <r>
    <x v="0"/>
    <x v="0"/>
    <x v="0"/>
  </r>
  <r>
    <x v="0"/>
    <x v="0"/>
    <x v="0"/>
  </r>
  <r>
    <x v="1"/>
    <x v="1"/>
    <x v="0"/>
  </r>
  <r>
    <x v="1"/>
    <x v="1"/>
    <x v="0"/>
  </r>
  <r>
    <x v="1"/>
    <x v="1"/>
    <x v="0"/>
  </r>
  <r>
    <x v="0"/>
    <x v="0"/>
    <x v="0"/>
  </r>
  <r>
    <x v="0"/>
    <x v="0"/>
    <x v="1"/>
  </r>
  <r>
    <x v="0"/>
    <x v="0"/>
    <x v="0"/>
  </r>
  <r>
    <x v="0"/>
    <x v="0"/>
    <x v="0"/>
  </r>
  <r>
    <x v="1"/>
    <x v="1"/>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1"/>
  </r>
  <r>
    <x v="1"/>
    <x v="1"/>
    <x v="0"/>
  </r>
  <r>
    <x v="1"/>
    <x v="1"/>
    <x v="0"/>
  </r>
  <r>
    <x v="0"/>
    <x v="0"/>
    <x v="0"/>
  </r>
  <r>
    <x v="0"/>
    <x v="0"/>
    <x v="0"/>
  </r>
  <r>
    <x v="0"/>
    <x v="0"/>
    <x v="0"/>
  </r>
  <r>
    <x v="0"/>
    <x v="0"/>
    <x v="0"/>
  </r>
  <r>
    <x v="1"/>
    <x v="1"/>
    <x v="0"/>
  </r>
  <r>
    <x v="1"/>
    <x v="1"/>
    <x v="0"/>
  </r>
  <r>
    <x v="1"/>
    <x v="1"/>
    <x v="0"/>
  </r>
  <r>
    <x v="0"/>
    <x v="0"/>
    <x v="0"/>
  </r>
  <r>
    <x v="0"/>
    <x v="0"/>
    <x v="1"/>
  </r>
  <r>
    <x v="1"/>
    <x v="1"/>
    <x v="0"/>
  </r>
  <r>
    <x v="0"/>
    <x v="0"/>
    <x v="0"/>
  </r>
  <r>
    <x v="0"/>
    <x v="0"/>
    <x v="0"/>
  </r>
  <r>
    <x v="1"/>
    <x v="1"/>
    <x v="0"/>
  </r>
  <r>
    <x v="0"/>
    <x v="0"/>
    <x v="0"/>
  </r>
  <r>
    <x v="1"/>
    <x v="1"/>
    <x v="0"/>
  </r>
  <r>
    <x v="1"/>
    <x v="1"/>
    <x v="0"/>
  </r>
  <r>
    <x v="0"/>
    <x v="0"/>
    <x v="0"/>
  </r>
  <r>
    <x v="0"/>
    <x v="0"/>
    <x v="0"/>
  </r>
  <r>
    <x v="1"/>
    <x v="1"/>
    <x v="1"/>
  </r>
  <r>
    <x v="0"/>
    <x v="0"/>
    <x v="0"/>
  </r>
  <r>
    <x v="0"/>
    <x v="0"/>
    <x v="0"/>
  </r>
  <r>
    <x v="1"/>
    <x v="1"/>
    <x v="0"/>
  </r>
  <r>
    <x v="1"/>
    <x v="1"/>
    <x v="0"/>
  </r>
  <r>
    <x v="1"/>
    <x v="1"/>
    <x v="0"/>
  </r>
  <r>
    <x v="0"/>
    <x v="0"/>
    <x v="0"/>
  </r>
  <r>
    <x v="1"/>
    <x v="1"/>
    <x v="0"/>
  </r>
  <r>
    <x v="0"/>
    <x v="0"/>
    <x v="0"/>
  </r>
  <r>
    <x v="1"/>
    <x v="1"/>
    <x v="0"/>
  </r>
  <r>
    <x v="0"/>
    <x v="0"/>
    <x v="0"/>
  </r>
  <r>
    <x v="1"/>
    <x v="1"/>
    <x v="0"/>
  </r>
  <r>
    <x v="0"/>
    <x v="0"/>
    <x v="0"/>
  </r>
  <r>
    <x v="0"/>
    <x v="0"/>
    <x v="1"/>
  </r>
  <r>
    <x v="0"/>
    <x v="0"/>
    <x v="0"/>
  </r>
  <r>
    <x v="1"/>
    <x v="1"/>
    <x v="0"/>
  </r>
  <r>
    <x v="1"/>
    <x v="1"/>
    <x v="0"/>
  </r>
  <r>
    <x v="1"/>
    <x v="1"/>
    <x v="0"/>
  </r>
  <r>
    <x v="1"/>
    <x v="1"/>
    <x v="0"/>
  </r>
  <r>
    <x v="1"/>
    <x v="1"/>
    <x v="0"/>
  </r>
  <r>
    <x v="1"/>
    <x v="1"/>
    <x v="0"/>
  </r>
  <r>
    <x v="1"/>
    <x v="1"/>
    <x v="0"/>
  </r>
  <r>
    <x v="1"/>
    <x v="1"/>
    <x v="0"/>
  </r>
  <r>
    <x v="0"/>
    <x v="0"/>
    <x v="0"/>
  </r>
  <r>
    <x v="0"/>
    <x v="0"/>
    <x v="0"/>
  </r>
  <r>
    <x v="0"/>
    <x v="0"/>
    <x v="0"/>
  </r>
  <r>
    <x v="0"/>
    <x v="0"/>
    <x v="0"/>
  </r>
  <r>
    <x v="1"/>
    <x v="1"/>
    <x v="0"/>
  </r>
  <r>
    <x v="1"/>
    <x v="1"/>
    <x v="0"/>
  </r>
  <r>
    <x v="1"/>
    <x v="1"/>
    <x v="0"/>
  </r>
  <r>
    <x v="1"/>
    <x v="1"/>
    <x v="0"/>
  </r>
  <r>
    <x v="1"/>
    <x v="1"/>
    <x v="0"/>
  </r>
  <r>
    <x v="0"/>
    <x v="0"/>
    <x v="0"/>
  </r>
  <r>
    <x v="0"/>
    <x v="0"/>
    <x v="0"/>
  </r>
  <r>
    <x v="1"/>
    <x v="1"/>
    <x v="0"/>
  </r>
  <r>
    <x v="0"/>
    <x v="0"/>
    <x v="0"/>
  </r>
  <r>
    <x v="0"/>
    <x v="0"/>
    <x v="0"/>
  </r>
  <r>
    <x v="0"/>
    <x v="0"/>
    <x v="0"/>
  </r>
  <r>
    <x v="1"/>
    <x v="1"/>
    <x v="0"/>
  </r>
  <r>
    <x v="1"/>
    <x v="1"/>
    <x v="0"/>
  </r>
  <r>
    <x v="0"/>
    <x v="0"/>
    <x v="0"/>
  </r>
  <r>
    <x v="0"/>
    <x v="0"/>
    <x v="0"/>
  </r>
  <r>
    <x v="0"/>
    <x v="0"/>
    <x v="0"/>
  </r>
  <r>
    <x v="1"/>
    <x v="1"/>
    <x v="0"/>
  </r>
  <r>
    <x v="1"/>
    <x v="1"/>
    <x v="0"/>
  </r>
  <r>
    <x v="0"/>
    <x v="0"/>
    <x v="0"/>
  </r>
  <r>
    <x v="0"/>
    <x v="0"/>
    <x v="0"/>
  </r>
  <r>
    <x v="0"/>
    <x v="0"/>
    <x v="0"/>
  </r>
  <r>
    <x v="0"/>
    <x v="0"/>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1"/>
    <x v="1"/>
    <x v="0"/>
  </r>
  <r>
    <x v="0"/>
    <x v="0"/>
    <x v="0"/>
  </r>
  <r>
    <x v="1"/>
    <x v="1"/>
    <x v="0"/>
  </r>
  <r>
    <x v="0"/>
    <x v="0"/>
    <x v="0"/>
  </r>
  <r>
    <x v="0"/>
    <x v="0"/>
    <x v="0"/>
  </r>
  <r>
    <x v="1"/>
    <x v="1"/>
    <x v="0"/>
  </r>
  <r>
    <x v="0"/>
    <x v="0"/>
    <x v="0"/>
  </r>
  <r>
    <x v="0"/>
    <x v="0"/>
    <x v="0"/>
  </r>
  <r>
    <x v="0"/>
    <x v="0"/>
    <x v="0"/>
  </r>
  <r>
    <x v="1"/>
    <x v="1"/>
    <x v="0"/>
  </r>
  <r>
    <x v="1"/>
    <x v="1"/>
    <x v="0"/>
  </r>
  <r>
    <x v="1"/>
    <x v="1"/>
    <x v="0"/>
  </r>
  <r>
    <x v="0"/>
    <x v="0"/>
    <x v="0"/>
  </r>
  <r>
    <x v="1"/>
    <x v="1"/>
    <x v="0"/>
  </r>
  <r>
    <x v="0"/>
    <x v="0"/>
    <x v="0"/>
  </r>
  <r>
    <x v="1"/>
    <x v="1"/>
    <x v="0"/>
  </r>
  <r>
    <x v="0"/>
    <x v="0"/>
    <x v="0"/>
  </r>
  <r>
    <x v="1"/>
    <x v="1"/>
    <x v="0"/>
  </r>
  <r>
    <x v="0"/>
    <x v="0"/>
    <x v="0"/>
  </r>
  <r>
    <x v="0"/>
    <x v="0"/>
    <x v="0"/>
  </r>
  <r>
    <x v="1"/>
    <x v="1"/>
    <x v="0"/>
  </r>
  <r>
    <x v="0"/>
    <x v="0"/>
    <x v="0"/>
  </r>
  <r>
    <x v="0"/>
    <x v="0"/>
    <x v="0"/>
  </r>
  <r>
    <x v="1"/>
    <x v="1"/>
    <x v="0"/>
  </r>
  <r>
    <x v="1"/>
    <x v="1"/>
    <x v="0"/>
  </r>
  <r>
    <x v="1"/>
    <x v="1"/>
    <x v="0"/>
  </r>
  <r>
    <x v="0"/>
    <x v="0"/>
    <x v="0"/>
  </r>
  <r>
    <x v="0"/>
    <x v="0"/>
    <x v="0"/>
  </r>
  <r>
    <x v="0"/>
    <x v="0"/>
    <x v="0"/>
  </r>
  <r>
    <x v="0"/>
    <x v="0"/>
    <x v="0"/>
  </r>
  <r>
    <x v="1"/>
    <x v="1"/>
    <x v="0"/>
  </r>
  <r>
    <x v="1"/>
    <x v="1"/>
    <x v="1"/>
  </r>
  <r>
    <x v="0"/>
    <x v="0"/>
    <x v="0"/>
  </r>
  <r>
    <x v="1"/>
    <x v="1"/>
    <x v="0"/>
  </r>
  <r>
    <x v="1"/>
    <x v="1"/>
    <x v="0"/>
  </r>
  <r>
    <x v="0"/>
    <x v="0"/>
    <x v="0"/>
  </r>
  <r>
    <x v="0"/>
    <x v="0"/>
    <x v="0"/>
  </r>
  <r>
    <x v="1"/>
    <x v="1"/>
    <x v="0"/>
  </r>
  <r>
    <x v="1"/>
    <x v="1"/>
    <x v="0"/>
  </r>
  <r>
    <x v="0"/>
    <x v="0"/>
    <x v="0"/>
  </r>
  <r>
    <x v="1"/>
    <x v="1"/>
    <x v="0"/>
  </r>
  <r>
    <x v="0"/>
    <x v="0"/>
    <x v="0"/>
  </r>
  <r>
    <x v="1"/>
    <x v="1"/>
    <x v="0"/>
  </r>
  <r>
    <x v="1"/>
    <x v="1"/>
    <x v="0"/>
  </r>
  <r>
    <x v="1"/>
    <x v="1"/>
    <x v="0"/>
  </r>
  <r>
    <x v="1"/>
    <x v="1"/>
    <x v="1"/>
  </r>
  <r>
    <x v="1"/>
    <x v="1"/>
    <x v="0"/>
  </r>
  <r>
    <x v="1"/>
    <x v="1"/>
    <x v="0"/>
  </r>
  <r>
    <x v="1"/>
    <x v="1"/>
    <x v="0"/>
  </r>
  <r>
    <x v="1"/>
    <x v="1"/>
    <x v="0"/>
  </r>
  <r>
    <x v="1"/>
    <x v="1"/>
    <x v="0"/>
  </r>
  <r>
    <x v="1"/>
    <x v="1"/>
    <x v="0"/>
  </r>
  <r>
    <x v="0"/>
    <x v="0"/>
    <x v="0"/>
  </r>
  <r>
    <x v="0"/>
    <x v="0"/>
    <x v="0"/>
  </r>
  <r>
    <x v="1"/>
    <x v="1"/>
    <x v="0"/>
  </r>
  <r>
    <x v="1"/>
    <x v="1"/>
    <x v="1"/>
  </r>
  <r>
    <x v="1"/>
    <x v="1"/>
    <x v="0"/>
  </r>
  <r>
    <x v="1"/>
    <x v="1"/>
    <x v="0"/>
  </r>
  <r>
    <x v="1"/>
    <x v="1"/>
    <x v="0"/>
  </r>
  <r>
    <x v="0"/>
    <x v="0"/>
    <x v="0"/>
  </r>
  <r>
    <x v="0"/>
    <x v="0"/>
    <x v="0"/>
  </r>
  <r>
    <x v="1"/>
    <x v="1"/>
    <x v="0"/>
  </r>
  <r>
    <x v="1"/>
    <x v="1"/>
    <x v="0"/>
  </r>
  <r>
    <x v="1"/>
    <x v="1"/>
    <x v="1"/>
  </r>
  <r>
    <x v="1"/>
    <x v="1"/>
    <x v="0"/>
  </r>
  <r>
    <x v="1"/>
    <x v="1"/>
    <x v="0"/>
  </r>
  <r>
    <x v="1"/>
    <x v="1"/>
    <x v="0"/>
  </r>
  <r>
    <x v="0"/>
    <x v="0"/>
    <x v="0"/>
  </r>
  <r>
    <x v="1"/>
    <x v="1"/>
    <x v="0"/>
  </r>
  <r>
    <x v="0"/>
    <x v="0"/>
    <x v="0"/>
  </r>
  <r>
    <x v="1"/>
    <x v="1"/>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1"/>
    <x v="1"/>
    <x v="0"/>
  </r>
  <r>
    <x v="0"/>
    <x v="0"/>
    <x v="0"/>
  </r>
  <r>
    <x v="1"/>
    <x v="1"/>
    <x v="0"/>
  </r>
  <r>
    <x v="1"/>
    <x v="1"/>
    <x v="0"/>
  </r>
  <r>
    <x v="1"/>
    <x v="1"/>
    <x v="0"/>
  </r>
  <r>
    <x v="0"/>
    <x v="0"/>
    <x v="0"/>
  </r>
  <r>
    <x v="1"/>
    <x v="1"/>
    <x v="0"/>
  </r>
  <r>
    <x v="0"/>
    <x v="0"/>
    <x v="0"/>
  </r>
  <r>
    <x v="1"/>
    <x v="1"/>
    <x v="0"/>
  </r>
  <r>
    <x v="1"/>
    <x v="1"/>
    <x v="0"/>
  </r>
  <r>
    <x v="1"/>
    <x v="1"/>
    <x v="0"/>
  </r>
  <r>
    <x v="0"/>
    <x v="0"/>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0"/>
    <x v="0"/>
    <x v="0"/>
  </r>
  <r>
    <x v="0"/>
    <x v="0"/>
    <x v="0"/>
  </r>
  <r>
    <x v="0"/>
    <x v="0"/>
    <x v="0"/>
  </r>
  <r>
    <x v="0"/>
    <x v="0"/>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1"/>
  </r>
  <r>
    <x v="1"/>
    <x v="1"/>
    <x v="0"/>
  </r>
  <r>
    <x v="0"/>
    <x v="0"/>
    <x v="0"/>
  </r>
  <r>
    <x v="0"/>
    <x v="0"/>
    <x v="0"/>
  </r>
  <r>
    <x v="1"/>
    <x v="1"/>
    <x v="0"/>
  </r>
  <r>
    <x v="0"/>
    <x v="0"/>
    <x v="0"/>
  </r>
  <r>
    <x v="0"/>
    <x v="0"/>
    <x v="0"/>
  </r>
  <r>
    <x v="1"/>
    <x v="1"/>
    <x v="0"/>
  </r>
  <r>
    <x v="1"/>
    <x v="1"/>
    <x v="0"/>
  </r>
  <r>
    <x v="1"/>
    <x v="1"/>
    <x v="0"/>
  </r>
  <r>
    <x v="1"/>
    <x v="1"/>
    <x v="0"/>
  </r>
  <r>
    <x v="1"/>
    <x v="1"/>
    <x v="0"/>
  </r>
  <r>
    <x v="0"/>
    <x v="0"/>
    <x v="0"/>
  </r>
  <r>
    <x v="1"/>
    <x v="1"/>
    <x v="1"/>
  </r>
  <r>
    <x v="0"/>
    <x v="0"/>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1"/>
    <x v="1"/>
    <x v="0"/>
  </r>
  <r>
    <x v="1"/>
    <x v="1"/>
    <x v="0"/>
  </r>
  <r>
    <x v="1"/>
    <x v="1"/>
    <x v="0"/>
  </r>
  <r>
    <x v="0"/>
    <x v="0"/>
    <x v="0"/>
  </r>
  <r>
    <x v="1"/>
    <x v="1"/>
    <x v="0"/>
  </r>
  <r>
    <x v="0"/>
    <x v="0"/>
    <x v="0"/>
  </r>
  <r>
    <x v="0"/>
    <x v="0"/>
    <x v="0"/>
  </r>
  <r>
    <x v="1"/>
    <x v="1"/>
    <x v="0"/>
  </r>
  <r>
    <x v="1"/>
    <x v="1"/>
    <x v="0"/>
  </r>
  <r>
    <x v="1"/>
    <x v="1"/>
    <x v="0"/>
  </r>
  <r>
    <x v="1"/>
    <x v="1"/>
    <x v="1"/>
  </r>
  <r>
    <x v="0"/>
    <x v="0"/>
    <x v="0"/>
  </r>
  <r>
    <x v="1"/>
    <x v="1"/>
    <x v="0"/>
  </r>
  <r>
    <x v="1"/>
    <x v="1"/>
    <x v="0"/>
  </r>
  <r>
    <x v="1"/>
    <x v="1"/>
    <x v="0"/>
  </r>
  <r>
    <x v="0"/>
    <x v="0"/>
    <x v="0"/>
  </r>
  <r>
    <x v="1"/>
    <x v="1"/>
    <x v="0"/>
  </r>
  <r>
    <x v="1"/>
    <x v="1"/>
    <x v="0"/>
  </r>
  <r>
    <x v="1"/>
    <x v="1"/>
    <x v="0"/>
  </r>
  <r>
    <x v="1"/>
    <x v="1"/>
    <x v="0"/>
  </r>
  <r>
    <x v="1"/>
    <x v="1"/>
    <x v="0"/>
  </r>
  <r>
    <x v="1"/>
    <x v="1"/>
    <x v="0"/>
  </r>
  <r>
    <x v="0"/>
    <x v="0"/>
    <x v="0"/>
  </r>
  <r>
    <x v="0"/>
    <x v="0"/>
    <x v="0"/>
  </r>
  <r>
    <x v="0"/>
    <x v="0"/>
    <x v="0"/>
  </r>
  <r>
    <x v="0"/>
    <x v="0"/>
    <x v="0"/>
  </r>
  <r>
    <x v="0"/>
    <x v="0"/>
    <x v="0"/>
  </r>
  <r>
    <x v="1"/>
    <x v="1"/>
    <x v="0"/>
  </r>
  <r>
    <x v="1"/>
    <x v="1"/>
    <x v="0"/>
  </r>
  <r>
    <x v="1"/>
    <x v="1"/>
    <x v="0"/>
  </r>
  <r>
    <x v="1"/>
    <x v="1"/>
    <x v="0"/>
  </r>
  <r>
    <x v="1"/>
    <x v="1"/>
    <x v="0"/>
  </r>
  <r>
    <x v="0"/>
    <x v="0"/>
    <x v="0"/>
  </r>
  <r>
    <x v="1"/>
    <x v="1"/>
    <x v="0"/>
  </r>
  <r>
    <x v="1"/>
    <x v="1"/>
    <x v="0"/>
  </r>
  <r>
    <x v="1"/>
    <x v="1"/>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0"/>
    <x v="0"/>
    <x v="0"/>
  </r>
  <r>
    <x v="0"/>
    <x v="0"/>
    <x v="0"/>
  </r>
  <r>
    <x v="1"/>
    <x v="1"/>
    <x v="0"/>
  </r>
  <r>
    <x v="0"/>
    <x v="0"/>
    <x v="0"/>
  </r>
  <r>
    <x v="0"/>
    <x v="0"/>
    <x v="0"/>
  </r>
  <r>
    <x v="1"/>
    <x v="1"/>
    <x v="0"/>
  </r>
  <r>
    <x v="1"/>
    <x v="1"/>
    <x v="0"/>
  </r>
  <r>
    <x v="1"/>
    <x v="1"/>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0"/>
    <x v="0"/>
    <x v="0"/>
  </r>
  <r>
    <x v="0"/>
    <x v="0"/>
    <x v="0"/>
  </r>
  <r>
    <x v="1"/>
    <x v="1"/>
    <x v="0"/>
  </r>
  <r>
    <x v="1"/>
    <x v="1"/>
    <x v="0"/>
  </r>
  <r>
    <x v="1"/>
    <x v="1"/>
    <x v="0"/>
  </r>
  <r>
    <x v="1"/>
    <x v="1"/>
    <x v="0"/>
  </r>
  <r>
    <x v="1"/>
    <x v="1"/>
    <x v="0"/>
  </r>
  <r>
    <x v="0"/>
    <x v="0"/>
    <x v="0"/>
  </r>
  <r>
    <x v="1"/>
    <x v="1"/>
    <x v="0"/>
  </r>
  <r>
    <x v="0"/>
    <x v="0"/>
    <x v="0"/>
  </r>
  <r>
    <x v="1"/>
    <x v="1"/>
    <x v="0"/>
  </r>
  <r>
    <x v="1"/>
    <x v="1"/>
    <x v="0"/>
  </r>
  <r>
    <x v="0"/>
    <x v="0"/>
    <x v="0"/>
  </r>
  <r>
    <x v="0"/>
    <x v="0"/>
    <x v="0"/>
  </r>
  <r>
    <x v="0"/>
    <x v="0"/>
    <x v="0"/>
  </r>
  <r>
    <x v="0"/>
    <x v="0"/>
    <x v="0"/>
  </r>
  <r>
    <x v="1"/>
    <x v="1"/>
    <x v="0"/>
  </r>
  <r>
    <x v="0"/>
    <x v="0"/>
    <x v="0"/>
  </r>
  <r>
    <x v="1"/>
    <x v="1"/>
    <x v="1"/>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0"/>
    <x v="0"/>
    <x v="0"/>
  </r>
  <r>
    <x v="0"/>
    <x v="0"/>
    <x v="0"/>
  </r>
  <r>
    <x v="1"/>
    <x v="1"/>
    <x v="0"/>
  </r>
  <r>
    <x v="1"/>
    <x v="1"/>
    <x v="0"/>
  </r>
  <r>
    <x v="0"/>
    <x v="0"/>
    <x v="0"/>
  </r>
  <r>
    <x v="1"/>
    <x v="1"/>
    <x v="0"/>
  </r>
  <r>
    <x v="1"/>
    <x v="1"/>
    <x v="0"/>
  </r>
  <r>
    <x v="1"/>
    <x v="1"/>
    <x v="0"/>
  </r>
  <r>
    <x v="0"/>
    <x v="0"/>
    <x v="0"/>
  </r>
  <r>
    <x v="1"/>
    <x v="1"/>
    <x v="0"/>
  </r>
  <r>
    <x v="0"/>
    <x v="0"/>
    <x v="0"/>
  </r>
  <r>
    <x v="1"/>
    <x v="1"/>
    <x v="0"/>
  </r>
  <r>
    <x v="1"/>
    <x v="1"/>
    <x v="0"/>
  </r>
  <r>
    <x v="0"/>
    <x v="0"/>
    <x v="0"/>
  </r>
  <r>
    <x v="1"/>
    <x v="1"/>
    <x v="0"/>
  </r>
  <r>
    <x v="0"/>
    <x v="0"/>
    <x v="0"/>
  </r>
  <r>
    <x v="0"/>
    <x v="0"/>
    <x v="0"/>
  </r>
  <r>
    <x v="1"/>
    <x v="1"/>
    <x v="1"/>
  </r>
  <r>
    <x v="1"/>
    <x v="1"/>
    <x v="0"/>
  </r>
  <r>
    <x v="1"/>
    <x v="1"/>
    <x v="0"/>
  </r>
  <r>
    <x v="1"/>
    <x v="1"/>
    <x v="1"/>
  </r>
  <r>
    <x v="1"/>
    <x v="1"/>
    <x v="0"/>
  </r>
  <r>
    <x v="1"/>
    <x v="1"/>
    <x v="1"/>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1"/>
    <x v="1"/>
    <x v="0"/>
  </r>
  <r>
    <x v="0"/>
    <x v="0"/>
    <x v="0"/>
  </r>
  <r>
    <x v="1"/>
    <x v="1"/>
    <x v="0"/>
  </r>
  <r>
    <x v="1"/>
    <x v="1"/>
    <x v="0"/>
  </r>
  <r>
    <x v="0"/>
    <x v="0"/>
    <x v="0"/>
  </r>
  <r>
    <x v="0"/>
    <x v="0"/>
    <x v="0"/>
  </r>
  <r>
    <x v="1"/>
    <x v="1"/>
    <x v="0"/>
  </r>
  <r>
    <x v="1"/>
    <x v="1"/>
    <x v="0"/>
  </r>
  <r>
    <x v="1"/>
    <x v="1"/>
    <x v="0"/>
  </r>
  <r>
    <x v="1"/>
    <x v="1"/>
    <x v="1"/>
  </r>
  <r>
    <x v="1"/>
    <x v="1"/>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0"/>
    <x v="0"/>
    <x v="0"/>
  </r>
  <r>
    <x v="1"/>
    <x v="1"/>
    <x v="0"/>
  </r>
  <r>
    <x v="0"/>
    <x v="0"/>
    <x v="0"/>
  </r>
  <r>
    <x v="1"/>
    <x v="1"/>
    <x v="0"/>
  </r>
  <r>
    <x v="0"/>
    <x v="0"/>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0"/>
    <x v="0"/>
    <x v="0"/>
  </r>
  <r>
    <x v="0"/>
    <x v="0"/>
    <x v="0"/>
  </r>
  <r>
    <x v="0"/>
    <x v="0"/>
    <x v="0"/>
  </r>
  <r>
    <x v="0"/>
    <x v="0"/>
    <x v="0"/>
  </r>
  <r>
    <x v="0"/>
    <x v="0"/>
    <x v="0"/>
  </r>
  <r>
    <x v="0"/>
    <x v="0"/>
    <x v="0"/>
  </r>
  <r>
    <x v="1"/>
    <x v="1"/>
    <x v="1"/>
  </r>
  <r>
    <x v="0"/>
    <x v="0"/>
    <x v="0"/>
  </r>
  <r>
    <x v="0"/>
    <x v="0"/>
    <x v="0"/>
  </r>
  <r>
    <x v="0"/>
    <x v="0"/>
    <x v="0"/>
  </r>
  <r>
    <x v="1"/>
    <x v="1"/>
    <x v="0"/>
  </r>
  <r>
    <x v="1"/>
    <x v="1"/>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0"/>
    <x v="0"/>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0"/>
    <x v="0"/>
    <x v="0"/>
  </r>
  <r>
    <x v="1"/>
    <x v="1"/>
    <x v="0"/>
  </r>
  <r>
    <x v="1"/>
    <x v="1"/>
    <x v="0"/>
  </r>
  <r>
    <x v="0"/>
    <x v="0"/>
    <x v="0"/>
  </r>
  <r>
    <x v="1"/>
    <x v="1"/>
    <x v="0"/>
  </r>
  <r>
    <x v="0"/>
    <x v="0"/>
    <x v="0"/>
  </r>
  <r>
    <x v="1"/>
    <x v="1"/>
    <x v="0"/>
  </r>
  <r>
    <x v="0"/>
    <x v="0"/>
    <x v="0"/>
  </r>
  <r>
    <x v="1"/>
    <x v="1"/>
    <x v="0"/>
  </r>
  <r>
    <x v="1"/>
    <x v="1"/>
    <x v="0"/>
  </r>
  <r>
    <x v="0"/>
    <x v="0"/>
    <x v="0"/>
  </r>
  <r>
    <x v="1"/>
    <x v="1"/>
    <x v="0"/>
  </r>
  <r>
    <x v="0"/>
    <x v="0"/>
    <x v="0"/>
  </r>
  <r>
    <x v="1"/>
    <x v="1"/>
    <x v="0"/>
  </r>
  <r>
    <x v="0"/>
    <x v="0"/>
    <x v="0"/>
  </r>
  <r>
    <x v="0"/>
    <x v="0"/>
    <x v="0"/>
  </r>
  <r>
    <x v="1"/>
    <x v="1"/>
    <x v="0"/>
  </r>
  <r>
    <x v="0"/>
    <x v="0"/>
    <x v="0"/>
  </r>
  <r>
    <x v="0"/>
    <x v="0"/>
    <x v="0"/>
  </r>
  <r>
    <x v="1"/>
    <x v="1"/>
    <x v="0"/>
  </r>
  <r>
    <x v="1"/>
    <x v="1"/>
    <x v="0"/>
  </r>
  <r>
    <x v="0"/>
    <x v="0"/>
    <x v="0"/>
  </r>
  <r>
    <x v="1"/>
    <x v="1"/>
    <x v="0"/>
  </r>
  <r>
    <x v="0"/>
    <x v="0"/>
    <x v="0"/>
  </r>
  <r>
    <x v="1"/>
    <x v="1"/>
    <x v="0"/>
  </r>
  <r>
    <x v="1"/>
    <x v="1"/>
    <x v="0"/>
  </r>
  <r>
    <x v="0"/>
    <x v="0"/>
    <x v="0"/>
  </r>
  <r>
    <x v="0"/>
    <x v="0"/>
    <x v="0"/>
  </r>
  <r>
    <x v="1"/>
    <x v="1"/>
    <x v="0"/>
  </r>
  <r>
    <x v="0"/>
    <x v="0"/>
    <x v="0"/>
  </r>
  <r>
    <x v="1"/>
    <x v="1"/>
    <x v="0"/>
  </r>
  <r>
    <x v="0"/>
    <x v="0"/>
    <x v="0"/>
  </r>
  <r>
    <x v="0"/>
    <x v="0"/>
    <x v="0"/>
  </r>
  <r>
    <x v="0"/>
    <x v="0"/>
    <x v="0"/>
  </r>
  <r>
    <x v="0"/>
    <x v="0"/>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1"/>
    <x v="1"/>
    <x v="0"/>
  </r>
  <r>
    <x v="1"/>
    <x v="1"/>
    <x v="0"/>
  </r>
  <r>
    <x v="0"/>
    <x v="0"/>
    <x v="0"/>
  </r>
  <r>
    <x v="1"/>
    <x v="1"/>
    <x v="0"/>
  </r>
  <r>
    <x v="1"/>
    <x v="1"/>
    <x v="0"/>
  </r>
  <r>
    <x v="0"/>
    <x v="0"/>
    <x v="0"/>
  </r>
  <r>
    <x v="0"/>
    <x v="0"/>
    <x v="0"/>
  </r>
  <r>
    <x v="0"/>
    <x v="0"/>
    <x v="0"/>
  </r>
  <r>
    <x v="1"/>
    <x v="1"/>
    <x v="0"/>
  </r>
  <r>
    <x v="0"/>
    <x v="0"/>
    <x v="0"/>
  </r>
  <r>
    <x v="0"/>
    <x v="0"/>
    <x v="0"/>
  </r>
  <r>
    <x v="0"/>
    <x v="0"/>
    <x v="0"/>
  </r>
  <r>
    <x v="1"/>
    <x v="1"/>
    <x v="0"/>
  </r>
  <r>
    <x v="0"/>
    <x v="0"/>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0"/>
    <x v="0"/>
    <x v="0"/>
  </r>
  <r>
    <x v="0"/>
    <x v="0"/>
    <x v="0"/>
  </r>
  <r>
    <x v="1"/>
    <x v="1"/>
    <x v="0"/>
  </r>
  <r>
    <x v="0"/>
    <x v="0"/>
    <x v="0"/>
  </r>
  <r>
    <x v="0"/>
    <x v="0"/>
    <x v="0"/>
  </r>
  <r>
    <x v="0"/>
    <x v="0"/>
    <x v="0"/>
  </r>
  <r>
    <x v="1"/>
    <x v="1"/>
    <x v="0"/>
  </r>
  <r>
    <x v="1"/>
    <x v="1"/>
    <x v="0"/>
  </r>
  <r>
    <x v="1"/>
    <x v="1"/>
    <x v="0"/>
  </r>
  <r>
    <x v="1"/>
    <x v="1"/>
    <x v="0"/>
  </r>
  <r>
    <x v="1"/>
    <x v="1"/>
    <x v="0"/>
  </r>
  <r>
    <x v="0"/>
    <x v="0"/>
    <x v="0"/>
  </r>
  <r>
    <x v="0"/>
    <x v="0"/>
    <x v="0"/>
  </r>
  <r>
    <x v="0"/>
    <x v="0"/>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0"/>
    <x v="0"/>
    <x v="0"/>
  </r>
  <r>
    <x v="0"/>
    <x v="0"/>
    <x v="0"/>
  </r>
  <r>
    <x v="1"/>
    <x v="1"/>
    <x v="0"/>
  </r>
  <r>
    <x v="1"/>
    <x v="1"/>
    <x v="0"/>
  </r>
  <r>
    <x v="1"/>
    <x v="1"/>
    <x v="0"/>
  </r>
  <r>
    <x v="0"/>
    <x v="0"/>
    <x v="1"/>
  </r>
  <r>
    <x v="0"/>
    <x v="0"/>
    <x v="0"/>
  </r>
  <r>
    <x v="0"/>
    <x v="0"/>
    <x v="0"/>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0"/>
    <x v="0"/>
    <x v="0"/>
  </r>
  <r>
    <x v="0"/>
    <x v="0"/>
    <x v="0"/>
  </r>
  <r>
    <x v="1"/>
    <x v="1"/>
    <x v="0"/>
  </r>
  <r>
    <x v="0"/>
    <x v="0"/>
    <x v="1"/>
  </r>
  <r>
    <x v="0"/>
    <x v="0"/>
    <x v="0"/>
  </r>
  <r>
    <x v="1"/>
    <x v="1"/>
    <x v="0"/>
  </r>
  <r>
    <x v="0"/>
    <x v="0"/>
    <x v="0"/>
  </r>
  <r>
    <x v="1"/>
    <x v="1"/>
    <x v="0"/>
  </r>
  <r>
    <x v="0"/>
    <x v="0"/>
    <x v="0"/>
  </r>
  <r>
    <x v="0"/>
    <x v="0"/>
    <x v="0"/>
  </r>
  <r>
    <x v="1"/>
    <x v="1"/>
    <x v="0"/>
  </r>
  <r>
    <x v="0"/>
    <x v="0"/>
    <x v="0"/>
  </r>
  <r>
    <x v="0"/>
    <x v="0"/>
    <x v="0"/>
  </r>
  <r>
    <x v="1"/>
    <x v="1"/>
    <x v="0"/>
  </r>
  <r>
    <x v="1"/>
    <x v="1"/>
    <x v="0"/>
  </r>
  <r>
    <x v="0"/>
    <x v="0"/>
    <x v="0"/>
  </r>
  <r>
    <x v="0"/>
    <x v="0"/>
    <x v="0"/>
  </r>
  <r>
    <x v="1"/>
    <x v="1"/>
    <x v="0"/>
  </r>
  <r>
    <x v="1"/>
    <x v="1"/>
    <x v="0"/>
  </r>
  <r>
    <x v="0"/>
    <x v="0"/>
    <x v="0"/>
  </r>
  <r>
    <x v="1"/>
    <x v="1"/>
    <x v="0"/>
  </r>
  <r>
    <x v="0"/>
    <x v="0"/>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0"/>
    <x v="0"/>
    <x v="0"/>
  </r>
  <r>
    <x v="0"/>
    <x v="0"/>
    <x v="0"/>
  </r>
  <r>
    <x v="0"/>
    <x v="0"/>
    <x v="0"/>
  </r>
  <r>
    <x v="1"/>
    <x v="1"/>
    <x v="1"/>
  </r>
  <r>
    <x v="1"/>
    <x v="1"/>
    <x v="0"/>
  </r>
  <r>
    <x v="0"/>
    <x v="0"/>
    <x v="0"/>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0"/>
    <x v="0"/>
    <x v="0"/>
  </r>
  <r>
    <x v="1"/>
    <x v="1"/>
    <x v="0"/>
  </r>
  <r>
    <x v="0"/>
    <x v="0"/>
    <x v="0"/>
  </r>
  <r>
    <x v="1"/>
    <x v="1"/>
    <x v="0"/>
  </r>
  <r>
    <x v="1"/>
    <x v="1"/>
    <x v="0"/>
  </r>
  <r>
    <x v="1"/>
    <x v="1"/>
    <x v="0"/>
  </r>
  <r>
    <x v="1"/>
    <x v="1"/>
    <x v="0"/>
  </r>
  <r>
    <x v="0"/>
    <x v="0"/>
    <x v="0"/>
  </r>
  <r>
    <x v="0"/>
    <x v="0"/>
    <x v="0"/>
  </r>
  <r>
    <x v="0"/>
    <x v="0"/>
    <x v="0"/>
  </r>
  <r>
    <x v="0"/>
    <x v="0"/>
    <x v="0"/>
  </r>
  <r>
    <x v="1"/>
    <x v="1"/>
    <x v="0"/>
  </r>
  <r>
    <x v="1"/>
    <x v="1"/>
    <x v="0"/>
  </r>
  <r>
    <x v="1"/>
    <x v="1"/>
    <x v="0"/>
  </r>
  <r>
    <x v="0"/>
    <x v="0"/>
    <x v="0"/>
  </r>
  <r>
    <x v="1"/>
    <x v="1"/>
    <x v="0"/>
  </r>
  <r>
    <x v="1"/>
    <x v="1"/>
    <x v="1"/>
  </r>
  <r>
    <x v="0"/>
    <x v="0"/>
    <x v="0"/>
  </r>
  <r>
    <x v="0"/>
    <x v="0"/>
    <x v="0"/>
  </r>
  <r>
    <x v="1"/>
    <x v="1"/>
    <x v="0"/>
  </r>
  <r>
    <x v="1"/>
    <x v="1"/>
    <x v="0"/>
  </r>
  <r>
    <x v="1"/>
    <x v="1"/>
    <x v="0"/>
  </r>
  <r>
    <x v="0"/>
    <x v="0"/>
    <x v="0"/>
  </r>
  <r>
    <x v="0"/>
    <x v="0"/>
    <x v="0"/>
  </r>
  <r>
    <x v="1"/>
    <x v="1"/>
    <x v="1"/>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0"/>
    <x v="0"/>
    <x v="0"/>
  </r>
  <r>
    <x v="0"/>
    <x v="0"/>
    <x v="0"/>
  </r>
  <r>
    <x v="0"/>
    <x v="0"/>
    <x v="0"/>
  </r>
  <r>
    <x v="1"/>
    <x v="1"/>
    <x v="0"/>
  </r>
  <r>
    <x v="1"/>
    <x v="1"/>
    <x v="0"/>
  </r>
  <r>
    <x v="0"/>
    <x v="0"/>
    <x v="0"/>
  </r>
  <r>
    <x v="1"/>
    <x v="1"/>
    <x v="0"/>
  </r>
  <r>
    <x v="0"/>
    <x v="0"/>
    <x v="0"/>
  </r>
  <r>
    <x v="0"/>
    <x v="0"/>
    <x v="0"/>
  </r>
  <r>
    <x v="1"/>
    <x v="1"/>
    <x v="0"/>
  </r>
  <r>
    <x v="1"/>
    <x v="1"/>
    <x v="0"/>
  </r>
  <r>
    <x v="0"/>
    <x v="0"/>
    <x v="0"/>
  </r>
  <r>
    <x v="0"/>
    <x v="0"/>
    <x v="0"/>
  </r>
  <r>
    <x v="1"/>
    <x v="1"/>
    <x v="0"/>
  </r>
  <r>
    <x v="1"/>
    <x v="1"/>
    <x v="0"/>
  </r>
  <r>
    <x v="1"/>
    <x v="1"/>
    <x v="0"/>
  </r>
  <r>
    <x v="1"/>
    <x v="1"/>
    <x v="0"/>
  </r>
  <r>
    <x v="1"/>
    <x v="1"/>
    <x v="0"/>
  </r>
  <r>
    <x v="1"/>
    <x v="1"/>
    <x v="0"/>
  </r>
  <r>
    <x v="1"/>
    <x v="1"/>
    <x v="1"/>
  </r>
  <r>
    <x v="1"/>
    <x v="1"/>
    <x v="0"/>
  </r>
  <r>
    <x v="1"/>
    <x v="1"/>
    <x v="0"/>
  </r>
  <r>
    <x v="1"/>
    <x v="1"/>
    <x v="0"/>
  </r>
  <r>
    <x v="0"/>
    <x v="0"/>
    <x v="0"/>
  </r>
  <r>
    <x v="0"/>
    <x v="0"/>
    <x v="0"/>
  </r>
  <r>
    <x v="1"/>
    <x v="1"/>
    <x v="0"/>
  </r>
  <r>
    <x v="0"/>
    <x v="0"/>
    <x v="1"/>
  </r>
  <r>
    <x v="1"/>
    <x v="1"/>
    <x v="0"/>
  </r>
  <r>
    <x v="0"/>
    <x v="0"/>
    <x v="0"/>
  </r>
  <r>
    <x v="1"/>
    <x v="1"/>
    <x v="0"/>
  </r>
  <r>
    <x v="0"/>
    <x v="0"/>
    <x v="0"/>
  </r>
  <r>
    <x v="0"/>
    <x v="0"/>
    <x v="0"/>
  </r>
  <r>
    <x v="0"/>
    <x v="0"/>
    <x v="0"/>
  </r>
  <r>
    <x v="1"/>
    <x v="1"/>
    <x v="0"/>
  </r>
  <r>
    <x v="1"/>
    <x v="1"/>
    <x v="0"/>
  </r>
  <r>
    <x v="0"/>
    <x v="0"/>
    <x v="1"/>
  </r>
  <r>
    <x v="1"/>
    <x v="1"/>
    <x v="0"/>
  </r>
  <r>
    <x v="0"/>
    <x v="0"/>
    <x v="0"/>
  </r>
  <r>
    <x v="1"/>
    <x v="1"/>
    <x v="0"/>
  </r>
  <r>
    <x v="0"/>
    <x v="0"/>
    <x v="0"/>
  </r>
  <r>
    <x v="1"/>
    <x v="1"/>
    <x v="0"/>
  </r>
  <r>
    <x v="1"/>
    <x v="1"/>
    <x v="0"/>
  </r>
  <r>
    <x v="1"/>
    <x v="1"/>
    <x v="0"/>
  </r>
  <r>
    <x v="1"/>
    <x v="1"/>
    <x v="0"/>
  </r>
  <r>
    <x v="0"/>
    <x v="0"/>
    <x v="0"/>
  </r>
  <r>
    <x v="1"/>
    <x v="1"/>
    <x v="0"/>
  </r>
  <r>
    <x v="1"/>
    <x v="1"/>
    <x v="0"/>
  </r>
  <r>
    <x v="0"/>
    <x v="0"/>
    <x v="0"/>
  </r>
  <r>
    <x v="0"/>
    <x v="0"/>
    <x v="0"/>
  </r>
  <r>
    <x v="0"/>
    <x v="0"/>
    <x v="0"/>
  </r>
  <r>
    <x v="0"/>
    <x v="0"/>
    <x v="0"/>
  </r>
  <r>
    <x v="1"/>
    <x v="1"/>
    <x v="0"/>
  </r>
  <r>
    <x v="0"/>
    <x v="0"/>
    <x v="1"/>
  </r>
  <r>
    <x v="1"/>
    <x v="1"/>
    <x v="0"/>
  </r>
  <r>
    <x v="1"/>
    <x v="1"/>
    <x v="0"/>
  </r>
  <r>
    <x v="1"/>
    <x v="1"/>
    <x v="0"/>
  </r>
  <r>
    <x v="0"/>
    <x v="0"/>
    <x v="0"/>
  </r>
  <r>
    <x v="1"/>
    <x v="1"/>
    <x v="0"/>
  </r>
  <r>
    <x v="1"/>
    <x v="1"/>
    <x v="0"/>
  </r>
  <r>
    <x v="1"/>
    <x v="1"/>
    <x v="0"/>
  </r>
  <r>
    <x v="0"/>
    <x v="0"/>
    <x v="0"/>
  </r>
  <r>
    <x v="1"/>
    <x v="1"/>
    <x v="0"/>
  </r>
  <r>
    <x v="0"/>
    <x v="0"/>
    <x v="0"/>
  </r>
  <r>
    <x v="0"/>
    <x v="0"/>
    <x v="0"/>
  </r>
  <r>
    <x v="1"/>
    <x v="1"/>
    <x v="0"/>
  </r>
  <r>
    <x v="0"/>
    <x v="0"/>
    <x v="0"/>
  </r>
  <r>
    <x v="1"/>
    <x v="1"/>
    <x v="0"/>
  </r>
  <r>
    <x v="1"/>
    <x v="1"/>
    <x v="0"/>
  </r>
  <r>
    <x v="1"/>
    <x v="1"/>
    <x v="0"/>
  </r>
  <r>
    <x v="1"/>
    <x v="1"/>
    <x v="0"/>
  </r>
  <r>
    <x v="1"/>
    <x v="1"/>
    <x v="0"/>
  </r>
  <r>
    <x v="0"/>
    <x v="0"/>
    <x v="1"/>
  </r>
  <r>
    <x v="1"/>
    <x v="1"/>
    <x v="0"/>
  </r>
  <r>
    <x v="0"/>
    <x v="0"/>
    <x v="0"/>
  </r>
  <r>
    <x v="0"/>
    <x v="0"/>
    <x v="0"/>
  </r>
  <r>
    <x v="0"/>
    <x v="0"/>
    <x v="0"/>
  </r>
  <r>
    <x v="1"/>
    <x v="1"/>
    <x v="1"/>
  </r>
  <r>
    <x v="1"/>
    <x v="1"/>
    <x v="0"/>
  </r>
  <r>
    <x v="0"/>
    <x v="0"/>
    <x v="0"/>
  </r>
  <r>
    <x v="1"/>
    <x v="1"/>
    <x v="0"/>
  </r>
  <r>
    <x v="0"/>
    <x v="0"/>
    <x v="0"/>
  </r>
  <r>
    <x v="1"/>
    <x v="1"/>
    <x v="0"/>
  </r>
  <r>
    <x v="1"/>
    <x v="1"/>
    <x v="0"/>
  </r>
  <r>
    <x v="1"/>
    <x v="1"/>
    <x v="0"/>
  </r>
  <r>
    <x v="1"/>
    <x v="1"/>
    <x v="0"/>
  </r>
  <r>
    <x v="0"/>
    <x v="0"/>
    <x v="0"/>
  </r>
  <r>
    <x v="1"/>
    <x v="1"/>
    <x v="0"/>
  </r>
  <r>
    <x v="1"/>
    <x v="1"/>
    <x v="0"/>
  </r>
  <r>
    <x v="1"/>
    <x v="1"/>
    <x v="0"/>
  </r>
  <r>
    <x v="1"/>
    <x v="1"/>
    <x v="0"/>
  </r>
  <r>
    <x v="0"/>
    <x v="0"/>
    <x v="0"/>
  </r>
  <r>
    <x v="0"/>
    <x v="0"/>
    <x v="0"/>
  </r>
  <r>
    <x v="0"/>
    <x v="0"/>
    <x v="0"/>
  </r>
  <r>
    <x v="0"/>
    <x v="0"/>
    <x v="0"/>
  </r>
  <r>
    <x v="0"/>
    <x v="0"/>
    <x v="0"/>
  </r>
  <r>
    <x v="0"/>
    <x v="0"/>
    <x v="0"/>
  </r>
  <r>
    <x v="0"/>
    <x v="0"/>
    <x v="0"/>
  </r>
  <r>
    <x v="1"/>
    <x v="1"/>
    <x v="0"/>
  </r>
  <r>
    <x v="0"/>
    <x v="0"/>
    <x v="0"/>
  </r>
  <r>
    <x v="1"/>
    <x v="1"/>
    <x v="0"/>
  </r>
  <r>
    <x v="0"/>
    <x v="0"/>
    <x v="0"/>
  </r>
  <r>
    <x v="1"/>
    <x v="1"/>
    <x v="0"/>
  </r>
  <r>
    <x v="0"/>
    <x v="0"/>
    <x v="0"/>
  </r>
  <r>
    <x v="0"/>
    <x v="0"/>
    <x v="0"/>
  </r>
  <r>
    <x v="0"/>
    <x v="0"/>
    <x v="0"/>
  </r>
  <r>
    <x v="0"/>
    <x v="0"/>
    <x v="0"/>
  </r>
  <r>
    <x v="1"/>
    <x v="1"/>
    <x v="0"/>
  </r>
  <r>
    <x v="1"/>
    <x v="1"/>
    <x v="0"/>
  </r>
  <r>
    <x v="1"/>
    <x v="1"/>
    <x v="0"/>
  </r>
  <r>
    <x v="0"/>
    <x v="0"/>
    <x v="0"/>
  </r>
  <r>
    <x v="1"/>
    <x v="1"/>
    <x v="1"/>
  </r>
  <r>
    <x v="1"/>
    <x v="1"/>
    <x v="0"/>
  </r>
  <r>
    <x v="0"/>
    <x v="0"/>
    <x v="1"/>
  </r>
  <r>
    <x v="1"/>
    <x v="1"/>
    <x v="0"/>
  </r>
  <r>
    <x v="1"/>
    <x v="1"/>
    <x v="0"/>
  </r>
  <r>
    <x v="1"/>
    <x v="1"/>
    <x v="0"/>
  </r>
  <r>
    <x v="1"/>
    <x v="1"/>
    <x v="0"/>
  </r>
  <r>
    <x v="0"/>
    <x v="0"/>
    <x v="0"/>
  </r>
  <r>
    <x v="0"/>
    <x v="0"/>
    <x v="0"/>
  </r>
  <r>
    <x v="0"/>
    <x v="0"/>
    <x v="0"/>
  </r>
  <r>
    <x v="1"/>
    <x v="1"/>
    <x v="0"/>
  </r>
  <r>
    <x v="1"/>
    <x v="1"/>
    <x v="0"/>
  </r>
  <r>
    <x v="1"/>
    <x v="1"/>
    <x v="0"/>
  </r>
  <r>
    <x v="0"/>
    <x v="0"/>
    <x v="0"/>
  </r>
  <r>
    <x v="0"/>
    <x v="0"/>
    <x v="0"/>
  </r>
  <r>
    <x v="1"/>
    <x v="1"/>
    <x v="0"/>
  </r>
  <r>
    <x v="0"/>
    <x v="0"/>
    <x v="0"/>
  </r>
  <r>
    <x v="1"/>
    <x v="1"/>
    <x v="0"/>
  </r>
  <r>
    <x v="0"/>
    <x v="0"/>
    <x v="0"/>
  </r>
  <r>
    <x v="0"/>
    <x v="0"/>
    <x v="0"/>
  </r>
  <r>
    <x v="0"/>
    <x v="0"/>
    <x v="0"/>
  </r>
  <r>
    <x v="0"/>
    <x v="0"/>
    <x v="0"/>
  </r>
  <r>
    <x v="0"/>
    <x v="0"/>
    <x v="0"/>
  </r>
  <r>
    <x v="0"/>
    <x v="0"/>
    <x v="0"/>
  </r>
  <r>
    <x v="1"/>
    <x v="1"/>
    <x v="0"/>
  </r>
  <r>
    <x v="1"/>
    <x v="1"/>
    <x v="0"/>
  </r>
  <r>
    <x v="0"/>
    <x v="0"/>
    <x v="0"/>
  </r>
  <r>
    <x v="1"/>
    <x v="1"/>
    <x v="0"/>
  </r>
  <r>
    <x v="1"/>
    <x v="1"/>
    <x v="0"/>
  </r>
  <r>
    <x v="0"/>
    <x v="0"/>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1"/>
    <x v="1"/>
    <x v="0"/>
  </r>
  <r>
    <x v="0"/>
    <x v="0"/>
    <x v="0"/>
  </r>
  <r>
    <x v="0"/>
    <x v="0"/>
    <x v="0"/>
  </r>
  <r>
    <x v="1"/>
    <x v="1"/>
    <x v="0"/>
  </r>
  <r>
    <x v="1"/>
    <x v="1"/>
    <x v="0"/>
  </r>
  <r>
    <x v="1"/>
    <x v="1"/>
    <x v="1"/>
  </r>
  <r>
    <x v="1"/>
    <x v="1"/>
    <x v="0"/>
  </r>
  <r>
    <x v="0"/>
    <x v="0"/>
    <x v="0"/>
  </r>
  <r>
    <x v="1"/>
    <x v="1"/>
    <x v="0"/>
  </r>
  <r>
    <x v="0"/>
    <x v="0"/>
    <x v="1"/>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1"/>
    <x v="1"/>
    <x v="0"/>
  </r>
  <r>
    <x v="0"/>
    <x v="0"/>
    <x v="0"/>
  </r>
  <r>
    <x v="1"/>
    <x v="1"/>
    <x v="0"/>
  </r>
  <r>
    <x v="1"/>
    <x v="1"/>
    <x v="0"/>
  </r>
  <r>
    <x v="0"/>
    <x v="0"/>
    <x v="0"/>
  </r>
  <r>
    <x v="0"/>
    <x v="0"/>
    <x v="0"/>
  </r>
  <r>
    <x v="1"/>
    <x v="1"/>
    <x v="0"/>
  </r>
  <r>
    <x v="0"/>
    <x v="0"/>
    <x v="0"/>
  </r>
  <r>
    <x v="0"/>
    <x v="0"/>
    <x v="0"/>
  </r>
  <r>
    <x v="1"/>
    <x v="1"/>
    <x v="0"/>
  </r>
  <r>
    <x v="1"/>
    <x v="1"/>
    <x v="0"/>
  </r>
  <r>
    <x v="0"/>
    <x v="0"/>
    <x v="0"/>
  </r>
  <r>
    <x v="1"/>
    <x v="1"/>
    <x v="0"/>
  </r>
  <r>
    <x v="1"/>
    <x v="1"/>
    <x v="0"/>
  </r>
  <r>
    <x v="1"/>
    <x v="1"/>
    <x v="0"/>
  </r>
  <r>
    <x v="0"/>
    <x v="0"/>
    <x v="0"/>
  </r>
  <r>
    <x v="0"/>
    <x v="0"/>
    <x v="0"/>
  </r>
  <r>
    <x v="1"/>
    <x v="1"/>
    <x v="0"/>
  </r>
  <r>
    <x v="0"/>
    <x v="0"/>
    <x v="0"/>
  </r>
  <r>
    <x v="0"/>
    <x v="0"/>
    <x v="0"/>
  </r>
  <r>
    <x v="0"/>
    <x v="0"/>
    <x v="0"/>
  </r>
  <r>
    <x v="0"/>
    <x v="0"/>
    <x v="0"/>
  </r>
  <r>
    <x v="1"/>
    <x v="1"/>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1"/>
    <x v="1"/>
    <x v="0"/>
  </r>
  <r>
    <x v="1"/>
    <x v="1"/>
    <x v="0"/>
  </r>
  <r>
    <x v="1"/>
    <x v="1"/>
    <x v="0"/>
  </r>
  <r>
    <x v="0"/>
    <x v="0"/>
    <x v="0"/>
  </r>
  <r>
    <x v="1"/>
    <x v="1"/>
    <x v="0"/>
  </r>
  <r>
    <x v="1"/>
    <x v="1"/>
    <x v="0"/>
  </r>
  <r>
    <x v="0"/>
    <x v="0"/>
    <x v="0"/>
  </r>
  <r>
    <x v="1"/>
    <x v="1"/>
    <x v="0"/>
  </r>
  <r>
    <x v="1"/>
    <x v="1"/>
    <x v="0"/>
  </r>
  <r>
    <x v="1"/>
    <x v="1"/>
    <x v="0"/>
  </r>
  <r>
    <x v="0"/>
    <x v="0"/>
    <x v="0"/>
  </r>
  <r>
    <x v="0"/>
    <x v="0"/>
    <x v="0"/>
  </r>
  <r>
    <x v="0"/>
    <x v="0"/>
    <x v="0"/>
  </r>
  <r>
    <x v="1"/>
    <x v="1"/>
    <x v="0"/>
  </r>
  <r>
    <x v="0"/>
    <x v="0"/>
    <x v="0"/>
  </r>
  <r>
    <x v="1"/>
    <x v="1"/>
    <x v="0"/>
  </r>
  <r>
    <x v="0"/>
    <x v="0"/>
    <x v="0"/>
  </r>
  <r>
    <x v="0"/>
    <x v="0"/>
    <x v="0"/>
  </r>
  <r>
    <x v="0"/>
    <x v="0"/>
    <x v="0"/>
  </r>
  <r>
    <x v="0"/>
    <x v="0"/>
    <x v="0"/>
  </r>
  <r>
    <x v="1"/>
    <x v="1"/>
    <x v="0"/>
  </r>
  <r>
    <x v="1"/>
    <x v="1"/>
    <x v="0"/>
  </r>
  <r>
    <x v="0"/>
    <x v="0"/>
    <x v="0"/>
  </r>
  <r>
    <x v="1"/>
    <x v="1"/>
    <x v="0"/>
  </r>
  <r>
    <x v="0"/>
    <x v="0"/>
    <x v="0"/>
  </r>
  <r>
    <x v="1"/>
    <x v="1"/>
    <x v="0"/>
  </r>
  <r>
    <x v="0"/>
    <x v="0"/>
    <x v="0"/>
  </r>
  <r>
    <x v="0"/>
    <x v="0"/>
    <x v="0"/>
  </r>
  <r>
    <x v="0"/>
    <x v="0"/>
    <x v="0"/>
  </r>
  <r>
    <x v="0"/>
    <x v="0"/>
    <x v="0"/>
  </r>
  <r>
    <x v="0"/>
    <x v="0"/>
    <x v="0"/>
  </r>
  <r>
    <x v="0"/>
    <x v="0"/>
    <x v="0"/>
  </r>
  <r>
    <x v="0"/>
    <x v="0"/>
    <x v="0"/>
  </r>
  <r>
    <x v="1"/>
    <x v="1"/>
    <x v="0"/>
  </r>
  <r>
    <x v="0"/>
    <x v="0"/>
    <x v="0"/>
  </r>
  <r>
    <x v="0"/>
    <x v="0"/>
    <x v="0"/>
  </r>
  <r>
    <x v="0"/>
    <x v="0"/>
    <x v="0"/>
  </r>
  <r>
    <x v="0"/>
    <x v="0"/>
    <x v="1"/>
  </r>
  <r>
    <x v="0"/>
    <x v="0"/>
    <x v="0"/>
  </r>
  <r>
    <x v="0"/>
    <x v="0"/>
    <x v="0"/>
  </r>
  <r>
    <x v="0"/>
    <x v="0"/>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1"/>
    <x v="1"/>
    <x v="0"/>
  </r>
  <r>
    <x v="0"/>
    <x v="0"/>
    <x v="0"/>
  </r>
  <r>
    <x v="1"/>
    <x v="1"/>
    <x v="0"/>
  </r>
  <r>
    <x v="1"/>
    <x v="1"/>
    <x v="0"/>
  </r>
  <r>
    <x v="1"/>
    <x v="1"/>
    <x v="0"/>
  </r>
  <r>
    <x v="0"/>
    <x v="0"/>
    <x v="0"/>
  </r>
  <r>
    <x v="1"/>
    <x v="1"/>
    <x v="0"/>
  </r>
  <r>
    <x v="1"/>
    <x v="1"/>
    <x v="0"/>
  </r>
  <r>
    <x v="1"/>
    <x v="1"/>
    <x v="0"/>
  </r>
  <r>
    <x v="1"/>
    <x v="1"/>
    <x v="0"/>
  </r>
  <r>
    <x v="0"/>
    <x v="0"/>
    <x v="0"/>
  </r>
  <r>
    <x v="0"/>
    <x v="0"/>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0"/>
    <x v="0"/>
    <x v="0"/>
  </r>
  <r>
    <x v="1"/>
    <x v="1"/>
    <x v="0"/>
  </r>
  <r>
    <x v="1"/>
    <x v="1"/>
    <x v="0"/>
  </r>
  <r>
    <x v="1"/>
    <x v="1"/>
    <x v="0"/>
  </r>
  <r>
    <x v="0"/>
    <x v="0"/>
    <x v="0"/>
  </r>
  <r>
    <x v="0"/>
    <x v="0"/>
    <x v="0"/>
  </r>
  <r>
    <x v="1"/>
    <x v="1"/>
    <x v="0"/>
  </r>
  <r>
    <x v="1"/>
    <x v="1"/>
    <x v="0"/>
  </r>
  <r>
    <x v="1"/>
    <x v="1"/>
    <x v="0"/>
  </r>
  <r>
    <x v="1"/>
    <x v="1"/>
    <x v="1"/>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1"/>
    <x v="1"/>
    <x v="0"/>
  </r>
  <r>
    <x v="1"/>
    <x v="1"/>
    <x v="0"/>
  </r>
  <r>
    <x v="0"/>
    <x v="0"/>
    <x v="0"/>
  </r>
  <r>
    <x v="0"/>
    <x v="0"/>
    <x v="0"/>
  </r>
  <r>
    <x v="0"/>
    <x v="0"/>
    <x v="0"/>
  </r>
  <r>
    <x v="1"/>
    <x v="1"/>
    <x v="0"/>
  </r>
  <r>
    <x v="0"/>
    <x v="0"/>
    <x v="0"/>
  </r>
  <r>
    <x v="0"/>
    <x v="0"/>
    <x v="0"/>
  </r>
  <r>
    <x v="1"/>
    <x v="1"/>
    <x v="0"/>
  </r>
  <r>
    <x v="0"/>
    <x v="0"/>
    <x v="0"/>
  </r>
  <r>
    <x v="1"/>
    <x v="1"/>
    <x v="0"/>
  </r>
  <r>
    <x v="0"/>
    <x v="0"/>
    <x v="0"/>
  </r>
  <r>
    <x v="1"/>
    <x v="1"/>
    <x v="0"/>
  </r>
  <r>
    <x v="0"/>
    <x v="0"/>
    <x v="0"/>
  </r>
  <r>
    <x v="1"/>
    <x v="1"/>
    <x v="1"/>
  </r>
  <r>
    <x v="0"/>
    <x v="0"/>
    <x v="0"/>
  </r>
  <r>
    <x v="1"/>
    <x v="1"/>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1"/>
    <x v="1"/>
    <x v="0"/>
  </r>
  <r>
    <x v="0"/>
    <x v="0"/>
    <x v="0"/>
  </r>
  <r>
    <x v="0"/>
    <x v="0"/>
    <x v="1"/>
  </r>
  <r>
    <x v="1"/>
    <x v="1"/>
    <x v="0"/>
  </r>
  <r>
    <x v="1"/>
    <x v="1"/>
    <x v="0"/>
  </r>
  <r>
    <x v="0"/>
    <x v="0"/>
    <x v="0"/>
  </r>
  <r>
    <x v="1"/>
    <x v="1"/>
    <x v="0"/>
  </r>
  <r>
    <x v="0"/>
    <x v="0"/>
    <x v="0"/>
  </r>
  <r>
    <x v="0"/>
    <x v="0"/>
    <x v="0"/>
  </r>
  <r>
    <x v="0"/>
    <x v="0"/>
    <x v="0"/>
  </r>
  <r>
    <x v="1"/>
    <x v="1"/>
    <x v="0"/>
  </r>
  <r>
    <x v="1"/>
    <x v="1"/>
    <x v="0"/>
  </r>
  <r>
    <x v="1"/>
    <x v="1"/>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0"/>
    <x v="0"/>
    <x v="0"/>
  </r>
  <r>
    <x v="0"/>
    <x v="0"/>
    <x v="0"/>
  </r>
  <r>
    <x v="0"/>
    <x v="0"/>
    <x v="0"/>
  </r>
  <r>
    <x v="1"/>
    <x v="1"/>
    <x v="0"/>
  </r>
  <r>
    <x v="1"/>
    <x v="1"/>
    <x v="1"/>
  </r>
  <r>
    <x v="1"/>
    <x v="1"/>
    <x v="0"/>
  </r>
  <r>
    <x v="0"/>
    <x v="0"/>
    <x v="0"/>
  </r>
  <r>
    <x v="0"/>
    <x v="0"/>
    <x v="0"/>
  </r>
  <r>
    <x v="1"/>
    <x v="1"/>
    <x v="0"/>
  </r>
  <r>
    <x v="1"/>
    <x v="1"/>
    <x v="0"/>
  </r>
  <r>
    <x v="0"/>
    <x v="0"/>
    <x v="0"/>
  </r>
  <r>
    <x v="1"/>
    <x v="1"/>
    <x v="0"/>
  </r>
  <r>
    <x v="0"/>
    <x v="0"/>
    <x v="0"/>
  </r>
  <r>
    <x v="1"/>
    <x v="1"/>
    <x v="0"/>
  </r>
  <r>
    <x v="1"/>
    <x v="1"/>
    <x v="0"/>
  </r>
  <r>
    <x v="0"/>
    <x v="0"/>
    <x v="0"/>
  </r>
  <r>
    <x v="1"/>
    <x v="1"/>
    <x v="0"/>
  </r>
  <r>
    <x v="0"/>
    <x v="0"/>
    <x v="1"/>
  </r>
  <r>
    <x v="0"/>
    <x v="0"/>
    <x v="0"/>
  </r>
  <r>
    <x v="1"/>
    <x v="1"/>
    <x v="0"/>
  </r>
  <r>
    <x v="0"/>
    <x v="0"/>
    <x v="0"/>
  </r>
  <r>
    <x v="0"/>
    <x v="0"/>
    <x v="0"/>
  </r>
  <r>
    <x v="0"/>
    <x v="0"/>
    <x v="0"/>
  </r>
  <r>
    <x v="1"/>
    <x v="1"/>
    <x v="0"/>
  </r>
  <r>
    <x v="1"/>
    <x v="1"/>
    <x v="0"/>
  </r>
  <r>
    <x v="0"/>
    <x v="0"/>
    <x v="0"/>
  </r>
  <r>
    <x v="1"/>
    <x v="1"/>
    <x v="0"/>
  </r>
  <r>
    <x v="1"/>
    <x v="1"/>
    <x v="0"/>
  </r>
  <r>
    <x v="1"/>
    <x v="1"/>
    <x v="0"/>
  </r>
  <r>
    <x v="0"/>
    <x v="0"/>
    <x v="0"/>
  </r>
  <r>
    <x v="1"/>
    <x v="1"/>
    <x v="0"/>
  </r>
  <r>
    <x v="0"/>
    <x v="0"/>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1"/>
    <x v="1"/>
    <x v="0"/>
  </r>
  <r>
    <x v="1"/>
    <x v="1"/>
    <x v="0"/>
  </r>
  <r>
    <x v="1"/>
    <x v="1"/>
    <x v="0"/>
  </r>
  <r>
    <x v="1"/>
    <x v="1"/>
    <x v="0"/>
  </r>
  <r>
    <x v="1"/>
    <x v="1"/>
    <x v="0"/>
  </r>
  <r>
    <x v="0"/>
    <x v="0"/>
    <x v="0"/>
  </r>
  <r>
    <x v="0"/>
    <x v="0"/>
    <x v="0"/>
  </r>
  <r>
    <x v="1"/>
    <x v="1"/>
    <x v="0"/>
  </r>
  <r>
    <x v="0"/>
    <x v="0"/>
    <x v="0"/>
  </r>
  <r>
    <x v="0"/>
    <x v="0"/>
    <x v="0"/>
  </r>
  <r>
    <x v="1"/>
    <x v="1"/>
    <x v="0"/>
  </r>
  <r>
    <x v="0"/>
    <x v="0"/>
    <x v="0"/>
  </r>
  <r>
    <x v="0"/>
    <x v="0"/>
    <x v="0"/>
  </r>
  <r>
    <x v="0"/>
    <x v="0"/>
    <x v="0"/>
  </r>
  <r>
    <x v="1"/>
    <x v="1"/>
    <x v="0"/>
  </r>
  <r>
    <x v="1"/>
    <x v="1"/>
    <x v="0"/>
  </r>
  <r>
    <x v="1"/>
    <x v="1"/>
    <x v="0"/>
  </r>
  <r>
    <x v="1"/>
    <x v="1"/>
    <x v="0"/>
  </r>
  <r>
    <x v="1"/>
    <x v="1"/>
    <x v="0"/>
  </r>
  <r>
    <x v="1"/>
    <x v="1"/>
    <x v="1"/>
  </r>
  <r>
    <x v="0"/>
    <x v="0"/>
    <x v="0"/>
  </r>
  <r>
    <x v="0"/>
    <x v="0"/>
    <x v="0"/>
  </r>
  <r>
    <x v="0"/>
    <x v="0"/>
    <x v="0"/>
  </r>
  <r>
    <x v="0"/>
    <x v="0"/>
    <x v="0"/>
  </r>
  <r>
    <x v="1"/>
    <x v="1"/>
    <x v="0"/>
  </r>
  <r>
    <x v="1"/>
    <x v="1"/>
    <x v="0"/>
  </r>
  <r>
    <x v="1"/>
    <x v="1"/>
    <x v="0"/>
  </r>
  <r>
    <x v="1"/>
    <x v="1"/>
    <x v="0"/>
  </r>
  <r>
    <x v="1"/>
    <x v="1"/>
    <x v="0"/>
  </r>
  <r>
    <x v="1"/>
    <x v="1"/>
    <x v="0"/>
  </r>
  <r>
    <x v="0"/>
    <x v="0"/>
    <x v="1"/>
  </r>
  <r>
    <x v="1"/>
    <x v="1"/>
    <x v="0"/>
  </r>
  <r>
    <x v="0"/>
    <x v="0"/>
    <x v="0"/>
  </r>
  <r>
    <x v="1"/>
    <x v="1"/>
    <x v="0"/>
  </r>
  <r>
    <x v="1"/>
    <x v="1"/>
    <x v="0"/>
  </r>
  <r>
    <x v="0"/>
    <x v="0"/>
    <x v="0"/>
  </r>
  <r>
    <x v="1"/>
    <x v="1"/>
    <x v="0"/>
  </r>
  <r>
    <x v="1"/>
    <x v="1"/>
    <x v="0"/>
  </r>
  <r>
    <x v="1"/>
    <x v="1"/>
    <x v="1"/>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0"/>
    <x v="0"/>
    <x v="1"/>
  </r>
  <r>
    <x v="0"/>
    <x v="0"/>
    <x v="0"/>
  </r>
  <r>
    <x v="0"/>
    <x v="0"/>
    <x v="0"/>
  </r>
  <r>
    <x v="0"/>
    <x v="0"/>
    <x v="0"/>
  </r>
  <r>
    <x v="1"/>
    <x v="1"/>
    <x v="0"/>
  </r>
  <r>
    <x v="0"/>
    <x v="0"/>
    <x v="0"/>
  </r>
  <r>
    <x v="0"/>
    <x v="0"/>
    <x v="0"/>
  </r>
  <r>
    <x v="1"/>
    <x v="1"/>
    <x v="0"/>
  </r>
  <r>
    <x v="1"/>
    <x v="1"/>
    <x v="0"/>
  </r>
  <r>
    <x v="1"/>
    <x v="1"/>
    <x v="1"/>
  </r>
  <r>
    <x v="1"/>
    <x v="1"/>
    <x v="0"/>
  </r>
  <r>
    <x v="1"/>
    <x v="1"/>
    <x v="0"/>
  </r>
  <r>
    <x v="0"/>
    <x v="0"/>
    <x v="1"/>
  </r>
  <r>
    <x v="1"/>
    <x v="1"/>
    <x v="0"/>
  </r>
  <r>
    <x v="1"/>
    <x v="1"/>
    <x v="0"/>
  </r>
  <r>
    <x v="0"/>
    <x v="0"/>
    <x v="0"/>
  </r>
  <r>
    <x v="1"/>
    <x v="1"/>
    <x v="0"/>
  </r>
  <r>
    <x v="0"/>
    <x v="0"/>
    <x v="0"/>
  </r>
  <r>
    <x v="1"/>
    <x v="1"/>
    <x v="0"/>
  </r>
  <r>
    <x v="1"/>
    <x v="1"/>
    <x v="0"/>
  </r>
  <r>
    <x v="0"/>
    <x v="0"/>
    <x v="0"/>
  </r>
  <r>
    <x v="0"/>
    <x v="0"/>
    <x v="0"/>
  </r>
  <r>
    <x v="0"/>
    <x v="0"/>
    <x v="0"/>
  </r>
  <r>
    <x v="0"/>
    <x v="0"/>
    <x v="0"/>
  </r>
  <r>
    <x v="1"/>
    <x v="1"/>
    <x v="0"/>
  </r>
  <r>
    <x v="1"/>
    <x v="1"/>
    <x v="1"/>
  </r>
  <r>
    <x v="1"/>
    <x v="1"/>
    <x v="0"/>
  </r>
  <r>
    <x v="0"/>
    <x v="0"/>
    <x v="0"/>
  </r>
  <r>
    <x v="1"/>
    <x v="1"/>
    <x v="0"/>
  </r>
  <r>
    <x v="0"/>
    <x v="0"/>
    <x v="0"/>
  </r>
  <r>
    <x v="0"/>
    <x v="0"/>
    <x v="0"/>
  </r>
  <r>
    <x v="1"/>
    <x v="1"/>
    <x v="0"/>
  </r>
  <r>
    <x v="0"/>
    <x v="0"/>
    <x v="0"/>
  </r>
  <r>
    <x v="1"/>
    <x v="1"/>
    <x v="0"/>
  </r>
  <r>
    <x v="0"/>
    <x v="0"/>
    <x v="0"/>
  </r>
  <r>
    <x v="1"/>
    <x v="1"/>
    <x v="0"/>
  </r>
  <r>
    <x v="1"/>
    <x v="1"/>
    <x v="0"/>
  </r>
  <r>
    <x v="0"/>
    <x v="0"/>
    <x v="0"/>
  </r>
  <r>
    <x v="0"/>
    <x v="0"/>
    <x v="0"/>
  </r>
  <r>
    <x v="0"/>
    <x v="0"/>
    <x v="0"/>
  </r>
  <r>
    <x v="0"/>
    <x v="0"/>
    <x v="0"/>
  </r>
  <r>
    <x v="1"/>
    <x v="1"/>
    <x v="0"/>
  </r>
  <r>
    <x v="1"/>
    <x v="1"/>
    <x v="0"/>
  </r>
  <r>
    <x v="1"/>
    <x v="1"/>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0"/>
    <x v="0"/>
    <x v="0"/>
  </r>
  <r>
    <x v="1"/>
    <x v="1"/>
    <x v="0"/>
  </r>
  <r>
    <x v="1"/>
    <x v="1"/>
    <x v="1"/>
  </r>
  <r>
    <x v="0"/>
    <x v="0"/>
    <x v="0"/>
  </r>
  <r>
    <x v="1"/>
    <x v="1"/>
    <x v="1"/>
  </r>
  <r>
    <x v="1"/>
    <x v="1"/>
    <x v="0"/>
  </r>
  <r>
    <x v="1"/>
    <x v="1"/>
    <x v="0"/>
  </r>
  <r>
    <x v="1"/>
    <x v="1"/>
    <x v="1"/>
  </r>
  <r>
    <x v="0"/>
    <x v="0"/>
    <x v="0"/>
  </r>
  <r>
    <x v="0"/>
    <x v="0"/>
    <x v="0"/>
  </r>
  <r>
    <x v="1"/>
    <x v="1"/>
    <x v="0"/>
  </r>
  <r>
    <x v="1"/>
    <x v="1"/>
    <x v="0"/>
  </r>
  <r>
    <x v="0"/>
    <x v="0"/>
    <x v="0"/>
  </r>
  <r>
    <x v="0"/>
    <x v="0"/>
    <x v="0"/>
  </r>
  <r>
    <x v="1"/>
    <x v="1"/>
    <x v="0"/>
  </r>
  <r>
    <x v="1"/>
    <x v="1"/>
    <x v="0"/>
  </r>
  <r>
    <x v="1"/>
    <x v="1"/>
    <x v="0"/>
  </r>
  <r>
    <x v="1"/>
    <x v="1"/>
    <x v="0"/>
  </r>
  <r>
    <x v="0"/>
    <x v="0"/>
    <x v="0"/>
  </r>
  <r>
    <x v="0"/>
    <x v="0"/>
    <x v="0"/>
  </r>
  <r>
    <x v="1"/>
    <x v="1"/>
    <x v="1"/>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1"/>
    <x v="1"/>
    <x v="0"/>
  </r>
  <r>
    <x v="0"/>
    <x v="0"/>
    <x v="0"/>
  </r>
  <r>
    <x v="1"/>
    <x v="1"/>
    <x v="0"/>
  </r>
  <r>
    <x v="0"/>
    <x v="0"/>
    <x v="0"/>
  </r>
  <r>
    <x v="1"/>
    <x v="1"/>
    <x v="0"/>
  </r>
  <r>
    <x v="1"/>
    <x v="1"/>
    <x v="0"/>
  </r>
  <r>
    <x v="0"/>
    <x v="0"/>
    <x v="0"/>
  </r>
  <r>
    <x v="1"/>
    <x v="1"/>
    <x v="0"/>
  </r>
  <r>
    <x v="1"/>
    <x v="1"/>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1"/>
    <x v="1"/>
    <x v="0"/>
  </r>
  <r>
    <x v="0"/>
    <x v="0"/>
    <x v="0"/>
  </r>
  <r>
    <x v="1"/>
    <x v="1"/>
    <x v="0"/>
  </r>
  <r>
    <x v="0"/>
    <x v="0"/>
    <x v="0"/>
  </r>
  <r>
    <x v="1"/>
    <x v="1"/>
    <x v="0"/>
  </r>
  <r>
    <x v="0"/>
    <x v="0"/>
    <x v="0"/>
  </r>
  <r>
    <x v="0"/>
    <x v="0"/>
    <x v="0"/>
  </r>
  <r>
    <x v="0"/>
    <x v="0"/>
    <x v="0"/>
  </r>
  <r>
    <x v="0"/>
    <x v="0"/>
    <x v="0"/>
  </r>
  <r>
    <x v="0"/>
    <x v="0"/>
    <x v="1"/>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1"/>
    <x v="1"/>
    <x v="0"/>
  </r>
  <r>
    <x v="1"/>
    <x v="1"/>
    <x v="0"/>
  </r>
  <r>
    <x v="1"/>
    <x v="1"/>
    <x v="1"/>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0"/>
    <x v="0"/>
    <x v="1"/>
  </r>
  <r>
    <x v="0"/>
    <x v="0"/>
    <x v="0"/>
  </r>
  <r>
    <x v="1"/>
    <x v="1"/>
    <x v="0"/>
  </r>
  <r>
    <x v="1"/>
    <x v="1"/>
    <x v="0"/>
  </r>
  <r>
    <x v="0"/>
    <x v="0"/>
    <x v="1"/>
  </r>
  <r>
    <x v="0"/>
    <x v="0"/>
    <x v="0"/>
  </r>
  <r>
    <x v="0"/>
    <x v="0"/>
    <x v="0"/>
  </r>
  <r>
    <x v="0"/>
    <x v="0"/>
    <x v="0"/>
  </r>
  <r>
    <x v="0"/>
    <x v="0"/>
    <x v="0"/>
  </r>
  <r>
    <x v="1"/>
    <x v="1"/>
    <x v="0"/>
  </r>
  <r>
    <x v="0"/>
    <x v="0"/>
    <x v="0"/>
  </r>
  <r>
    <x v="1"/>
    <x v="1"/>
    <x v="0"/>
  </r>
  <r>
    <x v="0"/>
    <x v="0"/>
    <x v="0"/>
  </r>
  <r>
    <x v="1"/>
    <x v="1"/>
    <x v="0"/>
  </r>
  <r>
    <x v="0"/>
    <x v="0"/>
    <x v="1"/>
  </r>
  <r>
    <x v="0"/>
    <x v="0"/>
    <x v="0"/>
  </r>
  <r>
    <x v="1"/>
    <x v="1"/>
    <x v="0"/>
  </r>
  <r>
    <x v="1"/>
    <x v="1"/>
    <x v="0"/>
  </r>
  <r>
    <x v="0"/>
    <x v="0"/>
    <x v="0"/>
  </r>
  <r>
    <x v="1"/>
    <x v="1"/>
    <x v="0"/>
  </r>
  <r>
    <x v="0"/>
    <x v="0"/>
    <x v="0"/>
  </r>
  <r>
    <x v="1"/>
    <x v="1"/>
    <x v="0"/>
  </r>
  <r>
    <x v="1"/>
    <x v="1"/>
    <x v="0"/>
  </r>
  <r>
    <x v="0"/>
    <x v="0"/>
    <x v="0"/>
  </r>
  <r>
    <x v="0"/>
    <x v="0"/>
    <x v="0"/>
  </r>
  <r>
    <x v="1"/>
    <x v="1"/>
    <x v="0"/>
  </r>
  <r>
    <x v="1"/>
    <x v="1"/>
    <x v="0"/>
  </r>
  <r>
    <x v="1"/>
    <x v="1"/>
    <x v="0"/>
  </r>
  <r>
    <x v="1"/>
    <x v="1"/>
    <x v="0"/>
  </r>
  <r>
    <x v="0"/>
    <x v="0"/>
    <x v="0"/>
  </r>
  <r>
    <x v="0"/>
    <x v="0"/>
    <x v="0"/>
  </r>
  <r>
    <x v="0"/>
    <x v="0"/>
    <x v="0"/>
  </r>
  <r>
    <x v="0"/>
    <x v="0"/>
    <x v="0"/>
  </r>
  <r>
    <x v="0"/>
    <x v="0"/>
    <x v="0"/>
  </r>
  <r>
    <x v="1"/>
    <x v="1"/>
    <x v="1"/>
  </r>
  <r>
    <x v="0"/>
    <x v="0"/>
    <x v="0"/>
  </r>
  <r>
    <x v="1"/>
    <x v="1"/>
    <x v="0"/>
  </r>
  <r>
    <x v="1"/>
    <x v="1"/>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1"/>
    <x v="1"/>
    <x v="0"/>
  </r>
  <r>
    <x v="1"/>
    <x v="1"/>
    <x v="0"/>
  </r>
  <r>
    <x v="1"/>
    <x v="1"/>
    <x v="0"/>
  </r>
  <r>
    <x v="1"/>
    <x v="1"/>
    <x v="0"/>
  </r>
  <r>
    <x v="0"/>
    <x v="0"/>
    <x v="0"/>
  </r>
  <r>
    <x v="0"/>
    <x v="0"/>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1"/>
  </r>
  <r>
    <x v="1"/>
    <x v="1"/>
    <x v="1"/>
  </r>
  <r>
    <x v="0"/>
    <x v="0"/>
    <x v="0"/>
  </r>
  <r>
    <x v="0"/>
    <x v="0"/>
    <x v="0"/>
  </r>
  <r>
    <x v="1"/>
    <x v="1"/>
    <x v="0"/>
  </r>
  <r>
    <x v="1"/>
    <x v="1"/>
    <x v="0"/>
  </r>
  <r>
    <x v="0"/>
    <x v="0"/>
    <x v="0"/>
  </r>
  <r>
    <x v="1"/>
    <x v="1"/>
    <x v="0"/>
  </r>
  <r>
    <x v="0"/>
    <x v="0"/>
    <x v="0"/>
  </r>
  <r>
    <x v="1"/>
    <x v="1"/>
    <x v="0"/>
  </r>
  <r>
    <x v="1"/>
    <x v="1"/>
    <x v="0"/>
  </r>
  <r>
    <x v="0"/>
    <x v="0"/>
    <x v="0"/>
  </r>
  <r>
    <x v="1"/>
    <x v="1"/>
    <x v="0"/>
  </r>
  <r>
    <x v="1"/>
    <x v="1"/>
    <x v="0"/>
  </r>
  <r>
    <x v="1"/>
    <x v="1"/>
    <x v="0"/>
  </r>
  <r>
    <x v="1"/>
    <x v="1"/>
    <x v="0"/>
  </r>
  <r>
    <x v="0"/>
    <x v="0"/>
    <x v="0"/>
  </r>
  <r>
    <x v="1"/>
    <x v="1"/>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0"/>
    <x v="0"/>
    <x v="1"/>
  </r>
  <r>
    <x v="1"/>
    <x v="1"/>
    <x v="0"/>
  </r>
  <r>
    <x v="1"/>
    <x v="1"/>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0"/>
    <x v="0"/>
    <x v="0"/>
  </r>
  <r>
    <x v="1"/>
    <x v="1"/>
    <x v="0"/>
  </r>
  <r>
    <x v="1"/>
    <x v="1"/>
    <x v="0"/>
  </r>
  <r>
    <x v="0"/>
    <x v="0"/>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0"/>
    <x v="0"/>
    <x v="0"/>
  </r>
  <r>
    <x v="1"/>
    <x v="1"/>
    <x v="0"/>
  </r>
  <r>
    <x v="0"/>
    <x v="0"/>
    <x v="0"/>
  </r>
  <r>
    <x v="1"/>
    <x v="1"/>
    <x v="0"/>
  </r>
  <r>
    <x v="1"/>
    <x v="1"/>
    <x v="0"/>
  </r>
  <r>
    <x v="1"/>
    <x v="1"/>
    <x v="0"/>
  </r>
  <r>
    <x v="0"/>
    <x v="0"/>
    <x v="0"/>
  </r>
  <r>
    <x v="0"/>
    <x v="0"/>
    <x v="0"/>
  </r>
  <r>
    <x v="1"/>
    <x v="1"/>
    <x v="0"/>
  </r>
  <r>
    <x v="0"/>
    <x v="0"/>
    <x v="0"/>
  </r>
  <r>
    <x v="1"/>
    <x v="1"/>
    <x v="0"/>
  </r>
  <r>
    <x v="0"/>
    <x v="0"/>
    <x v="0"/>
  </r>
  <r>
    <x v="0"/>
    <x v="0"/>
    <x v="0"/>
  </r>
  <r>
    <x v="1"/>
    <x v="1"/>
    <x v="0"/>
  </r>
  <r>
    <x v="0"/>
    <x v="0"/>
    <x v="0"/>
  </r>
  <r>
    <x v="1"/>
    <x v="1"/>
    <x v="0"/>
  </r>
  <r>
    <x v="0"/>
    <x v="0"/>
    <x v="0"/>
  </r>
  <r>
    <x v="1"/>
    <x v="1"/>
    <x v="0"/>
  </r>
  <r>
    <x v="1"/>
    <x v="1"/>
    <x v="0"/>
  </r>
  <r>
    <x v="0"/>
    <x v="0"/>
    <x v="0"/>
  </r>
  <r>
    <x v="0"/>
    <x v="0"/>
    <x v="1"/>
  </r>
  <r>
    <x v="0"/>
    <x v="0"/>
    <x v="0"/>
  </r>
  <r>
    <x v="1"/>
    <x v="1"/>
    <x v="0"/>
  </r>
  <r>
    <x v="1"/>
    <x v="1"/>
    <x v="0"/>
  </r>
  <r>
    <x v="1"/>
    <x v="1"/>
    <x v="0"/>
  </r>
  <r>
    <x v="1"/>
    <x v="1"/>
    <x v="0"/>
  </r>
  <r>
    <x v="1"/>
    <x v="1"/>
    <x v="0"/>
  </r>
  <r>
    <x v="1"/>
    <x v="1"/>
    <x v="1"/>
  </r>
  <r>
    <x v="1"/>
    <x v="1"/>
    <x v="0"/>
  </r>
  <r>
    <x v="0"/>
    <x v="0"/>
    <x v="0"/>
  </r>
  <r>
    <x v="1"/>
    <x v="1"/>
    <x v="0"/>
  </r>
  <r>
    <x v="1"/>
    <x v="1"/>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0"/>
    <x v="0"/>
    <x v="0"/>
  </r>
  <r>
    <x v="1"/>
    <x v="1"/>
    <x v="0"/>
  </r>
  <r>
    <x v="0"/>
    <x v="0"/>
    <x v="0"/>
  </r>
  <r>
    <x v="0"/>
    <x v="0"/>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0"/>
    <x v="0"/>
    <x v="0"/>
  </r>
  <r>
    <x v="0"/>
    <x v="0"/>
    <x v="0"/>
  </r>
  <r>
    <x v="0"/>
    <x v="0"/>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1"/>
    <x v="1"/>
    <x v="0"/>
  </r>
  <r>
    <x v="1"/>
    <x v="1"/>
    <x v="1"/>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1"/>
    <x v="1"/>
    <x v="0"/>
  </r>
  <r>
    <x v="1"/>
    <x v="1"/>
    <x v="0"/>
  </r>
  <r>
    <x v="1"/>
    <x v="1"/>
    <x v="0"/>
  </r>
  <r>
    <x v="1"/>
    <x v="1"/>
    <x v="0"/>
  </r>
  <r>
    <x v="1"/>
    <x v="1"/>
    <x v="1"/>
  </r>
  <r>
    <x v="0"/>
    <x v="0"/>
    <x v="0"/>
  </r>
  <r>
    <x v="1"/>
    <x v="1"/>
    <x v="0"/>
  </r>
  <r>
    <x v="0"/>
    <x v="0"/>
    <x v="0"/>
  </r>
  <r>
    <x v="0"/>
    <x v="0"/>
    <x v="0"/>
  </r>
  <r>
    <x v="1"/>
    <x v="1"/>
    <x v="0"/>
  </r>
  <r>
    <x v="1"/>
    <x v="1"/>
    <x v="0"/>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0"/>
    <x v="0"/>
    <x v="0"/>
  </r>
  <r>
    <x v="0"/>
    <x v="0"/>
    <x v="0"/>
  </r>
  <r>
    <x v="0"/>
    <x v="0"/>
    <x v="0"/>
  </r>
  <r>
    <x v="0"/>
    <x v="0"/>
    <x v="0"/>
  </r>
  <r>
    <x v="0"/>
    <x v="0"/>
    <x v="0"/>
  </r>
  <r>
    <x v="0"/>
    <x v="0"/>
    <x v="1"/>
  </r>
  <r>
    <x v="1"/>
    <x v="1"/>
    <x v="0"/>
  </r>
  <r>
    <x v="0"/>
    <x v="0"/>
    <x v="0"/>
  </r>
  <r>
    <x v="0"/>
    <x v="0"/>
    <x v="0"/>
  </r>
  <r>
    <x v="1"/>
    <x v="1"/>
    <x v="0"/>
  </r>
  <r>
    <x v="1"/>
    <x v="1"/>
    <x v="0"/>
  </r>
  <r>
    <x v="0"/>
    <x v="0"/>
    <x v="0"/>
  </r>
  <r>
    <x v="1"/>
    <x v="1"/>
    <x v="0"/>
  </r>
  <r>
    <x v="1"/>
    <x v="1"/>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0"/>
    <x v="0"/>
    <x v="0"/>
  </r>
  <r>
    <x v="1"/>
    <x v="1"/>
    <x v="0"/>
  </r>
  <r>
    <x v="0"/>
    <x v="0"/>
    <x v="0"/>
  </r>
  <r>
    <x v="1"/>
    <x v="1"/>
    <x v="0"/>
  </r>
  <r>
    <x v="1"/>
    <x v="1"/>
    <x v="0"/>
  </r>
  <r>
    <x v="1"/>
    <x v="1"/>
    <x v="0"/>
  </r>
  <r>
    <x v="1"/>
    <x v="1"/>
    <x v="0"/>
  </r>
  <r>
    <x v="1"/>
    <x v="1"/>
    <x v="0"/>
  </r>
  <r>
    <x v="1"/>
    <x v="1"/>
    <x v="0"/>
  </r>
  <r>
    <x v="1"/>
    <x v="1"/>
    <x v="0"/>
  </r>
  <r>
    <x v="1"/>
    <x v="1"/>
    <x v="0"/>
  </r>
  <r>
    <x v="1"/>
    <x v="1"/>
    <x v="0"/>
  </r>
  <r>
    <x v="0"/>
    <x v="0"/>
    <x v="0"/>
  </r>
  <r>
    <x v="1"/>
    <x v="1"/>
    <x v="0"/>
  </r>
  <r>
    <x v="0"/>
    <x v="0"/>
    <x v="1"/>
  </r>
  <r>
    <x v="1"/>
    <x v="1"/>
    <x v="0"/>
  </r>
  <r>
    <x v="0"/>
    <x v="0"/>
    <x v="0"/>
  </r>
  <r>
    <x v="1"/>
    <x v="1"/>
    <x v="0"/>
  </r>
  <r>
    <x v="1"/>
    <x v="1"/>
    <x v="0"/>
  </r>
  <r>
    <x v="1"/>
    <x v="1"/>
    <x v="0"/>
  </r>
  <r>
    <x v="1"/>
    <x v="1"/>
    <x v="0"/>
  </r>
  <r>
    <x v="1"/>
    <x v="1"/>
    <x v="0"/>
  </r>
  <r>
    <x v="0"/>
    <x v="0"/>
    <x v="0"/>
  </r>
  <r>
    <x v="0"/>
    <x v="0"/>
    <x v="0"/>
  </r>
  <r>
    <x v="0"/>
    <x v="0"/>
    <x v="0"/>
  </r>
  <r>
    <x v="1"/>
    <x v="1"/>
    <x v="0"/>
  </r>
  <r>
    <x v="0"/>
    <x v="0"/>
    <x v="0"/>
  </r>
  <r>
    <x v="0"/>
    <x v="0"/>
    <x v="0"/>
  </r>
  <r>
    <x v="0"/>
    <x v="0"/>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1"/>
    <x v="1"/>
    <x v="0"/>
  </r>
  <r>
    <x v="1"/>
    <x v="1"/>
    <x v="1"/>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0"/>
    <x v="0"/>
    <x v="0"/>
  </r>
  <r>
    <x v="0"/>
    <x v="0"/>
    <x v="0"/>
  </r>
  <r>
    <x v="1"/>
    <x v="1"/>
    <x v="0"/>
  </r>
  <r>
    <x v="0"/>
    <x v="0"/>
    <x v="0"/>
  </r>
  <r>
    <x v="0"/>
    <x v="0"/>
    <x v="1"/>
  </r>
  <r>
    <x v="1"/>
    <x v="1"/>
    <x v="0"/>
  </r>
  <r>
    <x v="1"/>
    <x v="1"/>
    <x v="0"/>
  </r>
  <r>
    <x v="1"/>
    <x v="1"/>
    <x v="0"/>
  </r>
  <r>
    <x v="1"/>
    <x v="1"/>
    <x v="1"/>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1"/>
    <x v="1"/>
    <x v="0"/>
  </r>
  <r>
    <x v="1"/>
    <x v="1"/>
    <x v="0"/>
  </r>
  <r>
    <x v="0"/>
    <x v="0"/>
    <x v="0"/>
  </r>
  <r>
    <x v="1"/>
    <x v="1"/>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0"/>
    <x v="0"/>
    <x v="0"/>
  </r>
  <r>
    <x v="0"/>
    <x v="0"/>
    <x v="0"/>
  </r>
  <r>
    <x v="1"/>
    <x v="1"/>
    <x v="0"/>
  </r>
  <r>
    <x v="0"/>
    <x v="0"/>
    <x v="0"/>
  </r>
  <r>
    <x v="1"/>
    <x v="1"/>
    <x v="0"/>
  </r>
  <r>
    <x v="0"/>
    <x v="0"/>
    <x v="0"/>
  </r>
  <r>
    <x v="0"/>
    <x v="0"/>
    <x v="0"/>
  </r>
  <r>
    <x v="0"/>
    <x v="0"/>
    <x v="1"/>
  </r>
  <r>
    <x v="1"/>
    <x v="1"/>
    <x v="0"/>
  </r>
  <r>
    <x v="1"/>
    <x v="1"/>
    <x v="0"/>
  </r>
  <r>
    <x v="1"/>
    <x v="1"/>
    <x v="0"/>
  </r>
  <r>
    <x v="1"/>
    <x v="1"/>
    <x v="0"/>
  </r>
  <r>
    <x v="0"/>
    <x v="0"/>
    <x v="0"/>
  </r>
  <r>
    <x v="1"/>
    <x v="1"/>
    <x v="0"/>
  </r>
  <r>
    <x v="1"/>
    <x v="1"/>
    <x v="0"/>
  </r>
  <r>
    <x v="1"/>
    <x v="1"/>
    <x v="0"/>
  </r>
  <r>
    <x v="0"/>
    <x v="0"/>
    <x v="0"/>
  </r>
  <r>
    <x v="1"/>
    <x v="1"/>
    <x v="0"/>
  </r>
  <r>
    <x v="0"/>
    <x v="0"/>
    <x v="0"/>
  </r>
  <r>
    <x v="0"/>
    <x v="0"/>
    <x v="0"/>
  </r>
  <r>
    <x v="0"/>
    <x v="0"/>
    <x v="0"/>
  </r>
  <r>
    <x v="1"/>
    <x v="1"/>
    <x v="0"/>
  </r>
  <r>
    <x v="0"/>
    <x v="0"/>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0"/>
  </r>
  <r>
    <x v="0"/>
    <x v="0"/>
    <x v="1"/>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1"/>
    <x v="1"/>
    <x v="0"/>
  </r>
  <r>
    <x v="1"/>
    <x v="1"/>
    <x v="0"/>
  </r>
  <r>
    <x v="0"/>
    <x v="0"/>
    <x v="0"/>
  </r>
  <r>
    <x v="1"/>
    <x v="1"/>
    <x v="1"/>
  </r>
  <r>
    <x v="0"/>
    <x v="0"/>
    <x v="0"/>
  </r>
  <r>
    <x v="1"/>
    <x v="1"/>
    <x v="0"/>
  </r>
  <r>
    <x v="1"/>
    <x v="1"/>
    <x v="0"/>
  </r>
  <r>
    <x v="0"/>
    <x v="0"/>
    <x v="0"/>
  </r>
  <r>
    <x v="1"/>
    <x v="1"/>
    <x v="0"/>
  </r>
  <r>
    <x v="1"/>
    <x v="1"/>
    <x v="0"/>
  </r>
  <r>
    <x v="0"/>
    <x v="0"/>
    <x v="0"/>
  </r>
  <r>
    <x v="1"/>
    <x v="1"/>
    <x v="1"/>
  </r>
  <r>
    <x v="0"/>
    <x v="0"/>
    <x v="0"/>
  </r>
  <r>
    <x v="1"/>
    <x v="1"/>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1"/>
    <x v="1"/>
    <x v="0"/>
  </r>
  <r>
    <x v="0"/>
    <x v="0"/>
    <x v="0"/>
  </r>
  <r>
    <x v="0"/>
    <x v="0"/>
    <x v="0"/>
  </r>
  <r>
    <x v="0"/>
    <x v="0"/>
    <x v="1"/>
  </r>
  <r>
    <x v="0"/>
    <x v="0"/>
    <x v="0"/>
  </r>
  <r>
    <x v="1"/>
    <x v="1"/>
    <x v="0"/>
  </r>
  <r>
    <x v="1"/>
    <x v="1"/>
    <x v="0"/>
  </r>
  <r>
    <x v="0"/>
    <x v="0"/>
    <x v="0"/>
  </r>
  <r>
    <x v="1"/>
    <x v="1"/>
    <x v="0"/>
  </r>
  <r>
    <x v="0"/>
    <x v="0"/>
    <x v="0"/>
  </r>
  <r>
    <x v="1"/>
    <x v="1"/>
    <x v="0"/>
  </r>
  <r>
    <x v="1"/>
    <x v="1"/>
    <x v="0"/>
  </r>
  <r>
    <x v="0"/>
    <x v="0"/>
    <x v="0"/>
  </r>
  <r>
    <x v="1"/>
    <x v="1"/>
    <x v="0"/>
  </r>
  <r>
    <x v="1"/>
    <x v="1"/>
    <x v="0"/>
  </r>
  <r>
    <x v="0"/>
    <x v="0"/>
    <x v="0"/>
  </r>
  <r>
    <x v="0"/>
    <x v="0"/>
    <x v="0"/>
  </r>
  <r>
    <x v="1"/>
    <x v="1"/>
    <x v="0"/>
  </r>
  <r>
    <x v="0"/>
    <x v="0"/>
    <x v="0"/>
  </r>
  <r>
    <x v="1"/>
    <x v="1"/>
    <x v="0"/>
  </r>
  <r>
    <x v="1"/>
    <x v="1"/>
    <x v="0"/>
  </r>
  <r>
    <x v="0"/>
    <x v="0"/>
    <x v="0"/>
  </r>
  <r>
    <x v="1"/>
    <x v="1"/>
    <x v="0"/>
  </r>
  <r>
    <x v="0"/>
    <x v="0"/>
    <x v="0"/>
  </r>
  <r>
    <x v="0"/>
    <x v="0"/>
    <x v="0"/>
  </r>
  <r>
    <x v="0"/>
    <x v="0"/>
    <x v="0"/>
  </r>
  <r>
    <x v="0"/>
    <x v="0"/>
    <x v="0"/>
  </r>
  <r>
    <x v="0"/>
    <x v="0"/>
    <x v="0"/>
  </r>
  <r>
    <x v="0"/>
    <x v="0"/>
    <x v="0"/>
  </r>
  <r>
    <x v="1"/>
    <x v="1"/>
    <x v="0"/>
  </r>
  <r>
    <x v="1"/>
    <x v="1"/>
    <x v="0"/>
  </r>
  <r>
    <x v="1"/>
    <x v="1"/>
    <x v="0"/>
  </r>
  <r>
    <x v="1"/>
    <x v="1"/>
    <x v="1"/>
  </r>
  <r>
    <x v="0"/>
    <x v="0"/>
    <x v="0"/>
  </r>
  <r>
    <x v="1"/>
    <x v="1"/>
    <x v="0"/>
  </r>
  <r>
    <x v="0"/>
    <x v="0"/>
    <x v="0"/>
  </r>
  <r>
    <x v="0"/>
    <x v="0"/>
    <x v="0"/>
  </r>
  <r>
    <x v="1"/>
    <x v="1"/>
    <x v="0"/>
  </r>
  <r>
    <x v="0"/>
    <x v="0"/>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1"/>
    <x v="1"/>
    <x v="0"/>
  </r>
  <r>
    <x v="1"/>
    <x v="1"/>
    <x v="0"/>
  </r>
  <r>
    <x v="1"/>
    <x v="1"/>
    <x v="0"/>
  </r>
  <r>
    <x v="0"/>
    <x v="0"/>
    <x v="0"/>
  </r>
  <r>
    <x v="0"/>
    <x v="0"/>
    <x v="0"/>
  </r>
  <r>
    <x v="1"/>
    <x v="1"/>
    <x v="0"/>
  </r>
  <r>
    <x v="0"/>
    <x v="0"/>
    <x v="0"/>
  </r>
  <r>
    <x v="0"/>
    <x v="0"/>
    <x v="0"/>
  </r>
  <r>
    <x v="1"/>
    <x v="1"/>
    <x v="0"/>
  </r>
  <r>
    <x v="1"/>
    <x v="1"/>
    <x v="0"/>
  </r>
  <r>
    <x v="1"/>
    <x v="1"/>
    <x v="0"/>
  </r>
  <r>
    <x v="1"/>
    <x v="1"/>
    <x v="0"/>
  </r>
  <r>
    <x v="0"/>
    <x v="0"/>
    <x v="0"/>
  </r>
  <r>
    <x v="0"/>
    <x v="0"/>
    <x v="0"/>
  </r>
  <r>
    <x v="0"/>
    <x v="0"/>
    <x v="0"/>
  </r>
  <r>
    <x v="0"/>
    <x v="0"/>
    <x v="0"/>
  </r>
  <r>
    <x v="0"/>
    <x v="0"/>
    <x v="0"/>
  </r>
  <r>
    <x v="0"/>
    <x v="0"/>
    <x v="0"/>
  </r>
  <r>
    <x v="0"/>
    <x v="0"/>
    <x v="0"/>
  </r>
  <r>
    <x v="0"/>
    <x v="0"/>
    <x v="0"/>
  </r>
  <r>
    <x v="0"/>
    <x v="0"/>
    <x v="0"/>
  </r>
  <r>
    <x v="1"/>
    <x v="1"/>
    <x v="0"/>
  </r>
  <r>
    <x v="0"/>
    <x v="0"/>
    <x v="0"/>
  </r>
  <r>
    <x v="0"/>
    <x v="0"/>
    <x v="0"/>
  </r>
  <r>
    <x v="1"/>
    <x v="1"/>
    <x v="0"/>
  </r>
  <r>
    <x v="1"/>
    <x v="1"/>
    <x v="0"/>
  </r>
  <r>
    <x v="1"/>
    <x v="1"/>
    <x v="0"/>
  </r>
  <r>
    <x v="0"/>
    <x v="0"/>
    <x v="0"/>
  </r>
  <r>
    <x v="1"/>
    <x v="1"/>
    <x v="0"/>
  </r>
  <r>
    <x v="0"/>
    <x v="0"/>
    <x v="0"/>
  </r>
  <r>
    <x v="0"/>
    <x v="0"/>
    <x v="0"/>
  </r>
  <r>
    <x v="1"/>
    <x v="1"/>
    <x v="0"/>
  </r>
  <r>
    <x v="0"/>
    <x v="0"/>
    <x v="0"/>
  </r>
  <r>
    <x v="1"/>
    <x v="1"/>
    <x v="0"/>
  </r>
  <r>
    <x v="1"/>
    <x v="1"/>
    <x v="0"/>
  </r>
  <r>
    <x v="1"/>
    <x v="1"/>
    <x v="0"/>
  </r>
  <r>
    <x v="0"/>
    <x v="0"/>
    <x v="1"/>
  </r>
  <r>
    <x v="0"/>
    <x v="0"/>
    <x v="0"/>
  </r>
  <r>
    <x v="1"/>
    <x v="1"/>
    <x v="0"/>
  </r>
  <r>
    <x v="0"/>
    <x v="0"/>
    <x v="0"/>
  </r>
  <r>
    <x v="0"/>
    <x v="0"/>
    <x v="0"/>
  </r>
  <r>
    <x v="1"/>
    <x v="1"/>
    <x v="0"/>
  </r>
  <r>
    <x v="1"/>
    <x v="1"/>
    <x v="0"/>
  </r>
  <r>
    <x v="1"/>
    <x v="1"/>
    <x v="0"/>
  </r>
  <r>
    <x v="0"/>
    <x v="0"/>
    <x v="0"/>
  </r>
  <r>
    <x v="0"/>
    <x v="0"/>
    <x v="0"/>
  </r>
  <r>
    <x v="1"/>
    <x v="1"/>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0"/>
    <x v="0"/>
    <x v="0"/>
  </r>
  <r>
    <x v="0"/>
    <x v="0"/>
    <x v="0"/>
  </r>
  <r>
    <x v="0"/>
    <x v="0"/>
    <x v="0"/>
  </r>
  <r>
    <x v="1"/>
    <x v="1"/>
    <x v="0"/>
  </r>
  <r>
    <x v="0"/>
    <x v="0"/>
    <x v="0"/>
  </r>
  <r>
    <x v="0"/>
    <x v="0"/>
    <x v="0"/>
  </r>
  <r>
    <x v="0"/>
    <x v="0"/>
    <x v="0"/>
  </r>
  <r>
    <x v="1"/>
    <x v="1"/>
    <x v="0"/>
  </r>
  <r>
    <x v="1"/>
    <x v="1"/>
    <x v="0"/>
  </r>
  <r>
    <x v="0"/>
    <x v="0"/>
    <x v="0"/>
  </r>
  <r>
    <x v="1"/>
    <x v="1"/>
    <x v="0"/>
  </r>
  <r>
    <x v="0"/>
    <x v="0"/>
    <x v="0"/>
  </r>
  <r>
    <x v="1"/>
    <x v="1"/>
    <x v="0"/>
  </r>
  <r>
    <x v="1"/>
    <x v="1"/>
    <x v="0"/>
  </r>
  <r>
    <x v="0"/>
    <x v="0"/>
    <x v="0"/>
  </r>
  <r>
    <x v="0"/>
    <x v="0"/>
    <x v="0"/>
  </r>
  <r>
    <x v="1"/>
    <x v="1"/>
    <x v="0"/>
  </r>
  <r>
    <x v="0"/>
    <x v="0"/>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1"/>
  </r>
  <r>
    <x v="1"/>
    <x v="1"/>
    <x v="0"/>
  </r>
  <r>
    <x v="0"/>
    <x v="0"/>
    <x v="0"/>
  </r>
  <r>
    <x v="1"/>
    <x v="1"/>
    <x v="0"/>
  </r>
  <r>
    <x v="1"/>
    <x v="1"/>
    <x v="0"/>
  </r>
  <r>
    <x v="0"/>
    <x v="0"/>
    <x v="0"/>
  </r>
  <r>
    <x v="1"/>
    <x v="1"/>
    <x v="0"/>
  </r>
  <r>
    <x v="0"/>
    <x v="0"/>
    <x v="0"/>
  </r>
  <r>
    <x v="0"/>
    <x v="0"/>
    <x v="0"/>
  </r>
  <r>
    <x v="0"/>
    <x v="0"/>
    <x v="0"/>
  </r>
  <r>
    <x v="0"/>
    <x v="0"/>
    <x v="0"/>
  </r>
  <r>
    <x v="1"/>
    <x v="1"/>
    <x v="0"/>
  </r>
  <r>
    <x v="0"/>
    <x v="0"/>
    <x v="0"/>
  </r>
  <r>
    <x v="1"/>
    <x v="1"/>
    <x v="1"/>
  </r>
  <r>
    <x v="0"/>
    <x v="0"/>
    <x v="0"/>
  </r>
  <r>
    <x v="1"/>
    <x v="1"/>
    <x v="0"/>
  </r>
  <r>
    <x v="1"/>
    <x v="1"/>
    <x v="0"/>
  </r>
  <r>
    <x v="1"/>
    <x v="1"/>
    <x v="1"/>
  </r>
  <r>
    <x v="1"/>
    <x v="1"/>
    <x v="1"/>
  </r>
  <r>
    <x v="0"/>
    <x v="0"/>
    <x v="0"/>
  </r>
  <r>
    <x v="1"/>
    <x v="1"/>
    <x v="0"/>
  </r>
  <r>
    <x v="0"/>
    <x v="0"/>
    <x v="0"/>
  </r>
  <r>
    <x v="0"/>
    <x v="0"/>
    <x v="1"/>
  </r>
  <r>
    <x v="1"/>
    <x v="1"/>
    <x v="0"/>
  </r>
  <r>
    <x v="0"/>
    <x v="0"/>
    <x v="0"/>
  </r>
  <r>
    <x v="0"/>
    <x v="0"/>
    <x v="0"/>
  </r>
  <r>
    <x v="0"/>
    <x v="0"/>
    <x v="0"/>
  </r>
  <r>
    <x v="0"/>
    <x v="0"/>
    <x v="0"/>
  </r>
  <r>
    <x v="0"/>
    <x v="0"/>
    <x v="0"/>
  </r>
  <r>
    <x v="1"/>
    <x v="1"/>
    <x v="0"/>
  </r>
  <r>
    <x v="1"/>
    <x v="1"/>
    <x v="1"/>
  </r>
  <r>
    <x v="0"/>
    <x v="0"/>
    <x v="0"/>
  </r>
  <r>
    <x v="1"/>
    <x v="1"/>
    <x v="0"/>
  </r>
  <r>
    <x v="0"/>
    <x v="0"/>
    <x v="0"/>
  </r>
  <r>
    <x v="1"/>
    <x v="1"/>
    <x v="0"/>
  </r>
  <r>
    <x v="1"/>
    <x v="1"/>
    <x v="0"/>
  </r>
  <r>
    <x v="0"/>
    <x v="0"/>
    <x v="0"/>
  </r>
  <r>
    <x v="1"/>
    <x v="1"/>
    <x v="0"/>
  </r>
  <r>
    <x v="1"/>
    <x v="1"/>
    <x v="0"/>
  </r>
  <r>
    <x v="1"/>
    <x v="1"/>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1"/>
  </r>
  <r>
    <x v="0"/>
    <x v="0"/>
    <x v="0"/>
  </r>
  <r>
    <x v="0"/>
    <x v="0"/>
    <x v="0"/>
  </r>
  <r>
    <x v="0"/>
    <x v="0"/>
    <x v="0"/>
  </r>
  <r>
    <x v="1"/>
    <x v="1"/>
    <x v="0"/>
  </r>
  <r>
    <x v="1"/>
    <x v="1"/>
    <x v="0"/>
  </r>
  <r>
    <x v="1"/>
    <x v="1"/>
    <x v="0"/>
  </r>
  <r>
    <x v="0"/>
    <x v="0"/>
    <x v="0"/>
  </r>
  <r>
    <x v="1"/>
    <x v="1"/>
    <x v="0"/>
  </r>
  <r>
    <x v="0"/>
    <x v="0"/>
    <x v="0"/>
  </r>
  <r>
    <x v="0"/>
    <x v="0"/>
    <x v="0"/>
  </r>
  <r>
    <x v="1"/>
    <x v="1"/>
    <x v="0"/>
  </r>
  <r>
    <x v="1"/>
    <x v="1"/>
    <x v="0"/>
  </r>
  <r>
    <x v="0"/>
    <x v="0"/>
    <x v="0"/>
  </r>
  <r>
    <x v="1"/>
    <x v="1"/>
    <x v="0"/>
  </r>
  <r>
    <x v="1"/>
    <x v="1"/>
    <x v="0"/>
  </r>
  <r>
    <x v="1"/>
    <x v="1"/>
    <x v="0"/>
  </r>
  <r>
    <x v="1"/>
    <x v="1"/>
    <x v="0"/>
  </r>
  <r>
    <x v="1"/>
    <x v="1"/>
    <x v="0"/>
  </r>
  <r>
    <x v="0"/>
    <x v="0"/>
    <x v="0"/>
  </r>
  <r>
    <x v="0"/>
    <x v="0"/>
    <x v="0"/>
  </r>
  <r>
    <x v="0"/>
    <x v="0"/>
    <x v="0"/>
  </r>
  <r>
    <x v="0"/>
    <x v="0"/>
    <x v="0"/>
  </r>
  <r>
    <x v="1"/>
    <x v="1"/>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1"/>
    <x v="1"/>
    <x v="0"/>
  </r>
  <r>
    <x v="0"/>
    <x v="0"/>
    <x v="0"/>
  </r>
  <r>
    <x v="1"/>
    <x v="1"/>
    <x v="0"/>
  </r>
  <r>
    <x v="1"/>
    <x v="1"/>
    <x v="0"/>
  </r>
  <r>
    <x v="1"/>
    <x v="1"/>
    <x v="1"/>
  </r>
  <r>
    <x v="0"/>
    <x v="0"/>
    <x v="0"/>
  </r>
  <r>
    <x v="0"/>
    <x v="0"/>
    <x v="0"/>
  </r>
  <r>
    <x v="1"/>
    <x v="1"/>
    <x v="0"/>
  </r>
  <r>
    <x v="0"/>
    <x v="0"/>
    <x v="0"/>
  </r>
  <r>
    <x v="1"/>
    <x v="1"/>
    <x v="0"/>
  </r>
  <r>
    <x v="1"/>
    <x v="1"/>
    <x v="0"/>
  </r>
  <r>
    <x v="1"/>
    <x v="1"/>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1"/>
    <x v="1"/>
    <x v="0"/>
  </r>
  <r>
    <x v="0"/>
    <x v="0"/>
    <x v="0"/>
  </r>
  <r>
    <x v="1"/>
    <x v="1"/>
    <x v="0"/>
  </r>
  <r>
    <x v="0"/>
    <x v="0"/>
    <x v="0"/>
  </r>
  <r>
    <x v="0"/>
    <x v="0"/>
    <x v="1"/>
  </r>
  <r>
    <x v="1"/>
    <x v="1"/>
    <x v="0"/>
  </r>
  <r>
    <x v="0"/>
    <x v="0"/>
    <x v="0"/>
  </r>
  <r>
    <x v="0"/>
    <x v="0"/>
    <x v="1"/>
  </r>
  <r>
    <x v="1"/>
    <x v="1"/>
    <x v="0"/>
  </r>
  <r>
    <x v="0"/>
    <x v="0"/>
    <x v="0"/>
  </r>
  <r>
    <x v="1"/>
    <x v="1"/>
    <x v="0"/>
  </r>
  <r>
    <x v="1"/>
    <x v="1"/>
    <x v="0"/>
  </r>
  <r>
    <x v="1"/>
    <x v="1"/>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0"/>
    <x v="0"/>
    <x v="0"/>
  </r>
  <r>
    <x v="0"/>
    <x v="0"/>
    <x v="0"/>
  </r>
  <r>
    <x v="1"/>
    <x v="1"/>
    <x v="0"/>
  </r>
  <r>
    <x v="1"/>
    <x v="1"/>
    <x v="0"/>
  </r>
  <r>
    <x v="1"/>
    <x v="1"/>
    <x v="0"/>
  </r>
  <r>
    <x v="0"/>
    <x v="0"/>
    <x v="0"/>
  </r>
  <r>
    <x v="1"/>
    <x v="1"/>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0"/>
    <x v="0"/>
    <x v="0"/>
  </r>
  <r>
    <x v="0"/>
    <x v="0"/>
    <x v="0"/>
  </r>
  <r>
    <x v="0"/>
    <x v="0"/>
    <x v="0"/>
  </r>
  <r>
    <x v="1"/>
    <x v="1"/>
    <x v="0"/>
  </r>
  <r>
    <x v="1"/>
    <x v="1"/>
    <x v="0"/>
  </r>
  <r>
    <x v="1"/>
    <x v="1"/>
    <x v="1"/>
  </r>
  <r>
    <x v="1"/>
    <x v="1"/>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0"/>
    <x v="0"/>
    <x v="0"/>
  </r>
  <r>
    <x v="1"/>
    <x v="1"/>
    <x v="0"/>
  </r>
  <r>
    <x v="0"/>
    <x v="0"/>
    <x v="0"/>
  </r>
  <r>
    <x v="1"/>
    <x v="1"/>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1"/>
    <x v="1"/>
    <x v="0"/>
  </r>
  <r>
    <x v="1"/>
    <x v="1"/>
    <x v="0"/>
  </r>
  <r>
    <x v="0"/>
    <x v="0"/>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1"/>
    <x v="1"/>
    <x v="1"/>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1"/>
    <x v="1"/>
    <x v="0"/>
  </r>
  <r>
    <x v="0"/>
    <x v="0"/>
    <x v="0"/>
  </r>
  <r>
    <x v="1"/>
    <x v="1"/>
    <x v="0"/>
  </r>
  <r>
    <x v="1"/>
    <x v="1"/>
    <x v="0"/>
  </r>
  <r>
    <x v="1"/>
    <x v="1"/>
    <x v="0"/>
  </r>
  <r>
    <x v="0"/>
    <x v="0"/>
    <x v="0"/>
  </r>
  <r>
    <x v="1"/>
    <x v="1"/>
    <x v="0"/>
  </r>
  <r>
    <x v="0"/>
    <x v="0"/>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1"/>
    <x v="1"/>
    <x v="0"/>
  </r>
  <r>
    <x v="0"/>
    <x v="0"/>
    <x v="0"/>
  </r>
  <r>
    <x v="1"/>
    <x v="1"/>
    <x v="1"/>
  </r>
  <r>
    <x v="1"/>
    <x v="1"/>
    <x v="0"/>
  </r>
  <r>
    <x v="1"/>
    <x v="1"/>
    <x v="0"/>
  </r>
  <r>
    <x v="0"/>
    <x v="0"/>
    <x v="0"/>
  </r>
  <r>
    <x v="1"/>
    <x v="1"/>
    <x v="0"/>
  </r>
  <r>
    <x v="1"/>
    <x v="1"/>
    <x v="0"/>
  </r>
  <r>
    <x v="1"/>
    <x v="1"/>
    <x v="0"/>
  </r>
  <r>
    <x v="0"/>
    <x v="0"/>
    <x v="0"/>
  </r>
  <r>
    <x v="0"/>
    <x v="0"/>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1"/>
  </r>
  <r>
    <x v="1"/>
    <x v="1"/>
    <x v="0"/>
  </r>
  <r>
    <x v="0"/>
    <x v="0"/>
    <x v="0"/>
  </r>
  <r>
    <x v="1"/>
    <x v="1"/>
    <x v="0"/>
  </r>
  <r>
    <x v="1"/>
    <x v="1"/>
    <x v="0"/>
  </r>
  <r>
    <x v="0"/>
    <x v="0"/>
    <x v="0"/>
  </r>
  <r>
    <x v="1"/>
    <x v="1"/>
    <x v="0"/>
  </r>
  <r>
    <x v="0"/>
    <x v="0"/>
    <x v="0"/>
  </r>
  <r>
    <x v="1"/>
    <x v="1"/>
    <x v="1"/>
  </r>
  <r>
    <x v="0"/>
    <x v="0"/>
    <x v="0"/>
  </r>
  <r>
    <x v="1"/>
    <x v="1"/>
    <x v="0"/>
  </r>
  <r>
    <x v="1"/>
    <x v="1"/>
    <x v="0"/>
  </r>
  <r>
    <x v="1"/>
    <x v="1"/>
    <x v="0"/>
  </r>
  <r>
    <x v="0"/>
    <x v="0"/>
    <x v="0"/>
  </r>
  <r>
    <x v="1"/>
    <x v="1"/>
    <x v="1"/>
  </r>
  <r>
    <x v="1"/>
    <x v="1"/>
    <x v="0"/>
  </r>
  <r>
    <x v="0"/>
    <x v="0"/>
    <x v="0"/>
  </r>
  <r>
    <x v="1"/>
    <x v="1"/>
    <x v="0"/>
  </r>
  <r>
    <x v="0"/>
    <x v="0"/>
    <x v="0"/>
  </r>
  <r>
    <x v="0"/>
    <x v="0"/>
    <x v="0"/>
  </r>
  <r>
    <x v="0"/>
    <x v="0"/>
    <x v="0"/>
  </r>
  <r>
    <x v="0"/>
    <x v="0"/>
    <x v="0"/>
  </r>
  <r>
    <x v="1"/>
    <x v="1"/>
    <x v="0"/>
  </r>
  <r>
    <x v="0"/>
    <x v="0"/>
    <x v="0"/>
  </r>
  <r>
    <x v="1"/>
    <x v="1"/>
    <x v="0"/>
  </r>
  <r>
    <x v="0"/>
    <x v="0"/>
    <x v="0"/>
  </r>
  <r>
    <x v="1"/>
    <x v="1"/>
    <x v="0"/>
  </r>
  <r>
    <x v="1"/>
    <x v="1"/>
    <x v="0"/>
  </r>
  <r>
    <x v="1"/>
    <x v="1"/>
    <x v="0"/>
  </r>
  <r>
    <x v="1"/>
    <x v="1"/>
    <x v="1"/>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0"/>
  </r>
  <r>
    <x v="0"/>
    <x v="0"/>
    <x v="0"/>
  </r>
  <r>
    <x v="1"/>
    <x v="1"/>
    <x v="0"/>
  </r>
  <r>
    <x v="0"/>
    <x v="0"/>
    <x v="0"/>
  </r>
  <r>
    <x v="0"/>
    <x v="0"/>
    <x v="0"/>
  </r>
  <r>
    <x v="0"/>
    <x v="0"/>
    <x v="0"/>
  </r>
  <r>
    <x v="1"/>
    <x v="1"/>
    <x v="0"/>
  </r>
  <r>
    <x v="1"/>
    <x v="1"/>
    <x v="1"/>
  </r>
  <r>
    <x v="0"/>
    <x v="0"/>
    <x v="0"/>
  </r>
  <r>
    <x v="0"/>
    <x v="0"/>
    <x v="0"/>
  </r>
  <r>
    <x v="1"/>
    <x v="1"/>
    <x v="0"/>
  </r>
  <r>
    <x v="1"/>
    <x v="1"/>
    <x v="0"/>
  </r>
  <r>
    <x v="1"/>
    <x v="1"/>
    <x v="0"/>
  </r>
  <r>
    <x v="0"/>
    <x v="0"/>
    <x v="1"/>
  </r>
  <r>
    <x v="0"/>
    <x v="0"/>
    <x v="0"/>
  </r>
  <r>
    <x v="0"/>
    <x v="0"/>
    <x v="0"/>
  </r>
  <r>
    <x v="1"/>
    <x v="1"/>
    <x v="0"/>
  </r>
  <r>
    <x v="1"/>
    <x v="1"/>
    <x v="0"/>
  </r>
  <r>
    <x v="1"/>
    <x v="1"/>
    <x v="0"/>
  </r>
  <r>
    <x v="0"/>
    <x v="0"/>
    <x v="0"/>
  </r>
  <r>
    <x v="0"/>
    <x v="0"/>
    <x v="0"/>
  </r>
  <r>
    <x v="0"/>
    <x v="0"/>
    <x v="0"/>
  </r>
  <r>
    <x v="0"/>
    <x v="0"/>
    <x v="0"/>
  </r>
  <r>
    <x v="1"/>
    <x v="1"/>
    <x v="0"/>
  </r>
  <r>
    <x v="1"/>
    <x v="1"/>
    <x v="0"/>
  </r>
  <r>
    <x v="0"/>
    <x v="0"/>
    <x v="0"/>
  </r>
  <r>
    <x v="0"/>
    <x v="0"/>
    <x v="0"/>
  </r>
  <r>
    <x v="1"/>
    <x v="1"/>
    <x v="0"/>
  </r>
  <r>
    <x v="1"/>
    <x v="1"/>
    <x v="0"/>
  </r>
  <r>
    <x v="0"/>
    <x v="0"/>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1"/>
    <x v="1"/>
    <x v="0"/>
  </r>
  <r>
    <x v="0"/>
    <x v="0"/>
    <x v="0"/>
  </r>
  <r>
    <x v="0"/>
    <x v="0"/>
    <x v="0"/>
  </r>
  <r>
    <x v="1"/>
    <x v="1"/>
    <x v="0"/>
  </r>
  <r>
    <x v="0"/>
    <x v="0"/>
    <x v="0"/>
  </r>
  <r>
    <x v="1"/>
    <x v="1"/>
    <x v="0"/>
  </r>
  <r>
    <x v="0"/>
    <x v="0"/>
    <x v="0"/>
  </r>
  <r>
    <x v="1"/>
    <x v="1"/>
    <x v="0"/>
  </r>
  <r>
    <x v="0"/>
    <x v="0"/>
    <x v="0"/>
  </r>
  <r>
    <x v="1"/>
    <x v="1"/>
    <x v="0"/>
  </r>
  <r>
    <x v="0"/>
    <x v="0"/>
    <x v="0"/>
  </r>
  <r>
    <x v="0"/>
    <x v="0"/>
    <x v="0"/>
  </r>
  <r>
    <x v="1"/>
    <x v="1"/>
    <x v="0"/>
  </r>
  <r>
    <x v="1"/>
    <x v="1"/>
    <x v="1"/>
  </r>
  <r>
    <x v="0"/>
    <x v="0"/>
    <x v="0"/>
  </r>
  <r>
    <x v="1"/>
    <x v="1"/>
    <x v="0"/>
  </r>
  <r>
    <x v="0"/>
    <x v="0"/>
    <x v="0"/>
  </r>
  <r>
    <x v="1"/>
    <x v="1"/>
    <x v="0"/>
  </r>
  <r>
    <x v="0"/>
    <x v="0"/>
    <x v="0"/>
  </r>
  <r>
    <x v="0"/>
    <x v="0"/>
    <x v="0"/>
  </r>
  <r>
    <x v="0"/>
    <x v="0"/>
    <x v="0"/>
  </r>
  <r>
    <x v="0"/>
    <x v="0"/>
    <x v="0"/>
  </r>
  <r>
    <x v="1"/>
    <x v="1"/>
    <x v="0"/>
  </r>
  <r>
    <x v="1"/>
    <x v="1"/>
    <x v="0"/>
  </r>
  <r>
    <x v="1"/>
    <x v="1"/>
    <x v="0"/>
  </r>
  <r>
    <x v="1"/>
    <x v="1"/>
    <x v="0"/>
  </r>
  <r>
    <x v="0"/>
    <x v="0"/>
    <x v="0"/>
  </r>
  <r>
    <x v="0"/>
    <x v="0"/>
    <x v="0"/>
  </r>
  <r>
    <x v="1"/>
    <x v="1"/>
    <x v="0"/>
  </r>
  <r>
    <x v="1"/>
    <x v="1"/>
    <x v="1"/>
  </r>
  <r>
    <x v="0"/>
    <x v="0"/>
    <x v="0"/>
  </r>
  <r>
    <x v="1"/>
    <x v="1"/>
    <x v="0"/>
  </r>
  <r>
    <x v="0"/>
    <x v="0"/>
    <x v="0"/>
  </r>
  <r>
    <x v="1"/>
    <x v="1"/>
    <x v="0"/>
  </r>
  <r>
    <x v="1"/>
    <x v="1"/>
    <x v="0"/>
  </r>
  <r>
    <x v="0"/>
    <x v="0"/>
    <x v="0"/>
  </r>
  <r>
    <x v="0"/>
    <x v="0"/>
    <x v="0"/>
  </r>
  <r>
    <x v="0"/>
    <x v="0"/>
    <x v="0"/>
  </r>
  <r>
    <x v="1"/>
    <x v="1"/>
    <x v="0"/>
  </r>
  <r>
    <x v="1"/>
    <x v="1"/>
    <x v="0"/>
  </r>
  <r>
    <x v="1"/>
    <x v="1"/>
    <x v="0"/>
  </r>
  <r>
    <x v="0"/>
    <x v="0"/>
    <x v="0"/>
  </r>
  <r>
    <x v="1"/>
    <x v="1"/>
    <x v="0"/>
  </r>
  <r>
    <x v="1"/>
    <x v="1"/>
    <x v="0"/>
  </r>
  <r>
    <x v="0"/>
    <x v="0"/>
    <x v="0"/>
  </r>
  <r>
    <x v="1"/>
    <x v="1"/>
    <x v="0"/>
  </r>
  <r>
    <x v="0"/>
    <x v="0"/>
    <x v="0"/>
  </r>
  <r>
    <x v="0"/>
    <x v="0"/>
    <x v="0"/>
  </r>
  <r>
    <x v="1"/>
    <x v="1"/>
    <x v="0"/>
  </r>
  <r>
    <x v="1"/>
    <x v="1"/>
    <x v="0"/>
  </r>
  <r>
    <x v="1"/>
    <x v="1"/>
    <x v="0"/>
  </r>
  <r>
    <x v="1"/>
    <x v="1"/>
    <x v="0"/>
  </r>
  <r>
    <x v="1"/>
    <x v="1"/>
    <x v="0"/>
  </r>
  <r>
    <x v="1"/>
    <x v="1"/>
    <x v="0"/>
  </r>
  <r>
    <x v="1"/>
    <x v="1"/>
    <x v="0"/>
  </r>
  <r>
    <x v="0"/>
    <x v="0"/>
    <x v="0"/>
  </r>
  <r>
    <x v="1"/>
    <x v="1"/>
    <x v="1"/>
  </r>
  <r>
    <x v="1"/>
    <x v="1"/>
    <x v="0"/>
  </r>
  <r>
    <x v="1"/>
    <x v="1"/>
    <x v="0"/>
  </r>
  <r>
    <x v="0"/>
    <x v="0"/>
    <x v="0"/>
  </r>
  <r>
    <x v="1"/>
    <x v="1"/>
    <x v="0"/>
  </r>
  <r>
    <x v="1"/>
    <x v="1"/>
    <x v="0"/>
  </r>
  <r>
    <x v="1"/>
    <x v="1"/>
    <x v="0"/>
  </r>
  <r>
    <x v="0"/>
    <x v="0"/>
    <x v="0"/>
  </r>
  <r>
    <x v="0"/>
    <x v="0"/>
    <x v="1"/>
  </r>
  <r>
    <x v="0"/>
    <x v="0"/>
    <x v="1"/>
  </r>
  <r>
    <x v="0"/>
    <x v="0"/>
    <x v="0"/>
  </r>
  <r>
    <x v="1"/>
    <x v="1"/>
    <x v="0"/>
  </r>
  <r>
    <x v="0"/>
    <x v="0"/>
    <x v="0"/>
  </r>
  <r>
    <x v="1"/>
    <x v="1"/>
    <x v="1"/>
  </r>
  <r>
    <x v="0"/>
    <x v="0"/>
    <x v="1"/>
  </r>
  <r>
    <x v="0"/>
    <x v="0"/>
    <x v="0"/>
  </r>
  <r>
    <x v="0"/>
    <x v="0"/>
    <x v="0"/>
  </r>
  <r>
    <x v="1"/>
    <x v="1"/>
    <x v="0"/>
  </r>
  <r>
    <x v="0"/>
    <x v="0"/>
    <x v="0"/>
  </r>
  <r>
    <x v="1"/>
    <x v="1"/>
    <x v="0"/>
  </r>
  <r>
    <x v="1"/>
    <x v="1"/>
    <x v="0"/>
  </r>
  <r>
    <x v="1"/>
    <x v="1"/>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0"/>
    <x v="0"/>
    <x v="0"/>
  </r>
  <r>
    <x v="1"/>
    <x v="1"/>
    <x v="1"/>
  </r>
  <r>
    <x v="1"/>
    <x v="1"/>
    <x v="0"/>
  </r>
  <r>
    <x v="1"/>
    <x v="1"/>
    <x v="0"/>
  </r>
  <r>
    <x v="1"/>
    <x v="1"/>
    <x v="0"/>
  </r>
  <r>
    <x v="1"/>
    <x v="1"/>
    <x v="0"/>
  </r>
  <r>
    <x v="1"/>
    <x v="1"/>
    <x v="0"/>
  </r>
  <r>
    <x v="1"/>
    <x v="1"/>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0"/>
    <x v="0"/>
    <x v="0"/>
  </r>
  <r>
    <x v="1"/>
    <x v="1"/>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1"/>
  </r>
  <r>
    <x v="1"/>
    <x v="1"/>
    <x v="0"/>
  </r>
  <r>
    <x v="1"/>
    <x v="1"/>
    <x v="0"/>
  </r>
  <r>
    <x v="1"/>
    <x v="1"/>
    <x v="0"/>
  </r>
  <r>
    <x v="0"/>
    <x v="0"/>
    <x v="0"/>
  </r>
  <r>
    <x v="1"/>
    <x v="1"/>
    <x v="0"/>
  </r>
  <r>
    <x v="0"/>
    <x v="0"/>
    <x v="0"/>
  </r>
  <r>
    <x v="1"/>
    <x v="1"/>
    <x v="0"/>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0"/>
    <x v="0"/>
    <x v="0"/>
  </r>
  <r>
    <x v="0"/>
    <x v="0"/>
    <x v="0"/>
  </r>
  <r>
    <x v="1"/>
    <x v="1"/>
    <x v="0"/>
  </r>
  <r>
    <x v="0"/>
    <x v="0"/>
    <x v="0"/>
  </r>
  <r>
    <x v="1"/>
    <x v="1"/>
    <x v="0"/>
  </r>
  <r>
    <x v="1"/>
    <x v="1"/>
    <x v="0"/>
  </r>
  <r>
    <x v="0"/>
    <x v="0"/>
    <x v="0"/>
  </r>
  <r>
    <x v="1"/>
    <x v="1"/>
    <x v="0"/>
  </r>
  <r>
    <x v="1"/>
    <x v="1"/>
    <x v="0"/>
  </r>
  <r>
    <x v="1"/>
    <x v="1"/>
    <x v="0"/>
  </r>
  <r>
    <x v="0"/>
    <x v="0"/>
    <x v="0"/>
  </r>
  <r>
    <x v="1"/>
    <x v="1"/>
    <x v="1"/>
  </r>
  <r>
    <x v="1"/>
    <x v="1"/>
    <x v="0"/>
  </r>
  <r>
    <x v="0"/>
    <x v="0"/>
    <x v="0"/>
  </r>
  <r>
    <x v="0"/>
    <x v="0"/>
    <x v="0"/>
  </r>
  <r>
    <x v="0"/>
    <x v="0"/>
    <x v="0"/>
  </r>
  <r>
    <x v="0"/>
    <x v="0"/>
    <x v="0"/>
  </r>
  <r>
    <x v="1"/>
    <x v="1"/>
    <x v="0"/>
  </r>
  <r>
    <x v="0"/>
    <x v="0"/>
    <x v="0"/>
  </r>
  <r>
    <x v="1"/>
    <x v="1"/>
    <x v="0"/>
  </r>
  <r>
    <x v="0"/>
    <x v="0"/>
    <x v="1"/>
  </r>
  <r>
    <x v="0"/>
    <x v="0"/>
    <x v="0"/>
  </r>
  <r>
    <x v="0"/>
    <x v="0"/>
    <x v="0"/>
  </r>
  <r>
    <x v="1"/>
    <x v="1"/>
    <x v="0"/>
  </r>
  <r>
    <x v="1"/>
    <x v="1"/>
    <x v="0"/>
  </r>
  <r>
    <x v="1"/>
    <x v="1"/>
    <x v="0"/>
  </r>
  <r>
    <x v="1"/>
    <x v="1"/>
    <x v="0"/>
  </r>
  <r>
    <x v="0"/>
    <x v="0"/>
    <x v="0"/>
  </r>
  <r>
    <x v="0"/>
    <x v="0"/>
    <x v="0"/>
  </r>
  <r>
    <x v="1"/>
    <x v="1"/>
    <x v="0"/>
  </r>
  <r>
    <x v="0"/>
    <x v="0"/>
    <x v="0"/>
  </r>
  <r>
    <x v="1"/>
    <x v="1"/>
    <x v="0"/>
  </r>
  <r>
    <x v="0"/>
    <x v="0"/>
    <x v="0"/>
  </r>
  <r>
    <x v="1"/>
    <x v="1"/>
    <x v="0"/>
  </r>
  <r>
    <x v="0"/>
    <x v="0"/>
    <x v="0"/>
  </r>
  <r>
    <x v="0"/>
    <x v="0"/>
    <x v="0"/>
  </r>
  <r>
    <x v="0"/>
    <x v="0"/>
    <x v="0"/>
  </r>
  <r>
    <x v="0"/>
    <x v="0"/>
    <x v="0"/>
  </r>
  <r>
    <x v="1"/>
    <x v="1"/>
    <x v="0"/>
  </r>
  <r>
    <x v="1"/>
    <x v="1"/>
    <x v="0"/>
  </r>
  <r>
    <x v="1"/>
    <x v="1"/>
    <x v="0"/>
  </r>
  <r>
    <x v="1"/>
    <x v="1"/>
    <x v="0"/>
  </r>
  <r>
    <x v="1"/>
    <x v="1"/>
    <x v="0"/>
  </r>
  <r>
    <x v="0"/>
    <x v="0"/>
    <x v="0"/>
  </r>
  <r>
    <x v="0"/>
    <x v="0"/>
    <x v="0"/>
  </r>
  <r>
    <x v="0"/>
    <x v="0"/>
    <x v="0"/>
  </r>
  <r>
    <x v="0"/>
    <x v="0"/>
    <x v="0"/>
  </r>
  <r>
    <x v="1"/>
    <x v="1"/>
    <x v="0"/>
  </r>
  <r>
    <x v="0"/>
    <x v="0"/>
    <x v="0"/>
  </r>
  <r>
    <x v="0"/>
    <x v="0"/>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1"/>
    <x v="1"/>
    <x v="0"/>
  </r>
  <r>
    <x v="0"/>
    <x v="0"/>
    <x v="0"/>
  </r>
  <r>
    <x v="0"/>
    <x v="0"/>
    <x v="0"/>
  </r>
  <r>
    <x v="0"/>
    <x v="0"/>
    <x v="0"/>
  </r>
  <r>
    <x v="0"/>
    <x v="0"/>
    <x v="0"/>
  </r>
  <r>
    <x v="0"/>
    <x v="0"/>
    <x v="0"/>
  </r>
  <r>
    <x v="0"/>
    <x v="0"/>
    <x v="0"/>
  </r>
  <r>
    <x v="1"/>
    <x v="1"/>
    <x v="0"/>
  </r>
  <r>
    <x v="1"/>
    <x v="1"/>
    <x v="0"/>
  </r>
  <r>
    <x v="0"/>
    <x v="0"/>
    <x v="0"/>
  </r>
  <r>
    <x v="1"/>
    <x v="1"/>
    <x v="0"/>
  </r>
  <r>
    <x v="1"/>
    <x v="1"/>
    <x v="0"/>
  </r>
  <r>
    <x v="1"/>
    <x v="1"/>
    <x v="0"/>
  </r>
  <r>
    <x v="1"/>
    <x v="1"/>
    <x v="0"/>
  </r>
  <r>
    <x v="1"/>
    <x v="1"/>
    <x v="0"/>
  </r>
  <r>
    <x v="1"/>
    <x v="1"/>
    <x v="0"/>
  </r>
  <r>
    <x v="0"/>
    <x v="0"/>
    <x v="0"/>
  </r>
  <r>
    <x v="0"/>
    <x v="0"/>
    <x v="1"/>
  </r>
  <r>
    <x v="0"/>
    <x v="0"/>
    <x v="0"/>
  </r>
  <r>
    <x v="1"/>
    <x v="1"/>
    <x v="0"/>
  </r>
  <r>
    <x v="0"/>
    <x v="0"/>
    <x v="0"/>
  </r>
  <r>
    <x v="0"/>
    <x v="0"/>
    <x v="0"/>
  </r>
  <r>
    <x v="0"/>
    <x v="0"/>
    <x v="0"/>
  </r>
  <r>
    <x v="0"/>
    <x v="0"/>
    <x v="0"/>
  </r>
  <r>
    <x v="1"/>
    <x v="1"/>
    <x v="0"/>
  </r>
  <r>
    <x v="0"/>
    <x v="0"/>
    <x v="0"/>
  </r>
  <r>
    <x v="0"/>
    <x v="0"/>
    <x v="0"/>
  </r>
  <r>
    <x v="1"/>
    <x v="1"/>
    <x v="0"/>
  </r>
  <r>
    <x v="0"/>
    <x v="0"/>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0"/>
    <x v="0"/>
    <x v="0"/>
  </r>
  <r>
    <x v="0"/>
    <x v="0"/>
    <x v="0"/>
  </r>
  <r>
    <x v="1"/>
    <x v="1"/>
    <x v="0"/>
  </r>
  <r>
    <x v="1"/>
    <x v="1"/>
    <x v="0"/>
  </r>
  <r>
    <x v="1"/>
    <x v="1"/>
    <x v="0"/>
  </r>
  <r>
    <x v="1"/>
    <x v="1"/>
    <x v="0"/>
  </r>
  <r>
    <x v="0"/>
    <x v="0"/>
    <x v="1"/>
  </r>
  <r>
    <x v="0"/>
    <x v="0"/>
    <x v="0"/>
  </r>
  <r>
    <x v="0"/>
    <x v="0"/>
    <x v="0"/>
  </r>
  <r>
    <x v="1"/>
    <x v="1"/>
    <x v="0"/>
  </r>
  <r>
    <x v="1"/>
    <x v="1"/>
    <x v="0"/>
  </r>
  <r>
    <x v="1"/>
    <x v="1"/>
    <x v="0"/>
  </r>
  <r>
    <x v="0"/>
    <x v="0"/>
    <x v="0"/>
  </r>
  <r>
    <x v="0"/>
    <x v="0"/>
    <x v="0"/>
  </r>
  <r>
    <x v="1"/>
    <x v="1"/>
    <x v="0"/>
  </r>
  <r>
    <x v="1"/>
    <x v="1"/>
    <x v="0"/>
  </r>
  <r>
    <x v="1"/>
    <x v="1"/>
    <x v="0"/>
  </r>
  <r>
    <x v="0"/>
    <x v="0"/>
    <x v="0"/>
  </r>
  <r>
    <x v="1"/>
    <x v="1"/>
    <x v="0"/>
  </r>
  <r>
    <x v="0"/>
    <x v="0"/>
    <x v="0"/>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1"/>
  </r>
  <r>
    <x v="0"/>
    <x v="0"/>
    <x v="0"/>
  </r>
  <r>
    <x v="0"/>
    <x v="0"/>
    <x v="0"/>
  </r>
  <r>
    <x v="1"/>
    <x v="1"/>
    <x v="0"/>
  </r>
  <r>
    <x v="1"/>
    <x v="1"/>
    <x v="0"/>
  </r>
  <r>
    <x v="0"/>
    <x v="0"/>
    <x v="0"/>
  </r>
  <r>
    <x v="1"/>
    <x v="1"/>
    <x v="0"/>
  </r>
  <r>
    <x v="1"/>
    <x v="1"/>
    <x v="0"/>
  </r>
  <r>
    <x v="1"/>
    <x v="1"/>
    <x v="0"/>
  </r>
  <r>
    <x v="0"/>
    <x v="0"/>
    <x v="0"/>
  </r>
  <r>
    <x v="0"/>
    <x v="0"/>
    <x v="0"/>
  </r>
  <r>
    <x v="1"/>
    <x v="1"/>
    <x v="0"/>
  </r>
  <r>
    <x v="0"/>
    <x v="0"/>
    <x v="0"/>
  </r>
  <r>
    <x v="0"/>
    <x v="0"/>
    <x v="0"/>
  </r>
  <r>
    <x v="1"/>
    <x v="1"/>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1"/>
    <x v="1"/>
    <x v="0"/>
  </r>
  <r>
    <x v="0"/>
    <x v="0"/>
    <x v="0"/>
  </r>
  <r>
    <x v="0"/>
    <x v="0"/>
    <x v="0"/>
  </r>
  <r>
    <x v="1"/>
    <x v="1"/>
    <x v="0"/>
  </r>
  <r>
    <x v="0"/>
    <x v="0"/>
    <x v="0"/>
  </r>
  <r>
    <x v="0"/>
    <x v="0"/>
    <x v="0"/>
  </r>
  <r>
    <x v="0"/>
    <x v="0"/>
    <x v="1"/>
  </r>
  <r>
    <x v="0"/>
    <x v="0"/>
    <x v="0"/>
  </r>
  <r>
    <x v="1"/>
    <x v="1"/>
    <x v="0"/>
  </r>
  <r>
    <x v="1"/>
    <x v="1"/>
    <x v="0"/>
  </r>
  <r>
    <x v="0"/>
    <x v="0"/>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0"/>
    <x v="0"/>
    <x v="0"/>
  </r>
  <r>
    <x v="0"/>
    <x v="0"/>
    <x v="0"/>
  </r>
  <r>
    <x v="1"/>
    <x v="1"/>
    <x v="0"/>
  </r>
  <r>
    <x v="1"/>
    <x v="1"/>
    <x v="0"/>
  </r>
  <r>
    <x v="0"/>
    <x v="0"/>
    <x v="0"/>
  </r>
  <r>
    <x v="0"/>
    <x v="0"/>
    <x v="0"/>
  </r>
  <r>
    <x v="0"/>
    <x v="0"/>
    <x v="0"/>
  </r>
  <r>
    <x v="1"/>
    <x v="1"/>
    <x v="0"/>
  </r>
  <r>
    <x v="1"/>
    <x v="1"/>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1"/>
    <x v="1"/>
    <x v="0"/>
  </r>
  <r>
    <x v="1"/>
    <x v="1"/>
    <x v="0"/>
  </r>
  <r>
    <x v="1"/>
    <x v="1"/>
    <x v="0"/>
  </r>
  <r>
    <x v="0"/>
    <x v="0"/>
    <x v="0"/>
  </r>
  <r>
    <x v="0"/>
    <x v="0"/>
    <x v="0"/>
  </r>
  <r>
    <x v="0"/>
    <x v="0"/>
    <x v="0"/>
  </r>
  <r>
    <x v="1"/>
    <x v="1"/>
    <x v="0"/>
  </r>
  <r>
    <x v="0"/>
    <x v="0"/>
    <x v="0"/>
  </r>
  <r>
    <x v="0"/>
    <x v="0"/>
    <x v="0"/>
  </r>
  <r>
    <x v="0"/>
    <x v="0"/>
    <x v="0"/>
  </r>
  <r>
    <x v="0"/>
    <x v="0"/>
    <x v="0"/>
  </r>
  <r>
    <x v="1"/>
    <x v="1"/>
    <x v="0"/>
  </r>
  <r>
    <x v="1"/>
    <x v="1"/>
    <x v="0"/>
  </r>
  <r>
    <x v="1"/>
    <x v="1"/>
    <x v="1"/>
  </r>
  <r>
    <x v="0"/>
    <x v="0"/>
    <x v="0"/>
  </r>
  <r>
    <x v="1"/>
    <x v="1"/>
    <x v="0"/>
  </r>
  <r>
    <x v="1"/>
    <x v="1"/>
    <x v="0"/>
  </r>
  <r>
    <x v="1"/>
    <x v="1"/>
    <x v="0"/>
  </r>
  <r>
    <x v="0"/>
    <x v="0"/>
    <x v="0"/>
  </r>
  <r>
    <x v="1"/>
    <x v="1"/>
    <x v="0"/>
  </r>
  <r>
    <x v="0"/>
    <x v="0"/>
    <x v="0"/>
  </r>
  <r>
    <x v="1"/>
    <x v="1"/>
    <x v="0"/>
  </r>
  <r>
    <x v="0"/>
    <x v="0"/>
    <x v="0"/>
  </r>
  <r>
    <x v="0"/>
    <x v="0"/>
    <x v="0"/>
  </r>
  <r>
    <x v="0"/>
    <x v="0"/>
    <x v="0"/>
  </r>
  <r>
    <x v="0"/>
    <x v="0"/>
    <x v="0"/>
  </r>
  <r>
    <x v="0"/>
    <x v="0"/>
    <x v="0"/>
  </r>
  <r>
    <x v="1"/>
    <x v="1"/>
    <x v="0"/>
  </r>
  <r>
    <x v="0"/>
    <x v="0"/>
    <x v="0"/>
  </r>
  <r>
    <x v="1"/>
    <x v="1"/>
    <x v="0"/>
  </r>
  <r>
    <x v="1"/>
    <x v="1"/>
    <x v="0"/>
  </r>
  <r>
    <x v="1"/>
    <x v="1"/>
    <x v="0"/>
  </r>
  <r>
    <x v="0"/>
    <x v="0"/>
    <x v="0"/>
  </r>
  <r>
    <x v="0"/>
    <x v="0"/>
    <x v="0"/>
  </r>
  <r>
    <x v="0"/>
    <x v="0"/>
    <x v="0"/>
  </r>
  <r>
    <x v="0"/>
    <x v="0"/>
    <x v="0"/>
  </r>
  <r>
    <x v="0"/>
    <x v="0"/>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1"/>
    <x v="1"/>
    <x v="0"/>
  </r>
  <r>
    <x v="1"/>
    <x v="1"/>
    <x v="0"/>
  </r>
  <r>
    <x v="0"/>
    <x v="0"/>
    <x v="0"/>
  </r>
  <r>
    <x v="0"/>
    <x v="0"/>
    <x v="0"/>
  </r>
  <r>
    <x v="1"/>
    <x v="1"/>
    <x v="0"/>
  </r>
  <r>
    <x v="0"/>
    <x v="0"/>
    <x v="1"/>
  </r>
  <r>
    <x v="1"/>
    <x v="1"/>
    <x v="0"/>
  </r>
  <r>
    <x v="0"/>
    <x v="0"/>
    <x v="0"/>
  </r>
  <r>
    <x v="0"/>
    <x v="0"/>
    <x v="0"/>
  </r>
  <r>
    <x v="0"/>
    <x v="0"/>
    <x v="0"/>
  </r>
  <r>
    <x v="0"/>
    <x v="0"/>
    <x v="0"/>
  </r>
  <r>
    <x v="0"/>
    <x v="0"/>
    <x v="0"/>
  </r>
  <r>
    <x v="1"/>
    <x v="1"/>
    <x v="0"/>
  </r>
  <r>
    <x v="0"/>
    <x v="0"/>
    <x v="0"/>
  </r>
  <r>
    <x v="0"/>
    <x v="0"/>
    <x v="0"/>
  </r>
  <r>
    <x v="0"/>
    <x v="0"/>
    <x v="0"/>
  </r>
  <r>
    <x v="0"/>
    <x v="0"/>
    <x v="0"/>
  </r>
  <r>
    <x v="1"/>
    <x v="1"/>
    <x v="0"/>
  </r>
  <r>
    <x v="0"/>
    <x v="0"/>
    <x v="0"/>
  </r>
  <r>
    <x v="1"/>
    <x v="1"/>
    <x v="1"/>
  </r>
  <r>
    <x v="0"/>
    <x v="0"/>
    <x v="0"/>
  </r>
  <r>
    <x v="0"/>
    <x v="0"/>
    <x v="0"/>
  </r>
  <r>
    <x v="1"/>
    <x v="1"/>
    <x v="0"/>
  </r>
  <r>
    <x v="1"/>
    <x v="1"/>
    <x v="0"/>
  </r>
  <r>
    <x v="0"/>
    <x v="0"/>
    <x v="0"/>
  </r>
  <r>
    <x v="0"/>
    <x v="0"/>
    <x v="0"/>
  </r>
  <r>
    <x v="1"/>
    <x v="1"/>
    <x v="0"/>
  </r>
  <r>
    <x v="1"/>
    <x v="1"/>
    <x v="1"/>
  </r>
  <r>
    <x v="1"/>
    <x v="1"/>
    <x v="0"/>
  </r>
  <r>
    <x v="1"/>
    <x v="1"/>
    <x v="0"/>
  </r>
  <r>
    <x v="1"/>
    <x v="1"/>
    <x v="0"/>
  </r>
  <r>
    <x v="1"/>
    <x v="1"/>
    <x v="0"/>
  </r>
  <r>
    <x v="1"/>
    <x v="1"/>
    <x v="0"/>
  </r>
  <r>
    <x v="1"/>
    <x v="1"/>
    <x v="0"/>
  </r>
  <r>
    <x v="0"/>
    <x v="0"/>
    <x v="0"/>
  </r>
  <r>
    <x v="0"/>
    <x v="0"/>
    <x v="0"/>
  </r>
  <r>
    <x v="1"/>
    <x v="1"/>
    <x v="0"/>
  </r>
  <r>
    <x v="0"/>
    <x v="0"/>
    <x v="0"/>
  </r>
  <r>
    <x v="1"/>
    <x v="1"/>
    <x v="0"/>
  </r>
  <r>
    <x v="1"/>
    <x v="1"/>
    <x v="0"/>
  </r>
  <r>
    <x v="1"/>
    <x v="1"/>
    <x v="0"/>
  </r>
  <r>
    <x v="1"/>
    <x v="1"/>
    <x v="0"/>
  </r>
  <r>
    <x v="1"/>
    <x v="1"/>
    <x v="0"/>
  </r>
  <r>
    <x v="0"/>
    <x v="0"/>
    <x v="0"/>
  </r>
  <r>
    <x v="0"/>
    <x v="0"/>
    <x v="0"/>
  </r>
  <r>
    <x v="0"/>
    <x v="0"/>
    <x v="0"/>
  </r>
  <r>
    <x v="0"/>
    <x v="0"/>
    <x v="0"/>
  </r>
  <r>
    <x v="0"/>
    <x v="0"/>
    <x v="0"/>
  </r>
  <r>
    <x v="1"/>
    <x v="1"/>
    <x v="0"/>
  </r>
  <r>
    <x v="0"/>
    <x v="0"/>
    <x v="0"/>
  </r>
  <r>
    <x v="1"/>
    <x v="1"/>
    <x v="0"/>
  </r>
  <r>
    <x v="0"/>
    <x v="0"/>
    <x v="0"/>
  </r>
  <r>
    <x v="1"/>
    <x v="1"/>
    <x v="0"/>
  </r>
  <r>
    <x v="1"/>
    <x v="1"/>
    <x v="0"/>
  </r>
  <r>
    <x v="1"/>
    <x v="1"/>
    <x v="0"/>
  </r>
  <r>
    <x v="0"/>
    <x v="0"/>
    <x v="0"/>
  </r>
  <r>
    <x v="0"/>
    <x v="0"/>
    <x v="0"/>
  </r>
  <r>
    <x v="1"/>
    <x v="1"/>
    <x v="0"/>
  </r>
  <r>
    <x v="0"/>
    <x v="0"/>
    <x v="0"/>
  </r>
  <r>
    <x v="1"/>
    <x v="1"/>
    <x v="0"/>
  </r>
  <r>
    <x v="0"/>
    <x v="0"/>
    <x v="0"/>
  </r>
  <r>
    <x v="0"/>
    <x v="0"/>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0"/>
    <x v="0"/>
    <x v="1"/>
  </r>
  <r>
    <x v="0"/>
    <x v="0"/>
    <x v="0"/>
  </r>
  <r>
    <x v="0"/>
    <x v="0"/>
    <x v="0"/>
  </r>
  <r>
    <x v="1"/>
    <x v="1"/>
    <x v="0"/>
  </r>
  <r>
    <x v="1"/>
    <x v="1"/>
    <x v="0"/>
  </r>
  <r>
    <x v="1"/>
    <x v="1"/>
    <x v="0"/>
  </r>
  <r>
    <x v="1"/>
    <x v="1"/>
    <x v="0"/>
  </r>
  <r>
    <x v="0"/>
    <x v="0"/>
    <x v="0"/>
  </r>
  <r>
    <x v="1"/>
    <x v="1"/>
    <x v="0"/>
  </r>
  <r>
    <x v="0"/>
    <x v="0"/>
    <x v="0"/>
  </r>
  <r>
    <x v="1"/>
    <x v="1"/>
    <x v="0"/>
  </r>
  <r>
    <x v="0"/>
    <x v="0"/>
    <x v="0"/>
  </r>
  <r>
    <x v="0"/>
    <x v="0"/>
    <x v="0"/>
  </r>
  <r>
    <x v="0"/>
    <x v="0"/>
    <x v="0"/>
  </r>
  <r>
    <x v="1"/>
    <x v="1"/>
    <x v="0"/>
  </r>
  <r>
    <x v="0"/>
    <x v="0"/>
    <x v="0"/>
  </r>
  <r>
    <x v="0"/>
    <x v="0"/>
    <x v="0"/>
  </r>
  <r>
    <x v="1"/>
    <x v="1"/>
    <x v="0"/>
  </r>
  <r>
    <x v="0"/>
    <x v="0"/>
    <x v="0"/>
  </r>
  <r>
    <x v="0"/>
    <x v="0"/>
    <x v="0"/>
  </r>
  <r>
    <x v="1"/>
    <x v="1"/>
    <x v="0"/>
  </r>
  <r>
    <x v="0"/>
    <x v="0"/>
    <x v="0"/>
  </r>
  <r>
    <x v="0"/>
    <x v="0"/>
    <x v="0"/>
  </r>
  <r>
    <x v="1"/>
    <x v="1"/>
    <x v="0"/>
  </r>
  <r>
    <x v="1"/>
    <x v="1"/>
    <x v="1"/>
  </r>
  <r>
    <x v="1"/>
    <x v="1"/>
    <x v="0"/>
  </r>
  <r>
    <x v="1"/>
    <x v="1"/>
    <x v="0"/>
  </r>
  <r>
    <x v="1"/>
    <x v="1"/>
    <x v="0"/>
  </r>
  <r>
    <x v="0"/>
    <x v="0"/>
    <x v="0"/>
  </r>
  <r>
    <x v="0"/>
    <x v="0"/>
    <x v="0"/>
  </r>
  <r>
    <x v="1"/>
    <x v="1"/>
    <x v="0"/>
  </r>
  <r>
    <x v="0"/>
    <x v="0"/>
    <x v="0"/>
  </r>
  <r>
    <x v="1"/>
    <x v="1"/>
    <x v="0"/>
  </r>
  <r>
    <x v="0"/>
    <x v="0"/>
    <x v="0"/>
  </r>
  <r>
    <x v="0"/>
    <x v="0"/>
    <x v="0"/>
  </r>
  <r>
    <x v="0"/>
    <x v="0"/>
    <x v="0"/>
  </r>
  <r>
    <x v="1"/>
    <x v="1"/>
    <x v="0"/>
  </r>
  <r>
    <x v="0"/>
    <x v="0"/>
    <x v="0"/>
  </r>
  <r>
    <x v="0"/>
    <x v="0"/>
    <x v="0"/>
  </r>
  <r>
    <x v="1"/>
    <x v="1"/>
    <x v="0"/>
  </r>
  <r>
    <x v="1"/>
    <x v="1"/>
    <x v="0"/>
  </r>
  <r>
    <x v="1"/>
    <x v="1"/>
    <x v="0"/>
  </r>
  <r>
    <x v="1"/>
    <x v="1"/>
    <x v="0"/>
  </r>
  <r>
    <x v="1"/>
    <x v="1"/>
    <x v="0"/>
  </r>
  <r>
    <x v="0"/>
    <x v="0"/>
    <x v="0"/>
  </r>
  <r>
    <x v="0"/>
    <x v="0"/>
    <x v="0"/>
  </r>
  <r>
    <x v="1"/>
    <x v="1"/>
    <x v="0"/>
  </r>
  <r>
    <x v="0"/>
    <x v="0"/>
    <x v="0"/>
  </r>
  <r>
    <x v="0"/>
    <x v="0"/>
    <x v="0"/>
  </r>
  <r>
    <x v="1"/>
    <x v="1"/>
    <x v="1"/>
  </r>
  <r>
    <x v="1"/>
    <x v="1"/>
    <x v="0"/>
  </r>
  <r>
    <x v="1"/>
    <x v="1"/>
    <x v="0"/>
  </r>
  <r>
    <x v="1"/>
    <x v="1"/>
    <x v="0"/>
  </r>
  <r>
    <x v="0"/>
    <x v="0"/>
    <x v="0"/>
  </r>
  <r>
    <x v="1"/>
    <x v="1"/>
    <x v="0"/>
  </r>
  <r>
    <x v="1"/>
    <x v="1"/>
    <x v="0"/>
  </r>
  <r>
    <x v="1"/>
    <x v="1"/>
    <x v="0"/>
  </r>
  <r>
    <x v="1"/>
    <x v="1"/>
    <x v="0"/>
  </r>
  <r>
    <x v="1"/>
    <x v="1"/>
    <x v="0"/>
  </r>
  <r>
    <x v="0"/>
    <x v="0"/>
    <x v="1"/>
  </r>
  <r>
    <x v="0"/>
    <x v="0"/>
    <x v="0"/>
  </r>
  <r>
    <x v="1"/>
    <x v="1"/>
    <x v="0"/>
  </r>
  <r>
    <x v="0"/>
    <x v="0"/>
    <x v="0"/>
  </r>
  <r>
    <x v="0"/>
    <x v="0"/>
    <x v="0"/>
  </r>
  <r>
    <x v="0"/>
    <x v="0"/>
    <x v="0"/>
  </r>
  <r>
    <x v="1"/>
    <x v="1"/>
    <x v="0"/>
  </r>
  <r>
    <x v="0"/>
    <x v="0"/>
    <x v="0"/>
  </r>
  <r>
    <x v="0"/>
    <x v="0"/>
    <x v="0"/>
  </r>
  <r>
    <x v="0"/>
    <x v="0"/>
    <x v="0"/>
  </r>
  <r>
    <x v="0"/>
    <x v="0"/>
    <x v="0"/>
  </r>
  <r>
    <x v="1"/>
    <x v="1"/>
    <x v="0"/>
  </r>
  <r>
    <x v="1"/>
    <x v="1"/>
    <x v="0"/>
  </r>
  <r>
    <x v="0"/>
    <x v="0"/>
    <x v="0"/>
  </r>
  <r>
    <x v="0"/>
    <x v="0"/>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0"/>
    <x v="0"/>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0"/>
    <x v="0"/>
    <x v="0"/>
  </r>
  <r>
    <x v="0"/>
    <x v="0"/>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0"/>
    <x v="0"/>
    <x v="0"/>
  </r>
  <r>
    <x v="0"/>
    <x v="0"/>
    <x v="0"/>
  </r>
  <r>
    <x v="0"/>
    <x v="0"/>
    <x v="0"/>
  </r>
  <r>
    <x v="1"/>
    <x v="1"/>
    <x v="0"/>
  </r>
  <r>
    <x v="0"/>
    <x v="0"/>
    <x v="0"/>
  </r>
  <r>
    <x v="0"/>
    <x v="0"/>
    <x v="0"/>
  </r>
  <r>
    <x v="0"/>
    <x v="0"/>
    <x v="0"/>
  </r>
  <r>
    <x v="0"/>
    <x v="0"/>
    <x v="0"/>
  </r>
  <r>
    <x v="1"/>
    <x v="1"/>
    <x v="0"/>
  </r>
  <r>
    <x v="1"/>
    <x v="1"/>
    <x v="0"/>
  </r>
  <r>
    <x v="1"/>
    <x v="1"/>
    <x v="0"/>
  </r>
  <r>
    <x v="1"/>
    <x v="1"/>
    <x v="1"/>
  </r>
  <r>
    <x v="1"/>
    <x v="1"/>
    <x v="1"/>
  </r>
  <r>
    <x v="1"/>
    <x v="1"/>
    <x v="0"/>
  </r>
  <r>
    <x v="0"/>
    <x v="0"/>
    <x v="0"/>
  </r>
  <r>
    <x v="1"/>
    <x v="1"/>
    <x v="0"/>
  </r>
  <r>
    <x v="0"/>
    <x v="0"/>
    <x v="0"/>
  </r>
  <r>
    <x v="1"/>
    <x v="1"/>
    <x v="0"/>
  </r>
  <r>
    <x v="1"/>
    <x v="1"/>
    <x v="0"/>
  </r>
  <r>
    <x v="0"/>
    <x v="0"/>
    <x v="0"/>
  </r>
  <r>
    <x v="0"/>
    <x v="0"/>
    <x v="0"/>
  </r>
  <r>
    <x v="0"/>
    <x v="0"/>
    <x v="1"/>
  </r>
  <r>
    <x v="1"/>
    <x v="1"/>
    <x v="0"/>
  </r>
  <r>
    <x v="0"/>
    <x v="0"/>
    <x v="0"/>
  </r>
  <r>
    <x v="1"/>
    <x v="1"/>
    <x v="0"/>
  </r>
  <r>
    <x v="1"/>
    <x v="1"/>
    <x v="0"/>
  </r>
  <r>
    <x v="1"/>
    <x v="1"/>
    <x v="0"/>
  </r>
  <r>
    <x v="0"/>
    <x v="0"/>
    <x v="0"/>
  </r>
  <r>
    <x v="0"/>
    <x v="0"/>
    <x v="0"/>
  </r>
  <r>
    <x v="1"/>
    <x v="1"/>
    <x v="0"/>
  </r>
  <r>
    <x v="0"/>
    <x v="0"/>
    <x v="0"/>
  </r>
  <r>
    <x v="1"/>
    <x v="1"/>
    <x v="0"/>
  </r>
  <r>
    <x v="1"/>
    <x v="1"/>
    <x v="0"/>
  </r>
  <r>
    <x v="0"/>
    <x v="0"/>
    <x v="0"/>
  </r>
  <r>
    <x v="0"/>
    <x v="0"/>
    <x v="0"/>
  </r>
  <r>
    <x v="1"/>
    <x v="1"/>
    <x v="0"/>
  </r>
  <r>
    <x v="1"/>
    <x v="1"/>
    <x v="0"/>
  </r>
  <r>
    <x v="0"/>
    <x v="0"/>
    <x v="0"/>
  </r>
  <r>
    <x v="0"/>
    <x v="0"/>
    <x v="0"/>
  </r>
  <r>
    <x v="1"/>
    <x v="1"/>
    <x v="1"/>
  </r>
  <r>
    <x v="0"/>
    <x v="0"/>
    <x v="0"/>
  </r>
  <r>
    <x v="0"/>
    <x v="0"/>
    <x v="0"/>
  </r>
  <r>
    <x v="0"/>
    <x v="0"/>
    <x v="1"/>
  </r>
  <r>
    <x v="0"/>
    <x v="0"/>
    <x v="0"/>
  </r>
  <r>
    <x v="0"/>
    <x v="0"/>
    <x v="0"/>
  </r>
  <r>
    <x v="0"/>
    <x v="0"/>
    <x v="0"/>
  </r>
  <r>
    <x v="1"/>
    <x v="1"/>
    <x v="0"/>
  </r>
  <r>
    <x v="1"/>
    <x v="1"/>
    <x v="0"/>
  </r>
  <r>
    <x v="1"/>
    <x v="1"/>
    <x v="0"/>
  </r>
  <r>
    <x v="1"/>
    <x v="1"/>
    <x v="0"/>
  </r>
  <r>
    <x v="0"/>
    <x v="0"/>
    <x v="0"/>
  </r>
  <r>
    <x v="1"/>
    <x v="1"/>
    <x v="0"/>
  </r>
  <r>
    <x v="0"/>
    <x v="0"/>
    <x v="0"/>
  </r>
  <r>
    <x v="0"/>
    <x v="0"/>
    <x v="0"/>
  </r>
  <r>
    <x v="0"/>
    <x v="0"/>
    <x v="0"/>
  </r>
  <r>
    <x v="0"/>
    <x v="0"/>
    <x v="0"/>
  </r>
  <r>
    <x v="1"/>
    <x v="1"/>
    <x v="0"/>
  </r>
  <r>
    <x v="1"/>
    <x v="1"/>
    <x v="0"/>
  </r>
  <r>
    <x v="0"/>
    <x v="0"/>
    <x v="0"/>
  </r>
  <r>
    <x v="0"/>
    <x v="0"/>
    <x v="0"/>
  </r>
  <r>
    <x v="0"/>
    <x v="0"/>
    <x v="0"/>
  </r>
  <r>
    <x v="0"/>
    <x v="0"/>
    <x v="0"/>
  </r>
  <r>
    <x v="1"/>
    <x v="1"/>
    <x v="0"/>
  </r>
  <r>
    <x v="1"/>
    <x v="1"/>
    <x v="0"/>
  </r>
  <r>
    <x v="1"/>
    <x v="1"/>
    <x v="0"/>
  </r>
  <r>
    <x v="0"/>
    <x v="0"/>
    <x v="0"/>
  </r>
  <r>
    <x v="1"/>
    <x v="1"/>
    <x v="0"/>
  </r>
  <r>
    <x v="0"/>
    <x v="0"/>
    <x v="0"/>
  </r>
  <r>
    <x v="0"/>
    <x v="0"/>
    <x v="0"/>
  </r>
  <r>
    <x v="0"/>
    <x v="0"/>
    <x v="0"/>
  </r>
  <r>
    <x v="0"/>
    <x v="0"/>
    <x v="0"/>
  </r>
  <r>
    <x v="0"/>
    <x v="0"/>
    <x v="0"/>
  </r>
  <r>
    <x v="1"/>
    <x v="1"/>
    <x v="0"/>
  </r>
  <r>
    <x v="0"/>
    <x v="0"/>
    <x v="0"/>
  </r>
  <r>
    <x v="0"/>
    <x v="0"/>
    <x v="1"/>
  </r>
  <r>
    <x v="1"/>
    <x v="1"/>
    <x v="0"/>
  </r>
  <r>
    <x v="0"/>
    <x v="0"/>
    <x v="1"/>
  </r>
  <r>
    <x v="1"/>
    <x v="1"/>
    <x v="0"/>
  </r>
  <r>
    <x v="0"/>
    <x v="0"/>
    <x v="0"/>
  </r>
  <r>
    <x v="0"/>
    <x v="0"/>
    <x v="0"/>
  </r>
  <r>
    <x v="1"/>
    <x v="1"/>
    <x v="0"/>
  </r>
  <r>
    <x v="1"/>
    <x v="1"/>
    <x v="0"/>
  </r>
  <r>
    <x v="0"/>
    <x v="0"/>
    <x v="0"/>
  </r>
  <r>
    <x v="1"/>
    <x v="1"/>
    <x v="0"/>
  </r>
  <r>
    <x v="0"/>
    <x v="0"/>
    <x v="0"/>
  </r>
  <r>
    <x v="1"/>
    <x v="1"/>
    <x v="0"/>
  </r>
  <r>
    <x v="0"/>
    <x v="0"/>
    <x v="0"/>
  </r>
  <r>
    <x v="1"/>
    <x v="1"/>
    <x v="0"/>
  </r>
  <r>
    <x v="1"/>
    <x v="1"/>
    <x v="0"/>
  </r>
  <r>
    <x v="1"/>
    <x v="1"/>
    <x v="0"/>
  </r>
  <r>
    <x v="0"/>
    <x v="0"/>
    <x v="0"/>
  </r>
  <r>
    <x v="1"/>
    <x v="1"/>
    <x v="0"/>
  </r>
  <r>
    <x v="0"/>
    <x v="0"/>
    <x v="0"/>
  </r>
  <r>
    <x v="1"/>
    <x v="1"/>
    <x v="0"/>
  </r>
  <r>
    <x v="1"/>
    <x v="1"/>
    <x v="0"/>
  </r>
  <r>
    <x v="0"/>
    <x v="0"/>
    <x v="0"/>
  </r>
  <r>
    <x v="0"/>
    <x v="0"/>
    <x v="0"/>
  </r>
  <r>
    <x v="1"/>
    <x v="1"/>
    <x v="0"/>
  </r>
  <r>
    <x v="1"/>
    <x v="1"/>
    <x v="0"/>
  </r>
  <r>
    <x v="0"/>
    <x v="0"/>
    <x v="0"/>
  </r>
  <r>
    <x v="1"/>
    <x v="1"/>
    <x v="0"/>
  </r>
  <r>
    <x v="1"/>
    <x v="1"/>
    <x v="0"/>
  </r>
  <r>
    <x v="0"/>
    <x v="0"/>
    <x v="0"/>
  </r>
  <r>
    <x v="1"/>
    <x v="1"/>
    <x v="0"/>
  </r>
  <r>
    <x v="1"/>
    <x v="1"/>
    <x v="0"/>
  </r>
  <r>
    <x v="0"/>
    <x v="0"/>
    <x v="0"/>
  </r>
  <r>
    <x v="1"/>
    <x v="1"/>
    <x v="0"/>
  </r>
  <r>
    <x v="1"/>
    <x v="1"/>
    <x v="0"/>
  </r>
  <r>
    <x v="1"/>
    <x v="1"/>
    <x v="0"/>
  </r>
  <r>
    <x v="0"/>
    <x v="0"/>
    <x v="0"/>
  </r>
  <r>
    <x v="1"/>
    <x v="1"/>
    <x v="0"/>
  </r>
  <r>
    <x v="0"/>
    <x v="0"/>
    <x v="0"/>
  </r>
  <r>
    <x v="1"/>
    <x v="1"/>
    <x v="0"/>
  </r>
  <r>
    <x v="0"/>
    <x v="0"/>
    <x v="0"/>
  </r>
  <r>
    <x v="1"/>
    <x v="1"/>
    <x v="0"/>
  </r>
  <r>
    <x v="0"/>
    <x v="0"/>
    <x v="0"/>
  </r>
  <r>
    <x v="1"/>
    <x v="1"/>
    <x v="0"/>
  </r>
  <r>
    <x v="1"/>
    <x v="1"/>
    <x v="1"/>
  </r>
  <r>
    <x v="1"/>
    <x v="1"/>
    <x v="0"/>
  </r>
  <r>
    <x v="1"/>
    <x v="1"/>
    <x v="0"/>
  </r>
  <r>
    <x v="1"/>
    <x v="1"/>
    <x v="0"/>
  </r>
  <r>
    <x v="1"/>
    <x v="1"/>
    <x v="0"/>
  </r>
  <r>
    <x v="0"/>
    <x v="0"/>
    <x v="0"/>
  </r>
  <r>
    <x v="0"/>
    <x v="0"/>
    <x v="0"/>
  </r>
  <r>
    <x v="0"/>
    <x v="0"/>
    <x v="0"/>
  </r>
  <r>
    <x v="1"/>
    <x v="1"/>
    <x v="0"/>
  </r>
  <r>
    <x v="1"/>
    <x v="1"/>
    <x v="0"/>
  </r>
  <r>
    <x v="0"/>
    <x v="0"/>
    <x v="0"/>
  </r>
  <r>
    <x v="0"/>
    <x v="0"/>
    <x v="0"/>
  </r>
  <r>
    <x v="1"/>
    <x v="1"/>
    <x v="0"/>
  </r>
  <r>
    <x v="1"/>
    <x v="1"/>
    <x v="0"/>
  </r>
  <r>
    <x v="0"/>
    <x v="0"/>
    <x v="0"/>
  </r>
  <r>
    <x v="1"/>
    <x v="1"/>
    <x v="0"/>
  </r>
  <r>
    <x v="1"/>
    <x v="1"/>
    <x v="0"/>
  </r>
  <r>
    <x v="1"/>
    <x v="1"/>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1"/>
    <x v="1"/>
    <x v="0"/>
  </r>
  <r>
    <x v="0"/>
    <x v="0"/>
    <x v="0"/>
  </r>
  <r>
    <x v="1"/>
    <x v="1"/>
    <x v="0"/>
  </r>
  <r>
    <x v="1"/>
    <x v="1"/>
    <x v="0"/>
  </r>
  <r>
    <x v="0"/>
    <x v="0"/>
    <x v="0"/>
  </r>
  <r>
    <x v="1"/>
    <x v="1"/>
    <x v="0"/>
  </r>
  <r>
    <x v="1"/>
    <x v="1"/>
    <x v="0"/>
  </r>
  <r>
    <x v="1"/>
    <x v="1"/>
    <x v="0"/>
  </r>
  <r>
    <x v="1"/>
    <x v="1"/>
    <x v="0"/>
  </r>
  <r>
    <x v="0"/>
    <x v="0"/>
    <x v="0"/>
  </r>
  <r>
    <x v="0"/>
    <x v="0"/>
    <x v="0"/>
  </r>
  <r>
    <x v="0"/>
    <x v="0"/>
    <x v="0"/>
  </r>
  <r>
    <x v="1"/>
    <x v="1"/>
    <x v="0"/>
  </r>
  <r>
    <x v="1"/>
    <x v="1"/>
    <x v="0"/>
  </r>
  <r>
    <x v="0"/>
    <x v="0"/>
    <x v="0"/>
  </r>
  <r>
    <x v="0"/>
    <x v="0"/>
    <x v="0"/>
  </r>
  <r>
    <x v="1"/>
    <x v="1"/>
    <x v="0"/>
  </r>
  <r>
    <x v="0"/>
    <x v="0"/>
    <x v="0"/>
  </r>
  <r>
    <x v="0"/>
    <x v="0"/>
    <x v="1"/>
  </r>
  <r>
    <x v="1"/>
    <x v="1"/>
    <x v="0"/>
  </r>
  <r>
    <x v="1"/>
    <x v="1"/>
    <x v="1"/>
  </r>
  <r>
    <x v="1"/>
    <x v="1"/>
    <x v="0"/>
  </r>
  <r>
    <x v="0"/>
    <x v="0"/>
    <x v="0"/>
  </r>
  <r>
    <x v="0"/>
    <x v="0"/>
    <x v="0"/>
  </r>
  <r>
    <x v="0"/>
    <x v="0"/>
    <x v="0"/>
  </r>
  <r>
    <x v="0"/>
    <x v="0"/>
    <x v="0"/>
  </r>
  <r>
    <x v="1"/>
    <x v="1"/>
    <x v="0"/>
  </r>
  <r>
    <x v="1"/>
    <x v="1"/>
    <x v="0"/>
  </r>
  <r>
    <x v="1"/>
    <x v="1"/>
    <x v="0"/>
  </r>
  <r>
    <x v="1"/>
    <x v="1"/>
    <x v="0"/>
  </r>
  <r>
    <x v="0"/>
    <x v="0"/>
    <x v="0"/>
  </r>
  <r>
    <x v="1"/>
    <x v="1"/>
    <x v="0"/>
  </r>
  <r>
    <x v="0"/>
    <x v="0"/>
    <x v="0"/>
  </r>
  <r>
    <x v="0"/>
    <x v="0"/>
    <x v="0"/>
  </r>
  <r>
    <x v="1"/>
    <x v="1"/>
    <x v="0"/>
  </r>
  <r>
    <x v="1"/>
    <x v="1"/>
    <x v="0"/>
  </r>
  <r>
    <x v="0"/>
    <x v="0"/>
    <x v="0"/>
  </r>
  <r>
    <x v="1"/>
    <x v="1"/>
    <x v="0"/>
  </r>
  <r>
    <x v="0"/>
    <x v="0"/>
    <x v="0"/>
  </r>
  <r>
    <x v="1"/>
    <x v="1"/>
    <x v="0"/>
  </r>
  <r>
    <x v="1"/>
    <x v="1"/>
    <x v="0"/>
  </r>
  <r>
    <x v="0"/>
    <x v="0"/>
    <x v="0"/>
  </r>
  <r>
    <x v="0"/>
    <x v="0"/>
    <x v="0"/>
  </r>
  <r>
    <x v="0"/>
    <x v="0"/>
    <x v="0"/>
  </r>
  <r>
    <x v="1"/>
    <x v="1"/>
    <x v="0"/>
  </r>
  <r>
    <x v="1"/>
    <x v="1"/>
    <x v="0"/>
  </r>
  <r>
    <x v="0"/>
    <x v="0"/>
    <x v="0"/>
  </r>
  <r>
    <x v="1"/>
    <x v="1"/>
    <x v="0"/>
  </r>
  <r>
    <x v="1"/>
    <x v="1"/>
    <x v="0"/>
  </r>
  <r>
    <x v="1"/>
    <x v="1"/>
    <x v="0"/>
  </r>
  <r>
    <x v="0"/>
    <x v="0"/>
    <x v="1"/>
  </r>
  <r>
    <x v="0"/>
    <x v="0"/>
    <x v="0"/>
  </r>
  <r>
    <x v="0"/>
    <x v="0"/>
    <x v="0"/>
  </r>
  <r>
    <x v="1"/>
    <x v="1"/>
    <x v="0"/>
  </r>
  <r>
    <x v="1"/>
    <x v="1"/>
    <x v="0"/>
  </r>
  <r>
    <x v="0"/>
    <x v="0"/>
    <x v="1"/>
  </r>
  <r>
    <x v="0"/>
    <x v="0"/>
    <x v="1"/>
  </r>
  <r>
    <x v="1"/>
    <x v="1"/>
    <x v="0"/>
  </r>
  <r>
    <x v="1"/>
    <x v="1"/>
    <x v="0"/>
  </r>
  <r>
    <x v="1"/>
    <x v="1"/>
    <x v="0"/>
  </r>
  <r>
    <x v="1"/>
    <x v="1"/>
    <x v="0"/>
  </r>
  <r>
    <x v="0"/>
    <x v="0"/>
    <x v="0"/>
  </r>
  <r>
    <x v="0"/>
    <x v="0"/>
    <x v="0"/>
  </r>
  <r>
    <x v="0"/>
    <x v="0"/>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1"/>
    <x v="1"/>
    <x v="0"/>
  </r>
  <r>
    <x v="0"/>
    <x v="0"/>
    <x v="0"/>
  </r>
  <r>
    <x v="1"/>
    <x v="1"/>
    <x v="0"/>
  </r>
  <r>
    <x v="1"/>
    <x v="1"/>
    <x v="1"/>
  </r>
  <r>
    <x v="1"/>
    <x v="1"/>
    <x v="0"/>
  </r>
  <r>
    <x v="0"/>
    <x v="0"/>
    <x v="0"/>
  </r>
  <r>
    <x v="0"/>
    <x v="0"/>
    <x v="0"/>
  </r>
  <r>
    <x v="1"/>
    <x v="1"/>
    <x v="1"/>
  </r>
  <r>
    <x v="0"/>
    <x v="0"/>
    <x v="0"/>
  </r>
  <r>
    <x v="1"/>
    <x v="1"/>
    <x v="0"/>
  </r>
  <r>
    <x v="0"/>
    <x v="0"/>
    <x v="0"/>
  </r>
  <r>
    <x v="0"/>
    <x v="0"/>
    <x v="0"/>
  </r>
  <r>
    <x v="0"/>
    <x v="0"/>
    <x v="0"/>
  </r>
  <r>
    <x v="0"/>
    <x v="0"/>
    <x v="0"/>
  </r>
  <r>
    <x v="0"/>
    <x v="0"/>
    <x v="0"/>
  </r>
  <r>
    <x v="0"/>
    <x v="0"/>
    <x v="0"/>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1"/>
    <x v="1"/>
    <x v="0"/>
  </r>
  <r>
    <x v="0"/>
    <x v="0"/>
    <x v="0"/>
  </r>
  <r>
    <x v="0"/>
    <x v="0"/>
    <x v="0"/>
  </r>
  <r>
    <x v="0"/>
    <x v="0"/>
    <x v="1"/>
  </r>
  <r>
    <x v="1"/>
    <x v="1"/>
    <x v="0"/>
  </r>
  <r>
    <x v="0"/>
    <x v="0"/>
    <x v="0"/>
  </r>
  <r>
    <x v="0"/>
    <x v="0"/>
    <x v="0"/>
  </r>
  <r>
    <x v="0"/>
    <x v="0"/>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0"/>
    <x v="0"/>
    <x v="0"/>
  </r>
  <r>
    <x v="1"/>
    <x v="1"/>
    <x v="0"/>
  </r>
  <r>
    <x v="1"/>
    <x v="1"/>
    <x v="0"/>
  </r>
  <r>
    <x v="0"/>
    <x v="0"/>
    <x v="0"/>
  </r>
  <r>
    <x v="0"/>
    <x v="0"/>
    <x v="1"/>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1"/>
    <x v="1"/>
    <x v="0"/>
  </r>
  <r>
    <x v="1"/>
    <x v="1"/>
    <x v="0"/>
  </r>
  <r>
    <x v="1"/>
    <x v="1"/>
    <x v="0"/>
  </r>
  <r>
    <x v="1"/>
    <x v="1"/>
    <x v="0"/>
  </r>
  <r>
    <x v="0"/>
    <x v="0"/>
    <x v="0"/>
  </r>
  <r>
    <x v="1"/>
    <x v="1"/>
    <x v="0"/>
  </r>
  <r>
    <x v="0"/>
    <x v="0"/>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0"/>
    <x v="0"/>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1"/>
    <x v="1"/>
    <x v="0"/>
  </r>
  <r>
    <x v="1"/>
    <x v="1"/>
    <x v="0"/>
  </r>
  <r>
    <x v="0"/>
    <x v="0"/>
    <x v="0"/>
  </r>
  <r>
    <x v="1"/>
    <x v="1"/>
    <x v="0"/>
  </r>
  <r>
    <x v="0"/>
    <x v="0"/>
    <x v="0"/>
  </r>
  <r>
    <x v="1"/>
    <x v="1"/>
    <x v="0"/>
  </r>
  <r>
    <x v="1"/>
    <x v="1"/>
    <x v="0"/>
  </r>
  <r>
    <x v="1"/>
    <x v="1"/>
    <x v="0"/>
  </r>
  <r>
    <x v="1"/>
    <x v="1"/>
    <x v="0"/>
  </r>
  <r>
    <x v="1"/>
    <x v="1"/>
    <x v="0"/>
  </r>
  <r>
    <x v="1"/>
    <x v="1"/>
    <x v="0"/>
  </r>
  <r>
    <x v="0"/>
    <x v="0"/>
    <x v="0"/>
  </r>
  <r>
    <x v="0"/>
    <x v="0"/>
    <x v="0"/>
  </r>
  <r>
    <x v="1"/>
    <x v="1"/>
    <x v="1"/>
  </r>
  <r>
    <x v="1"/>
    <x v="1"/>
    <x v="0"/>
  </r>
  <r>
    <x v="1"/>
    <x v="1"/>
    <x v="0"/>
  </r>
  <r>
    <x v="1"/>
    <x v="1"/>
    <x v="0"/>
  </r>
  <r>
    <x v="1"/>
    <x v="1"/>
    <x v="0"/>
  </r>
  <r>
    <x v="0"/>
    <x v="0"/>
    <x v="0"/>
  </r>
  <r>
    <x v="0"/>
    <x v="0"/>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1"/>
    <x v="1"/>
    <x v="0"/>
  </r>
  <r>
    <x v="1"/>
    <x v="1"/>
    <x v="0"/>
  </r>
  <r>
    <x v="0"/>
    <x v="0"/>
    <x v="1"/>
  </r>
  <r>
    <x v="1"/>
    <x v="1"/>
    <x v="0"/>
  </r>
  <r>
    <x v="0"/>
    <x v="0"/>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0"/>
    <x v="0"/>
    <x v="0"/>
  </r>
  <r>
    <x v="1"/>
    <x v="1"/>
    <x v="0"/>
  </r>
  <r>
    <x v="0"/>
    <x v="0"/>
    <x v="0"/>
  </r>
  <r>
    <x v="1"/>
    <x v="1"/>
    <x v="0"/>
  </r>
  <r>
    <x v="1"/>
    <x v="1"/>
    <x v="1"/>
  </r>
  <r>
    <x v="1"/>
    <x v="1"/>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0"/>
    <x v="0"/>
    <x v="0"/>
  </r>
  <r>
    <x v="0"/>
    <x v="0"/>
    <x v="0"/>
  </r>
  <r>
    <x v="1"/>
    <x v="1"/>
    <x v="0"/>
  </r>
  <r>
    <x v="0"/>
    <x v="0"/>
    <x v="0"/>
  </r>
  <r>
    <x v="1"/>
    <x v="1"/>
    <x v="0"/>
  </r>
  <r>
    <x v="1"/>
    <x v="1"/>
    <x v="0"/>
  </r>
  <r>
    <x v="1"/>
    <x v="1"/>
    <x v="0"/>
  </r>
  <r>
    <x v="0"/>
    <x v="0"/>
    <x v="0"/>
  </r>
  <r>
    <x v="1"/>
    <x v="1"/>
    <x v="0"/>
  </r>
  <r>
    <x v="0"/>
    <x v="0"/>
    <x v="0"/>
  </r>
  <r>
    <x v="0"/>
    <x v="0"/>
    <x v="0"/>
  </r>
  <r>
    <x v="1"/>
    <x v="1"/>
    <x v="0"/>
  </r>
  <r>
    <x v="0"/>
    <x v="0"/>
    <x v="0"/>
  </r>
  <r>
    <x v="0"/>
    <x v="0"/>
    <x v="0"/>
  </r>
  <r>
    <x v="0"/>
    <x v="0"/>
    <x v="0"/>
  </r>
  <r>
    <x v="1"/>
    <x v="1"/>
    <x v="0"/>
  </r>
  <r>
    <x v="0"/>
    <x v="0"/>
    <x v="0"/>
  </r>
  <r>
    <x v="1"/>
    <x v="1"/>
    <x v="0"/>
  </r>
  <r>
    <x v="0"/>
    <x v="0"/>
    <x v="0"/>
  </r>
  <r>
    <x v="1"/>
    <x v="1"/>
    <x v="1"/>
  </r>
  <r>
    <x v="0"/>
    <x v="0"/>
    <x v="1"/>
  </r>
  <r>
    <x v="0"/>
    <x v="0"/>
    <x v="0"/>
  </r>
  <r>
    <x v="1"/>
    <x v="1"/>
    <x v="0"/>
  </r>
  <r>
    <x v="1"/>
    <x v="1"/>
    <x v="0"/>
  </r>
  <r>
    <x v="1"/>
    <x v="1"/>
    <x v="0"/>
  </r>
  <r>
    <x v="0"/>
    <x v="0"/>
    <x v="0"/>
  </r>
  <r>
    <x v="1"/>
    <x v="1"/>
    <x v="0"/>
  </r>
  <r>
    <x v="1"/>
    <x v="1"/>
    <x v="0"/>
  </r>
  <r>
    <x v="0"/>
    <x v="0"/>
    <x v="0"/>
  </r>
  <r>
    <x v="1"/>
    <x v="1"/>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0"/>
    <x v="0"/>
    <x v="0"/>
  </r>
  <r>
    <x v="1"/>
    <x v="1"/>
    <x v="0"/>
  </r>
  <r>
    <x v="1"/>
    <x v="1"/>
    <x v="0"/>
  </r>
  <r>
    <x v="0"/>
    <x v="0"/>
    <x v="0"/>
  </r>
  <r>
    <x v="1"/>
    <x v="1"/>
    <x v="0"/>
  </r>
  <r>
    <x v="0"/>
    <x v="0"/>
    <x v="1"/>
  </r>
  <r>
    <x v="1"/>
    <x v="1"/>
    <x v="0"/>
  </r>
  <r>
    <x v="0"/>
    <x v="0"/>
    <x v="0"/>
  </r>
  <r>
    <x v="1"/>
    <x v="1"/>
    <x v="1"/>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0"/>
    <x v="0"/>
    <x v="0"/>
  </r>
  <r>
    <x v="1"/>
    <x v="1"/>
    <x v="0"/>
  </r>
  <r>
    <x v="1"/>
    <x v="1"/>
    <x v="0"/>
  </r>
  <r>
    <x v="1"/>
    <x v="1"/>
    <x v="1"/>
  </r>
  <r>
    <x v="0"/>
    <x v="0"/>
    <x v="0"/>
  </r>
  <r>
    <x v="0"/>
    <x v="0"/>
    <x v="0"/>
  </r>
  <r>
    <x v="1"/>
    <x v="1"/>
    <x v="0"/>
  </r>
  <r>
    <x v="0"/>
    <x v="0"/>
    <x v="0"/>
  </r>
  <r>
    <x v="0"/>
    <x v="0"/>
    <x v="0"/>
  </r>
  <r>
    <x v="1"/>
    <x v="1"/>
    <x v="1"/>
  </r>
  <r>
    <x v="1"/>
    <x v="1"/>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0"/>
    <x v="0"/>
    <x v="0"/>
  </r>
  <r>
    <x v="1"/>
    <x v="1"/>
    <x v="0"/>
  </r>
  <r>
    <x v="1"/>
    <x v="1"/>
    <x v="0"/>
  </r>
  <r>
    <x v="1"/>
    <x v="1"/>
    <x v="0"/>
  </r>
  <r>
    <x v="1"/>
    <x v="1"/>
    <x v="0"/>
  </r>
  <r>
    <x v="1"/>
    <x v="1"/>
    <x v="0"/>
  </r>
  <r>
    <x v="1"/>
    <x v="1"/>
    <x v="0"/>
  </r>
  <r>
    <x v="1"/>
    <x v="1"/>
    <x v="0"/>
  </r>
  <r>
    <x v="1"/>
    <x v="1"/>
    <x v="0"/>
  </r>
  <r>
    <x v="1"/>
    <x v="1"/>
    <x v="0"/>
  </r>
  <r>
    <x v="1"/>
    <x v="1"/>
    <x v="1"/>
  </r>
  <r>
    <x v="1"/>
    <x v="1"/>
    <x v="0"/>
  </r>
  <r>
    <x v="1"/>
    <x v="1"/>
    <x v="0"/>
  </r>
  <r>
    <x v="0"/>
    <x v="0"/>
    <x v="0"/>
  </r>
  <r>
    <x v="0"/>
    <x v="0"/>
    <x v="0"/>
  </r>
  <r>
    <x v="0"/>
    <x v="0"/>
    <x v="0"/>
  </r>
  <r>
    <x v="1"/>
    <x v="1"/>
    <x v="0"/>
  </r>
  <r>
    <x v="1"/>
    <x v="1"/>
    <x v="0"/>
  </r>
  <r>
    <x v="0"/>
    <x v="0"/>
    <x v="0"/>
  </r>
  <r>
    <x v="1"/>
    <x v="1"/>
    <x v="0"/>
  </r>
  <r>
    <x v="0"/>
    <x v="0"/>
    <x v="0"/>
  </r>
  <r>
    <x v="1"/>
    <x v="1"/>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0"/>
    <x v="0"/>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1"/>
    <x v="1"/>
    <x v="0"/>
  </r>
  <r>
    <x v="0"/>
    <x v="0"/>
    <x v="0"/>
  </r>
  <r>
    <x v="0"/>
    <x v="0"/>
    <x v="0"/>
  </r>
  <r>
    <x v="1"/>
    <x v="1"/>
    <x v="1"/>
  </r>
  <r>
    <x v="1"/>
    <x v="1"/>
    <x v="0"/>
  </r>
  <r>
    <x v="1"/>
    <x v="1"/>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1"/>
    <x v="1"/>
    <x v="0"/>
  </r>
  <r>
    <x v="0"/>
    <x v="0"/>
    <x v="0"/>
  </r>
  <r>
    <x v="1"/>
    <x v="1"/>
    <x v="0"/>
  </r>
  <r>
    <x v="0"/>
    <x v="0"/>
    <x v="0"/>
  </r>
  <r>
    <x v="0"/>
    <x v="0"/>
    <x v="0"/>
  </r>
  <r>
    <x v="1"/>
    <x v="1"/>
    <x v="0"/>
  </r>
  <r>
    <x v="1"/>
    <x v="1"/>
    <x v="0"/>
  </r>
  <r>
    <x v="0"/>
    <x v="0"/>
    <x v="1"/>
  </r>
  <r>
    <x v="0"/>
    <x v="0"/>
    <x v="1"/>
  </r>
  <r>
    <x v="1"/>
    <x v="1"/>
    <x v="1"/>
  </r>
  <r>
    <x v="0"/>
    <x v="0"/>
    <x v="0"/>
  </r>
  <r>
    <x v="1"/>
    <x v="1"/>
    <x v="0"/>
  </r>
  <r>
    <x v="0"/>
    <x v="0"/>
    <x v="0"/>
  </r>
  <r>
    <x v="1"/>
    <x v="1"/>
    <x v="0"/>
  </r>
  <r>
    <x v="0"/>
    <x v="0"/>
    <x v="0"/>
  </r>
  <r>
    <x v="1"/>
    <x v="1"/>
    <x v="0"/>
  </r>
  <r>
    <x v="0"/>
    <x v="0"/>
    <x v="0"/>
  </r>
  <r>
    <x v="1"/>
    <x v="1"/>
    <x v="0"/>
  </r>
  <r>
    <x v="0"/>
    <x v="0"/>
    <x v="0"/>
  </r>
  <r>
    <x v="0"/>
    <x v="0"/>
    <x v="0"/>
  </r>
  <r>
    <x v="0"/>
    <x v="0"/>
    <x v="0"/>
  </r>
  <r>
    <x v="1"/>
    <x v="1"/>
    <x v="0"/>
  </r>
  <r>
    <x v="1"/>
    <x v="1"/>
    <x v="0"/>
  </r>
  <r>
    <x v="0"/>
    <x v="0"/>
    <x v="0"/>
  </r>
  <r>
    <x v="1"/>
    <x v="1"/>
    <x v="0"/>
  </r>
  <r>
    <x v="0"/>
    <x v="0"/>
    <x v="0"/>
  </r>
  <r>
    <x v="0"/>
    <x v="0"/>
    <x v="0"/>
  </r>
  <r>
    <x v="0"/>
    <x v="0"/>
    <x v="0"/>
  </r>
  <r>
    <x v="0"/>
    <x v="0"/>
    <x v="0"/>
  </r>
  <r>
    <x v="1"/>
    <x v="1"/>
    <x v="1"/>
  </r>
  <r>
    <x v="1"/>
    <x v="1"/>
    <x v="0"/>
  </r>
  <r>
    <x v="1"/>
    <x v="1"/>
    <x v="0"/>
  </r>
  <r>
    <x v="0"/>
    <x v="0"/>
    <x v="0"/>
  </r>
  <r>
    <x v="0"/>
    <x v="0"/>
    <x v="0"/>
  </r>
  <r>
    <x v="0"/>
    <x v="0"/>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1"/>
    <x v="1"/>
    <x v="0"/>
  </r>
  <r>
    <x v="1"/>
    <x v="1"/>
    <x v="0"/>
  </r>
  <r>
    <x v="0"/>
    <x v="0"/>
    <x v="0"/>
  </r>
  <r>
    <x v="0"/>
    <x v="0"/>
    <x v="0"/>
  </r>
  <r>
    <x v="0"/>
    <x v="0"/>
    <x v="0"/>
  </r>
  <r>
    <x v="1"/>
    <x v="1"/>
    <x v="0"/>
  </r>
  <r>
    <x v="0"/>
    <x v="0"/>
    <x v="0"/>
  </r>
  <r>
    <x v="1"/>
    <x v="1"/>
    <x v="0"/>
  </r>
  <r>
    <x v="1"/>
    <x v="1"/>
    <x v="0"/>
  </r>
  <r>
    <x v="0"/>
    <x v="0"/>
    <x v="0"/>
  </r>
  <r>
    <x v="1"/>
    <x v="1"/>
    <x v="0"/>
  </r>
  <r>
    <x v="1"/>
    <x v="1"/>
    <x v="0"/>
  </r>
  <r>
    <x v="0"/>
    <x v="0"/>
    <x v="0"/>
  </r>
  <r>
    <x v="0"/>
    <x v="0"/>
    <x v="0"/>
  </r>
  <r>
    <x v="0"/>
    <x v="0"/>
    <x v="0"/>
  </r>
  <r>
    <x v="1"/>
    <x v="1"/>
    <x v="0"/>
  </r>
  <r>
    <x v="0"/>
    <x v="0"/>
    <x v="1"/>
  </r>
  <r>
    <x v="0"/>
    <x v="0"/>
    <x v="0"/>
  </r>
  <r>
    <x v="0"/>
    <x v="0"/>
    <x v="0"/>
  </r>
  <r>
    <x v="1"/>
    <x v="1"/>
    <x v="0"/>
  </r>
  <r>
    <x v="0"/>
    <x v="0"/>
    <x v="0"/>
  </r>
  <r>
    <x v="0"/>
    <x v="0"/>
    <x v="0"/>
  </r>
  <r>
    <x v="1"/>
    <x v="1"/>
    <x v="0"/>
  </r>
  <r>
    <x v="0"/>
    <x v="0"/>
    <x v="0"/>
  </r>
  <r>
    <x v="0"/>
    <x v="0"/>
    <x v="0"/>
  </r>
  <r>
    <x v="0"/>
    <x v="0"/>
    <x v="0"/>
  </r>
  <r>
    <x v="1"/>
    <x v="1"/>
    <x v="0"/>
  </r>
  <r>
    <x v="0"/>
    <x v="0"/>
    <x v="0"/>
  </r>
  <r>
    <x v="0"/>
    <x v="0"/>
    <x v="0"/>
  </r>
  <r>
    <x v="0"/>
    <x v="0"/>
    <x v="0"/>
  </r>
  <r>
    <x v="1"/>
    <x v="1"/>
    <x v="0"/>
  </r>
  <r>
    <x v="1"/>
    <x v="1"/>
    <x v="0"/>
  </r>
  <r>
    <x v="0"/>
    <x v="0"/>
    <x v="0"/>
  </r>
  <r>
    <x v="1"/>
    <x v="1"/>
    <x v="0"/>
  </r>
  <r>
    <x v="1"/>
    <x v="1"/>
    <x v="0"/>
  </r>
  <r>
    <x v="1"/>
    <x v="1"/>
    <x v="0"/>
  </r>
  <r>
    <x v="1"/>
    <x v="1"/>
    <x v="0"/>
  </r>
  <r>
    <x v="1"/>
    <x v="1"/>
    <x v="0"/>
  </r>
  <r>
    <x v="0"/>
    <x v="0"/>
    <x v="0"/>
  </r>
  <r>
    <x v="0"/>
    <x v="0"/>
    <x v="0"/>
  </r>
  <r>
    <x v="1"/>
    <x v="1"/>
    <x v="1"/>
  </r>
  <r>
    <x v="1"/>
    <x v="1"/>
    <x v="0"/>
  </r>
  <r>
    <x v="0"/>
    <x v="0"/>
    <x v="0"/>
  </r>
  <r>
    <x v="1"/>
    <x v="1"/>
    <x v="0"/>
  </r>
  <r>
    <x v="0"/>
    <x v="0"/>
    <x v="0"/>
  </r>
  <r>
    <x v="0"/>
    <x v="0"/>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0"/>
    <x v="0"/>
    <x v="0"/>
  </r>
  <r>
    <x v="1"/>
    <x v="1"/>
    <x v="0"/>
  </r>
  <r>
    <x v="1"/>
    <x v="1"/>
    <x v="0"/>
  </r>
  <r>
    <x v="1"/>
    <x v="1"/>
    <x v="0"/>
  </r>
  <r>
    <x v="1"/>
    <x v="1"/>
    <x v="0"/>
  </r>
  <r>
    <x v="1"/>
    <x v="1"/>
    <x v="0"/>
  </r>
  <r>
    <x v="0"/>
    <x v="0"/>
    <x v="0"/>
  </r>
  <r>
    <x v="0"/>
    <x v="0"/>
    <x v="0"/>
  </r>
  <r>
    <x v="1"/>
    <x v="1"/>
    <x v="0"/>
  </r>
  <r>
    <x v="1"/>
    <x v="1"/>
    <x v="1"/>
  </r>
  <r>
    <x v="1"/>
    <x v="1"/>
    <x v="0"/>
  </r>
  <r>
    <x v="0"/>
    <x v="0"/>
    <x v="0"/>
  </r>
  <r>
    <x v="1"/>
    <x v="1"/>
    <x v="0"/>
  </r>
  <r>
    <x v="0"/>
    <x v="0"/>
    <x v="0"/>
  </r>
  <r>
    <x v="1"/>
    <x v="1"/>
    <x v="0"/>
  </r>
  <r>
    <x v="1"/>
    <x v="1"/>
    <x v="0"/>
  </r>
  <r>
    <x v="1"/>
    <x v="1"/>
    <x v="0"/>
  </r>
  <r>
    <x v="0"/>
    <x v="0"/>
    <x v="0"/>
  </r>
  <r>
    <x v="1"/>
    <x v="1"/>
    <x v="0"/>
  </r>
  <r>
    <x v="1"/>
    <x v="1"/>
    <x v="0"/>
  </r>
  <r>
    <x v="0"/>
    <x v="0"/>
    <x v="1"/>
  </r>
  <r>
    <x v="0"/>
    <x v="0"/>
    <x v="1"/>
  </r>
  <r>
    <x v="1"/>
    <x v="1"/>
    <x v="0"/>
  </r>
  <r>
    <x v="0"/>
    <x v="0"/>
    <x v="0"/>
  </r>
  <r>
    <x v="0"/>
    <x v="0"/>
    <x v="0"/>
  </r>
  <r>
    <x v="1"/>
    <x v="1"/>
    <x v="0"/>
  </r>
  <r>
    <x v="1"/>
    <x v="1"/>
    <x v="0"/>
  </r>
  <r>
    <x v="0"/>
    <x v="0"/>
    <x v="0"/>
  </r>
  <r>
    <x v="1"/>
    <x v="1"/>
    <x v="0"/>
  </r>
  <r>
    <x v="1"/>
    <x v="1"/>
    <x v="0"/>
  </r>
  <r>
    <x v="0"/>
    <x v="0"/>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0"/>
  </r>
  <r>
    <x v="1"/>
    <x v="1"/>
    <x v="0"/>
  </r>
  <r>
    <x v="0"/>
    <x v="0"/>
    <x v="0"/>
  </r>
  <r>
    <x v="0"/>
    <x v="0"/>
    <x v="0"/>
  </r>
  <r>
    <x v="1"/>
    <x v="1"/>
    <x v="0"/>
  </r>
  <r>
    <x v="0"/>
    <x v="0"/>
    <x v="1"/>
  </r>
  <r>
    <x v="0"/>
    <x v="0"/>
    <x v="0"/>
  </r>
  <r>
    <x v="0"/>
    <x v="0"/>
    <x v="0"/>
  </r>
  <r>
    <x v="0"/>
    <x v="0"/>
    <x v="0"/>
  </r>
  <r>
    <x v="0"/>
    <x v="0"/>
    <x v="0"/>
  </r>
  <r>
    <x v="1"/>
    <x v="1"/>
    <x v="0"/>
  </r>
  <r>
    <x v="0"/>
    <x v="0"/>
    <x v="0"/>
  </r>
  <r>
    <x v="0"/>
    <x v="0"/>
    <x v="0"/>
  </r>
  <r>
    <x v="0"/>
    <x v="0"/>
    <x v="0"/>
  </r>
  <r>
    <x v="0"/>
    <x v="0"/>
    <x v="0"/>
  </r>
  <r>
    <x v="1"/>
    <x v="1"/>
    <x v="0"/>
  </r>
  <r>
    <x v="1"/>
    <x v="1"/>
    <x v="0"/>
  </r>
  <r>
    <x v="0"/>
    <x v="0"/>
    <x v="0"/>
  </r>
  <r>
    <x v="1"/>
    <x v="1"/>
    <x v="0"/>
  </r>
  <r>
    <x v="1"/>
    <x v="1"/>
    <x v="0"/>
  </r>
  <r>
    <x v="0"/>
    <x v="0"/>
    <x v="0"/>
  </r>
  <r>
    <x v="0"/>
    <x v="0"/>
    <x v="0"/>
  </r>
  <r>
    <x v="0"/>
    <x v="0"/>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1"/>
    <x v="1"/>
    <x v="0"/>
  </r>
  <r>
    <x v="1"/>
    <x v="1"/>
    <x v="0"/>
  </r>
  <r>
    <x v="1"/>
    <x v="1"/>
    <x v="0"/>
  </r>
  <r>
    <x v="0"/>
    <x v="0"/>
    <x v="0"/>
  </r>
  <r>
    <x v="1"/>
    <x v="1"/>
    <x v="0"/>
  </r>
  <r>
    <x v="0"/>
    <x v="0"/>
    <x v="0"/>
  </r>
  <r>
    <x v="0"/>
    <x v="0"/>
    <x v="0"/>
  </r>
  <r>
    <x v="1"/>
    <x v="1"/>
    <x v="0"/>
  </r>
  <r>
    <x v="1"/>
    <x v="1"/>
    <x v="0"/>
  </r>
  <r>
    <x v="0"/>
    <x v="0"/>
    <x v="0"/>
  </r>
  <r>
    <x v="1"/>
    <x v="1"/>
    <x v="0"/>
  </r>
  <r>
    <x v="1"/>
    <x v="1"/>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1"/>
    <x v="1"/>
    <x v="1"/>
  </r>
  <r>
    <x v="1"/>
    <x v="1"/>
    <x v="1"/>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0"/>
    <x v="0"/>
    <x v="0"/>
  </r>
  <r>
    <x v="0"/>
    <x v="0"/>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1"/>
    <x v="1"/>
    <x v="0"/>
  </r>
  <r>
    <x v="0"/>
    <x v="0"/>
    <x v="0"/>
  </r>
  <r>
    <x v="1"/>
    <x v="1"/>
    <x v="0"/>
  </r>
  <r>
    <x v="1"/>
    <x v="1"/>
    <x v="0"/>
  </r>
  <r>
    <x v="0"/>
    <x v="0"/>
    <x v="0"/>
  </r>
  <r>
    <x v="0"/>
    <x v="0"/>
    <x v="0"/>
  </r>
  <r>
    <x v="1"/>
    <x v="1"/>
    <x v="0"/>
  </r>
  <r>
    <x v="0"/>
    <x v="0"/>
    <x v="0"/>
  </r>
  <r>
    <x v="0"/>
    <x v="0"/>
    <x v="0"/>
  </r>
  <r>
    <x v="0"/>
    <x v="0"/>
    <x v="0"/>
  </r>
  <r>
    <x v="1"/>
    <x v="1"/>
    <x v="0"/>
  </r>
  <r>
    <x v="0"/>
    <x v="0"/>
    <x v="1"/>
  </r>
  <r>
    <x v="0"/>
    <x v="0"/>
    <x v="0"/>
  </r>
  <r>
    <x v="0"/>
    <x v="0"/>
    <x v="0"/>
  </r>
  <r>
    <x v="1"/>
    <x v="1"/>
    <x v="0"/>
  </r>
  <r>
    <x v="0"/>
    <x v="0"/>
    <x v="0"/>
  </r>
  <r>
    <x v="1"/>
    <x v="1"/>
    <x v="0"/>
  </r>
  <r>
    <x v="1"/>
    <x v="1"/>
    <x v="0"/>
  </r>
  <r>
    <x v="1"/>
    <x v="1"/>
    <x v="0"/>
  </r>
  <r>
    <x v="0"/>
    <x v="0"/>
    <x v="0"/>
  </r>
  <r>
    <x v="0"/>
    <x v="0"/>
    <x v="0"/>
  </r>
  <r>
    <x v="0"/>
    <x v="0"/>
    <x v="0"/>
  </r>
  <r>
    <x v="0"/>
    <x v="0"/>
    <x v="0"/>
  </r>
  <r>
    <x v="1"/>
    <x v="1"/>
    <x v="0"/>
  </r>
  <r>
    <x v="1"/>
    <x v="1"/>
    <x v="0"/>
  </r>
  <r>
    <x v="1"/>
    <x v="1"/>
    <x v="1"/>
  </r>
  <r>
    <x v="1"/>
    <x v="1"/>
    <x v="0"/>
  </r>
  <r>
    <x v="1"/>
    <x v="1"/>
    <x v="0"/>
  </r>
  <r>
    <x v="1"/>
    <x v="1"/>
    <x v="0"/>
  </r>
  <r>
    <x v="0"/>
    <x v="0"/>
    <x v="0"/>
  </r>
  <r>
    <x v="1"/>
    <x v="1"/>
    <x v="0"/>
  </r>
  <r>
    <x v="1"/>
    <x v="1"/>
    <x v="0"/>
  </r>
  <r>
    <x v="0"/>
    <x v="0"/>
    <x v="0"/>
  </r>
  <r>
    <x v="0"/>
    <x v="0"/>
    <x v="0"/>
  </r>
  <r>
    <x v="1"/>
    <x v="1"/>
    <x v="0"/>
  </r>
  <r>
    <x v="0"/>
    <x v="0"/>
    <x v="0"/>
  </r>
  <r>
    <x v="1"/>
    <x v="1"/>
    <x v="0"/>
  </r>
  <r>
    <x v="0"/>
    <x v="0"/>
    <x v="0"/>
  </r>
  <r>
    <x v="1"/>
    <x v="1"/>
    <x v="0"/>
  </r>
  <r>
    <x v="0"/>
    <x v="0"/>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0"/>
    <x v="0"/>
    <x v="0"/>
  </r>
  <r>
    <x v="1"/>
    <x v="1"/>
    <x v="0"/>
  </r>
  <r>
    <x v="0"/>
    <x v="0"/>
    <x v="0"/>
  </r>
  <r>
    <x v="1"/>
    <x v="1"/>
    <x v="0"/>
  </r>
  <r>
    <x v="0"/>
    <x v="0"/>
    <x v="0"/>
  </r>
  <r>
    <x v="1"/>
    <x v="1"/>
    <x v="0"/>
  </r>
  <r>
    <x v="1"/>
    <x v="1"/>
    <x v="0"/>
  </r>
  <r>
    <x v="1"/>
    <x v="1"/>
    <x v="0"/>
  </r>
  <r>
    <x v="1"/>
    <x v="1"/>
    <x v="0"/>
  </r>
  <r>
    <x v="0"/>
    <x v="0"/>
    <x v="1"/>
  </r>
  <r>
    <x v="1"/>
    <x v="1"/>
    <x v="0"/>
  </r>
  <r>
    <x v="0"/>
    <x v="0"/>
    <x v="0"/>
  </r>
  <r>
    <x v="1"/>
    <x v="1"/>
    <x v="0"/>
  </r>
  <r>
    <x v="0"/>
    <x v="0"/>
    <x v="0"/>
  </r>
  <r>
    <x v="1"/>
    <x v="1"/>
    <x v="0"/>
  </r>
  <r>
    <x v="1"/>
    <x v="1"/>
    <x v="0"/>
  </r>
  <r>
    <x v="1"/>
    <x v="1"/>
    <x v="0"/>
  </r>
  <r>
    <x v="0"/>
    <x v="0"/>
    <x v="0"/>
  </r>
  <r>
    <x v="0"/>
    <x v="0"/>
    <x v="0"/>
  </r>
  <r>
    <x v="1"/>
    <x v="1"/>
    <x v="1"/>
  </r>
  <r>
    <x v="0"/>
    <x v="0"/>
    <x v="0"/>
  </r>
  <r>
    <x v="0"/>
    <x v="0"/>
    <x v="0"/>
  </r>
  <r>
    <x v="1"/>
    <x v="1"/>
    <x v="0"/>
  </r>
  <r>
    <x v="0"/>
    <x v="0"/>
    <x v="0"/>
  </r>
  <r>
    <x v="0"/>
    <x v="0"/>
    <x v="0"/>
  </r>
  <r>
    <x v="0"/>
    <x v="0"/>
    <x v="0"/>
  </r>
  <r>
    <x v="1"/>
    <x v="1"/>
    <x v="1"/>
  </r>
  <r>
    <x v="1"/>
    <x v="1"/>
    <x v="0"/>
  </r>
  <r>
    <x v="0"/>
    <x v="0"/>
    <x v="0"/>
  </r>
  <r>
    <x v="0"/>
    <x v="0"/>
    <x v="0"/>
  </r>
  <r>
    <x v="0"/>
    <x v="0"/>
    <x v="0"/>
  </r>
  <r>
    <x v="0"/>
    <x v="0"/>
    <x v="0"/>
  </r>
  <r>
    <x v="1"/>
    <x v="1"/>
    <x v="0"/>
  </r>
  <r>
    <x v="0"/>
    <x v="0"/>
    <x v="0"/>
  </r>
  <r>
    <x v="0"/>
    <x v="0"/>
    <x v="0"/>
  </r>
  <r>
    <x v="1"/>
    <x v="1"/>
    <x v="0"/>
  </r>
  <r>
    <x v="1"/>
    <x v="1"/>
    <x v="0"/>
  </r>
  <r>
    <x v="0"/>
    <x v="0"/>
    <x v="0"/>
  </r>
  <r>
    <x v="0"/>
    <x v="0"/>
    <x v="0"/>
  </r>
  <r>
    <x v="1"/>
    <x v="1"/>
    <x v="0"/>
  </r>
  <r>
    <x v="1"/>
    <x v="1"/>
    <x v="0"/>
  </r>
  <r>
    <x v="0"/>
    <x v="0"/>
    <x v="0"/>
  </r>
  <r>
    <x v="1"/>
    <x v="1"/>
    <x v="0"/>
  </r>
  <r>
    <x v="1"/>
    <x v="1"/>
    <x v="0"/>
  </r>
  <r>
    <x v="0"/>
    <x v="0"/>
    <x v="0"/>
  </r>
  <r>
    <x v="1"/>
    <x v="1"/>
    <x v="0"/>
  </r>
  <r>
    <x v="0"/>
    <x v="0"/>
    <x v="0"/>
  </r>
  <r>
    <x v="1"/>
    <x v="1"/>
    <x v="0"/>
  </r>
  <r>
    <x v="1"/>
    <x v="1"/>
    <x v="0"/>
  </r>
  <r>
    <x v="1"/>
    <x v="1"/>
    <x v="0"/>
  </r>
  <r>
    <x v="1"/>
    <x v="1"/>
    <x v="0"/>
  </r>
  <r>
    <x v="0"/>
    <x v="0"/>
    <x v="0"/>
  </r>
  <r>
    <x v="1"/>
    <x v="1"/>
    <x v="0"/>
  </r>
  <r>
    <x v="0"/>
    <x v="0"/>
    <x v="0"/>
  </r>
  <r>
    <x v="0"/>
    <x v="0"/>
    <x v="0"/>
  </r>
  <r>
    <x v="1"/>
    <x v="1"/>
    <x v="0"/>
  </r>
  <r>
    <x v="1"/>
    <x v="1"/>
    <x v="0"/>
  </r>
  <r>
    <x v="1"/>
    <x v="1"/>
    <x v="0"/>
  </r>
  <r>
    <x v="0"/>
    <x v="0"/>
    <x v="0"/>
  </r>
  <r>
    <x v="1"/>
    <x v="1"/>
    <x v="0"/>
  </r>
  <r>
    <x v="0"/>
    <x v="0"/>
    <x v="0"/>
  </r>
  <r>
    <x v="1"/>
    <x v="1"/>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1"/>
    <x v="1"/>
    <x v="1"/>
  </r>
  <r>
    <x v="1"/>
    <x v="1"/>
    <x v="0"/>
  </r>
  <r>
    <x v="0"/>
    <x v="0"/>
    <x v="0"/>
  </r>
  <r>
    <x v="0"/>
    <x v="0"/>
    <x v="0"/>
  </r>
  <r>
    <x v="1"/>
    <x v="1"/>
    <x v="0"/>
  </r>
  <r>
    <x v="1"/>
    <x v="1"/>
    <x v="0"/>
  </r>
  <r>
    <x v="1"/>
    <x v="1"/>
    <x v="0"/>
  </r>
  <r>
    <x v="0"/>
    <x v="0"/>
    <x v="0"/>
  </r>
  <r>
    <x v="0"/>
    <x v="0"/>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0"/>
    <x v="0"/>
    <x v="0"/>
  </r>
  <r>
    <x v="1"/>
    <x v="1"/>
    <x v="0"/>
  </r>
  <r>
    <x v="1"/>
    <x v="1"/>
    <x v="0"/>
  </r>
  <r>
    <x v="1"/>
    <x v="1"/>
    <x v="0"/>
  </r>
  <r>
    <x v="1"/>
    <x v="1"/>
    <x v="0"/>
  </r>
  <r>
    <x v="1"/>
    <x v="1"/>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0"/>
    <x v="0"/>
    <x v="0"/>
  </r>
  <r>
    <x v="1"/>
    <x v="1"/>
    <x v="0"/>
  </r>
  <r>
    <x v="0"/>
    <x v="0"/>
    <x v="0"/>
  </r>
  <r>
    <x v="1"/>
    <x v="1"/>
    <x v="0"/>
  </r>
  <r>
    <x v="1"/>
    <x v="1"/>
    <x v="0"/>
  </r>
  <r>
    <x v="1"/>
    <x v="1"/>
    <x v="0"/>
  </r>
  <r>
    <x v="0"/>
    <x v="0"/>
    <x v="0"/>
  </r>
  <r>
    <x v="0"/>
    <x v="0"/>
    <x v="0"/>
  </r>
  <r>
    <x v="0"/>
    <x v="0"/>
    <x v="0"/>
  </r>
  <r>
    <x v="0"/>
    <x v="0"/>
    <x v="0"/>
  </r>
  <r>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5A7BA-E6E1-944B-B459-337D395808F4}" name="PivotTable5"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31:G33"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2">
    <i>
      <x/>
    </i>
    <i>
      <x v="1"/>
    </i>
  </rowItems>
  <colItems count="1">
    <i/>
  </colItems>
  <dataFields count="1">
    <dataField name="Average of visitors" fld="1" subtotal="average" baseField="0" baseItem="0" numFmtId="4"/>
  </dataFields>
  <formats count="15">
    <format dxfId="32">
      <pivotArea outline="0" collapsedLevelsAreSubtotals="1" fieldPosition="0"/>
    </format>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outline="0" axis="axisValues" fieldPosition="0"/>
    </format>
    <format dxfId="21">
      <pivotArea field="6" type="button" dataOnly="0" labelOnly="1" outline="0" axis="axisRow" fieldPosition="0"/>
    </format>
    <format dxfId="20">
      <pivotArea dataOnly="0" labelOnly="1" outline="0" axis="axisValues" fieldPosition="0"/>
    </format>
    <format dxfId="19">
      <pivotArea outline="0" collapsedLevelsAreSubtotals="1" fieldPosition="0"/>
    </format>
    <format dxfId="18">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01552-8A0E-FA4D-8F16-3A07E3570D7C}"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E91" firstHeaderRow="1" firstDataRow="2" firstDataCol="1"/>
  <pivotFields count="3">
    <pivotField showAll="0"/>
    <pivotField axis="axisRow" dataField="1" showAll="0">
      <items count="3">
        <item x="0"/>
        <item x="1"/>
        <item t="default"/>
      </items>
    </pivotField>
    <pivotField axis="axisCol" showAll="0">
      <items count="3">
        <item x="0"/>
        <item x="1"/>
        <item t="default"/>
      </items>
    </pivotField>
  </pivotFields>
  <rowFields count="1">
    <field x="1"/>
  </rowFields>
  <rowItems count="3">
    <i>
      <x/>
    </i>
    <i>
      <x v="1"/>
    </i>
    <i t="grand">
      <x/>
    </i>
  </rowItems>
  <colFields count="1">
    <field x="2"/>
  </colFields>
  <colItems count="3">
    <i>
      <x/>
    </i>
    <i>
      <x v="1"/>
    </i>
    <i t="grand">
      <x/>
    </i>
  </colItems>
  <dataFields count="1">
    <dataField name="Count of grou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82BCD-A170-AF45-A162-C7C05A369F2A}" name="PivotTable3"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7:C30" firstHeaderRow="1" firstDataRow="2" firstDataCol="1"/>
  <pivotFields count="3">
    <pivotField dataField="1" showAll="0">
      <items count="3">
        <item x="0"/>
        <item x="1"/>
        <item t="default"/>
      </items>
    </pivotField>
    <pivotField axis="axisRow" showAll="0">
      <items count="3">
        <item x="0"/>
        <item x="1"/>
        <item t="default"/>
      </items>
    </pivotField>
    <pivotField axis="axisCol" showAll="0">
      <items count="3">
        <item x="0"/>
        <item x="1"/>
        <item t="default"/>
      </items>
    </pivotField>
  </pivotFields>
  <rowFields count="1">
    <field x="1"/>
  </rowFields>
  <rowItems count="2">
    <i>
      <x/>
    </i>
    <i>
      <x v="1"/>
    </i>
  </rowItems>
  <colFields count="1">
    <field x="2"/>
  </colFields>
  <colItems count="2">
    <i>
      <x/>
    </i>
    <i>
      <x v="1"/>
    </i>
  </colItems>
  <dataFields count="1">
    <dataField name="Count of website version" fld="0" subtotal="count" baseField="0" baseItem="0"/>
  </dataFields>
  <formats count="2">
    <format dxfId="11">
      <pivotArea type="all" dataOnly="0" outline="0" fieldPosition="0"/>
    </format>
    <format dxfId="1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1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6">
      <calculatedColumnFormula>IF(Grammys[[#This Row],[date]] &gt;= DATE(2022, 2, 1), "Grammys", "Grammys + TRA")</calculatedColumnFormula>
    </tableColumn>
    <tableColumn id="14" xr3:uid="{AC78FC70-0882-C040-AD9E-A3D856CB9C86}" name="mobile_visitors" dataDxfId="15">
      <calculatedColumnFormula>_xlfn.XLOOKUP(Grammys[[#This Row],[date]], mobile_visits[date], mobile_visits[mobile_visitors],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Q1:R516" totalsRowShown="0">
  <autoFilter ref="Q1:R516" xr:uid="{C3080C28-F79D-0A4A-A3D0-B99E252B6C18}"/>
  <tableColumns count="2">
    <tableColumn id="1" xr3:uid="{EC53E6C1-1ADE-FD4A-A0E7-1AE686D24C06}" name="date" dataDxfId="1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13"/>
    <tableColumn id="9" xr3:uid="{ABD538BA-FD6F-2E44-80B1-1FE9B22C2FD7}" name="year" dataDxfId="1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K1:M7897" totalsRowShown="0" headerRowDxfId="9">
  <autoFilter ref="K1:M7897" xr:uid="{8DD35578-AA55-8B49-B781-E15C94F21989}"/>
  <tableColumns count="3">
    <tableColumn id="3" xr3:uid="{92D5925D-EFF7-5F46-A0D0-2FA1BC228FF8}" name="website version" dataDxfId="8"/>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7">
  <autoFilter ref="A3:B12" xr:uid="{5CF0ADC4-3012-1E46-951D-2AAEC7938CC5}"/>
  <tableColumns count="2">
    <tableColumn id="1" xr3:uid="{4FFA6560-E56F-DA4F-93F7-F451F2D0E288}" name="column name" dataDxfId="6"/>
    <tableColumn id="2" xr3:uid="{A5C68222-776A-CE49-BAD0-EBE398739965}" name="description" dataDxfId="5"/>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4">
  <autoFilter ref="A16:B25" xr:uid="{6A4EAF1D-9ED9-CA4D-B30F-A484FAA09A6D}"/>
  <tableColumns count="2">
    <tableColumn id="1" xr3:uid="{AA87D882-014A-3D49-BECD-5CBC855112D5}" name="column name" dataDxfId="3"/>
    <tableColumn id="2" xr3:uid="{A5530A4F-FE67-A247-B741-153C64057453}" name="description" dataDxfId="2"/>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08E1-3940-DC48-8BF3-5C2058A6A185}">
  <dimension ref="A1:G73"/>
  <sheetViews>
    <sheetView zoomScaleNormal="100" workbookViewId="0">
      <selection activeCell="K11" sqref="K11"/>
    </sheetView>
  </sheetViews>
  <sheetFormatPr baseColWidth="10" defaultRowHeight="16" x14ac:dyDescent="0.2"/>
  <cols>
    <col min="1" max="1" width="30" bestFit="1" customWidth="1"/>
    <col min="2" max="2" width="17.5" bestFit="1" customWidth="1"/>
    <col min="3" max="3" width="12.5" bestFit="1" customWidth="1"/>
    <col min="4" max="4" width="22.33203125" bestFit="1" customWidth="1"/>
    <col min="6" max="6" width="15" bestFit="1" customWidth="1"/>
    <col min="7" max="7" width="16.83203125" bestFit="1" customWidth="1"/>
  </cols>
  <sheetData>
    <row r="1" spans="1:7" ht="23" x14ac:dyDescent="0.2">
      <c r="A1" s="53" t="s">
        <v>67</v>
      </c>
      <c r="B1" s="53"/>
      <c r="C1" s="53"/>
      <c r="D1" s="53"/>
      <c r="E1" s="53"/>
      <c r="F1" s="53"/>
      <c r="G1" s="53"/>
    </row>
    <row r="2" spans="1:7" x14ac:dyDescent="0.2">
      <c r="A2" s="54" t="s">
        <v>91</v>
      </c>
      <c r="B2" s="54"/>
      <c r="C2" s="54"/>
      <c r="D2" s="54"/>
      <c r="E2" s="54"/>
      <c r="F2" s="54"/>
      <c r="G2" s="54"/>
    </row>
    <row r="4" spans="1:7" x14ac:dyDescent="0.2">
      <c r="A4" s="51" t="s">
        <v>68</v>
      </c>
      <c r="B4" s="51"/>
      <c r="C4" s="51"/>
      <c r="D4" s="51"/>
      <c r="E4" s="51"/>
      <c r="F4" s="51"/>
      <c r="G4" s="51"/>
    </row>
    <row r="6" spans="1:7" ht="16" customHeight="1" x14ac:dyDescent="0.2">
      <c r="A6" s="49" t="s">
        <v>87</v>
      </c>
      <c r="B6" s="49"/>
      <c r="C6" s="49"/>
      <c r="D6" s="49"/>
      <c r="E6" s="49"/>
      <c r="F6" s="49"/>
      <c r="G6" s="49"/>
    </row>
    <row r="7" spans="1:7" x14ac:dyDescent="0.2">
      <c r="A7" s="49"/>
      <c r="B7" s="49"/>
      <c r="C7" s="49"/>
      <c r="D7" s="49"/>
      <c r="E7" s="49"/>
      <c r="F7" s="49"/>
      <c r="G7" s="49"/>
    </row>
    <row r="8" spans="1:7" x14ac:dyDescent="0.2">
      <c r="A8" s="49"/>
      <c r="B8" s="49"/>
      <c r="C8" s="49"/>
      <c r="D8" s="49"/>
      <c r="E8" s="49"/>
      <c r="F8" s="49"/>
      <c r="G8" s="49"/>
    </row>
    <row r="10" spans="1:7" x14ac:dyDescent="0.2">
      <c r="A10" s="51" t="s">
        <v>77</v>
      </c>
      <c r="B10" s="51"/>
      <c r="C10" s="51"/>
      <c r="D10" s="51"/>
      <c r="E10" s="51"/>
      <c r="F10" s="51"/>
      <c r="G10" s="51"/>
    </row>
    <row r="31" spans="1:7" ht="16" customHeight="1" x14ac:dyDescent="0.2">
      <c r="A31" s="50" t="s">
        <v>86</v>
      </c>
      <c r="B31" s="50"/>
      <c r="C31" s="50"/>
      <c r="D31" s="50"/>
      <c r="F31" s="25" t="s">
        <v>62</v>
      </c>
      <c r="G31" s="26" t="s">
        <v>64</v>
      </c>
    </row>
    <row r="32" spans="1:7" x14ac:dyDescent="0.2">
      <c r="A32" s="50"/>
      <c r="B32" s="50"/>
      <c r="C32" s="50"/>
      <c r="D32" s="50"/>
      <c r="F32" s="28" t="s">
        <v>21</v>
      </c>
      <c r="G32" s="29">
        <v>1389590.2307692308</v>
      </c>
    </row>
    <row r="33" spans="1:7" x14ac:dyDescent="0.2">
      <c r="A33" s="50"/>
      <c r="B33" s="50"/>
      <c r="C33" s="50"/>
      <c r="D33" s="50"/>
      <c r="F33" s="28" t="s">
        <v>20</v>
      </c>
      <c r="G33" s="29">
        <v>32388.276942893946</v>
      </c>
    </row>
    <row r="34" spans="1:7" x14ac:dyDescent="0.2">
      <c r="A34" s="50"/>
      <c r="B34" s="50"/>
      <c r="C34" s="50"/>
      <c r="D34" s="50"/>
      <c r="F34" s="20" t="s">
        <v>78</v>
      </c>
      <c r="G34" s="30">
        <f>GETPIVOTDATA("visitors",$F$31,"event_type","Grammy Awards") / GETPIVOTDATA("visitors",$F$31,"event_type","Regular Day")</f>
        <v>42.904111052876175</v>
      </c>
    </row>
    <row r="35" spans="1:7" x14ac:dyDescent="0.2">
      <c r="A35" s="50"/>
      <c r="B35" s="50"/>
      <c r="C35" s="50"/>
      <c r="D35" s="50"/>
    </row>
    <row r="37" spans="1:7" x14ac:dyDescent="0.2">
      <c r="A37" s="51" t="s">
        <v>79</v>
      </c>
      <c r="B37" s="51"/>
      <c r="C37" s="51"/>
      <c r="D37" s="51"/>
      <c r="E37" s="51"/>
      <c r="F37" s="51"/>
      <c r="G37" s="51"/>
    </row>
    <row r="39" spans="1:7" ht="16" customHeight="1" x14ac:dyDescent="0.2">
      <c r="A39" s="49" t="s">
        <v>69</v>
      </c>
      <c r="B39" s="49"/>
      <c r="C39" s="49"/>
      <c r="D39" s="49"/>
      <c r="E39" s="49"/>
      <c r="F39" s="49"/>
      <c r="G39" s="49"/>
    </row>
    <row r="40" spans="1:7" x14ac:dyDescent="0.2">
      <c r="A40" s="49"/>
      <c r="B40" s="49"/>
      <c r="C40" s="49"/>
      <c r="D40" s="49"/>
      <c r="E40" s="49"/>
      <c r="F40" s="49"/>
      <c r="G40" s="49"/>
    </row>
    <row r="42" spans="1:7" x14ac:dyDescent="0.2">
      <c r="A42" s="21" t="s">
        <v>70</v>
      </c>
      <c r="B42" s="21" t="s">
        <v>71</v>
      </c>
      <c r="C42" s="21" t="s">
        <v>72</v>
      </c>
      <c r="D42" s="21" t="s">
        <v>73</v>
      </c>
    </row>
    <row r="43" spans="1:7" x14ac:dyDescent="0.2">
      <c r="A43" s="31" t="s">
        <v>74</v>
      </c>
      <c r="B43" s="32">
        <f>SUMIF(Grammys[website_content], "Grammys + TRA", Grammys[pageviews]) / SUMIF(Grammys[website_content], "Grammys + TRA", Grammys[sessions])</f>
        <v>1.8606084239751572</v>
      </c>
      <c r="C43" s="33">
        <f>SUMIF(Grammys[website_content], "Grammys + TRA", Grammys[bounced_sessions]) / SUMIF(Grammys[website_content], "Grammys + TRA", Grammys[sessions])</f>
        <v>0.41584428207045615</v>
      </c>
      <c r="D43" s="32">
        <f>AVERAGEIF(Grammys[website_content], "Grammys + TRA", Grammys[avg_session_duration_secs])</f>
        <v>102.85352719439958</v>
      </c>
    </row>
    <row r="44" spans="1:7" x14ac:dyDescent="0.2">
      <c r="A44" s="34" t="s">
        <v>75</v>
      </c>
      <c r="B44" s="35">
        <f>SUMIF(Grammys[website_content], "Grammys", Grammys[pageviews]) / SUMIF(Grammys[website_content], "Grammys", Grammys[sessions])</f>
        <v>2.2532666845245313</v>
      </c>
      <c r="C44" s="36">
        <f>SUMIF(Grammys[website_content], "Grammys", Grammys[bounced_sessions]) / SUMIF(Grammys[website_content], "Grammys", Grammys[sessions])</f>
        <v>0.40158614333215198</v>
      </c>
      <c r="D44" s="35">
        <f>AVERAGEIF(Grammys[website_content], "Grammys", Grammys[avg_session_duration_secs])</f>
        <v>82.985567010309282</v>
      </c>
    </row>
    <row r="45" spans="1:7" x14ac:dyDescent="0.2">
      <c r="A45" s="22" t="s">
        <v>76</v>
      </c>
      <c r="B45" s="23">
        <f>SUM(TRA[pageviews]) / SUM(TRA[sessions])</f>
        <v>2.7792846214664899</v>
      </c>
      <c r="C45" s="24">
        <f>SUM(TRA[bounced_sessions]) / SUM(TRA[sessions])</f>
        <v>0.3367192393391451</v>
      </c>
      <c r="D45" s="23">
        <f>AVERAGE(TRA[avg_session_duration_secs])</f>
        <v>128.50309278350517</v>
      </c>
    </row>
    <row r="47" spans="1:7" ht="16" customHeight="1" x14ac:dyDescent="0.2">
      <c r="A47" s="55" t="s">
        <v>89</v>
      </c>
      <c r="B47" s="55"/>
      <c r="C47" s="55"/>
      <c r="D47" s="55"/>
      <c r="E47" s="55"/>
      <c r="F47" s="55"/>
      <c r="G47" s="55"/>
    </row>
    <row r="48" spans="1:7" x14ac:dyDescent="0.2">
      <c r="A48" s="55"/>
      <c r="B48" s="55"/>
      <c r="C48" s="55"/>
      <c r="D48" s="55"/>
      <c r="E48" s="55"/>
      <c r="F48" s="55"/>
      <c r="G48" s="55"/>
    </row>
    <row r="49" spans="1:7" x14ac:dyDescent="0.2">
      <c r="A49" s="55"/>
      <c r="B49" s="55"/>
      <c r="C49" s="55"/>
      <c r="D49" s="55"/>
      <c r="E49" s="55"/>
      <c r="F49" s="55"/>
      <c r="G49" s="55"/>
    </row>
    <row r="50" spans="1:7" x14ac:dyDescent="0.2">
      <c r="A50" s="55"/>
      <c r="B50" s="55"/>
      <c r="C50" s="55"/>
      <c r="D50" s="55"/>
      <c r="E50" s="55"/>
      <c r="F50" s="55"/>
      <c r="G50" s="55"/>
    </row>
    <row r="51" spans="1:7" x14ac:dyDescent="0.2">
      <c r="A51" s="55"/>
      <c r="B51" s="55"/>
      <c r="C51" s="55"/>
      <c r="D51" s="55"/>
      <c r="E51" s="55"/>
      <c r="F51" s="55"/>
      <c r="G51" s="55"/>
    </row>
    <row r="53" spans="1:7" x14ac:dyDescent="0.2">
      <c r="A53" s="51" t="s">
        <v>80</v>
      </c>
      <c r="B53" s="51"/>
      <c r="C53" s="51"/>
      <c r="D53" s="51"/>
      <c r="E53" s="51"/>
      <c r="F53" s="51"/>
      <c r="G53" s="51"/>
    </row>
    <row r="55" spans="1:7" x14ac:dyDescent="0.2">
      <c r="A55" s="21" t="s">
        <v>81</v>
      </c>
      <c r="B55" s="21" t="s">
        <v>82</v>
      </c>
    </row>
    <row r="56" spans="1:7" x14ac:dyDescent="0.2">
      <c r="A56" s="31" t="s">
        <v>83</v>
      </c>
      <c r="B56" s="37">
        <f>SUMIF(Grammys[website_content],"Grammys",Grammys[mobile_visitors])/SUMIF(Grammys[website_content],"Grammys",Grammys[visitors])</f>
        <v>0.73692174841859626</v>
      </c>
    </row>
    <row r="57" spans="1:7" x14ac:dyDescent="0.2">
      <c r="A57" s="38" t="s">
        <v>84</v>
      </c>
      <c r="B57" s="39">
        <f>1 - B56</f>
        <v>0.26307825158140374</v>
      </c>
    </row>
    <row r="58" spans="1:7" x14ac:dyDescent="0.2">
      <c r="A58" s="18"/>
      <c r="B58" s="19"/>
    </row>
    <row r="59" spans="1:7" x14ac:dyDescent="0.2">
      <c r="A59" s="52" t="s">
        <v>88</v>
      </c>
      <c r="B59" s="52"/>
      <c r="C59" s="52"/>
      <c r="D59" s="52"/>
      <c r="E59" s="52"/>
      <c r="F59" s="52"/>
      <c r="G59" s="52"/>
    </row>
    <row r="60" spans="1:7" x14ac:dyDescent="0.2">
      <c r="A60" s="52"/>
      <c r="B60" s="52"/>
      <c r="C60" s="52"/>
      <c r="D60" s="52"/>
      <c r="E60" s="52"/>
      <c r="F60" s="52"/>
      <c r="G60" s="52"/>
    </row>
    <row r="61" spans="1:7" x14ac:dyDescent="0.2">
      <c r="A61" s="52"/>
      <c r="B61" s="52"/>
      <c r="C61" s="52"/>
      <c r="D61" s="52"/>
      <c r="E61" s="52"/>
      <c r="F61" s="52"/>
      <c r="G61" s="52"/>
    </row>
    <row r="62" spans="1:7" x14ac:dyDescent="0.2">
      <c r="A62" s="52"/>
      <c r="B62" s="52"/>
      <c r="C62" s="52"/>
      <c r="D62" s="52"/>
      <c r="E62" s="52"/>
      <c r="F62" s="52"/>
      <c r="G62" s="52"/>
    </row>
    <row r="63" spans="1:7" x14ac:dyDescent="0.2">
      <c r="A63" s="27"/>
      <c r="B63" s="27"/>
      <c r="C63" s="27"/>
      <c r="D63" s="27"/>
      <c r="E63" s="27"/>
      <c r="F63" s="27"/>
      <c r="G63" s="27"/>
    </row>
    <row r="64" spans="1:7" x14ac:dyDescent="0.2">
      <c r="A64" s="51" t="s">
        <v>85</v>
      </c>
      <c r="B64" s="51"/>
      <c r="C64" s="51"/>
      <c r="D64" s="51"/>
      <c r="E64" s="51"/>
      <c r="F64" s="51"/>
      <c r="G64" s="51"/>
    </row>
    <row r="66" spans="1:7" ht="16" customHeight="1" x14ac:dyDescent="0.2">
      <c r="A66" s="48" t="s">
        <v>90</v>
      </c>
      <c r="B66" s="48"/>
      <c r="C66" s="48"/>
      <c r="D66" s="48"/>
      <c r="E66" s="48"/>
      <c r="F66" s="48"/>
      <c r="G66" s="48"/>
    </row>
    <row r="67" spans="1:7" x14ac:dyDescent="0.2">
      <c r="A67" s="48"/>
      <c r="B67" s="48"/>
      <c r="C67" s="48"/>
      <c r="D67" s="48"/>
      <c r="E67" s="48"/>
      <c r="F67" s="48"/>
      <c r="G67" s="48"/>
    </row>
    <row r="68" spans="1:7" x14ac:dyDescent="0.2">
      <c r="A68" s="48"/>
      <c r="B68" s="48"/>
      <c r="C68" s="48"/>
      <c r="D68" s="48"/>
      <c r="E68" s="48"/>
      <c r="F68" s="48"/>
      <c r="G68" s="48"/>
    </row>
    <row r="69" spans="1:7" x14ac:dyDescent="0.2">
      <c r="A69" s="48"/>
      <c r="B69" s="48"/>
      <c r="C69" s="48"/>
      <c r="D69" s="48"/>
      <c r="E69" s="48"/>
      <c r="F69" s="48"/>
      <c r="G69" s="48"/>
    </row>
    <row r="70" spans="1:7" x14ac:dyDescent="0.2">
      <c r="A70" s="48"/>
      <c r="B70" s="48"/>
      <c r="C70" s="48"/>
      <c r="D70" s="48"/>
      <c r="E70" s="48"/>
      <c r="F70" s="48"/>
      <c r="G70" s="48"/>
    </row>
    <row r="71" spans="1:7" x14ac:dyDescent="0.2">
      <c r="A71" s="48"/>
      <c r="B71" s="48"/>
      <c r="C71" s="48"/>
      <c r="D71" s="48"/>
      <c r="E71" s="48"/>
      <c r="F71" s="48"/>
      <c r="G71" s="48"/>
    </row>
    <row r="72" spans="1:7" x14ac:dyDescent="0.2">
      <c r="A72" s="48"/>
      <c r="B72" s="48"/>
      <c r="C72" s="48"/>
      <c r="D72" s="48"/>
      <c r="E72" s="48"/>
      <c r="F72" s="48"/>
      <c r="G72" s="48"/>
    </row>
    <row r="73" spans="1:7" x14ac:dyDescent="0.2">
      <c r="A73" s="48"/>
      <c r="B73" s="48"/>
      <c r="C73" s="48"/>
      <c r="D73" s="48"/>
      <c r="E73" s="48"/>
      <c r="F73" s="48"/>
      <c r="G73" s="48"/>
    </row>
  </sheetData>
  <mergeCells count="13">
    <mergeCell ref="A1:G1"/>
    <mergeCell ref="A2:G2"/>
    <mergeCell ref="A4:G4"/>
    <mergeCell ref="A10:G10"/>
    <mergeCell ref="A47:G51"/>
    <mergeCell ref="A66:G73"/>
    <mergeCell ref="A6:G8"/>
    <mergeCell ref="A39:G40"/>
    <mergeCell ref="A31:D35"/>
    <mergeCell ref="A37:G37"/>
    <mergeCell ref="A53:G53"/>
    <mergeCell ref="A64:G64"/>
    <mergeCell ref="A59:G6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2343"/>
  <sheetViews>
    <sheetView topLeftCell="B1" zoomScaleNormal="100" workbookViewId="0">
      <pane ySplit="1" topLeftCell="A2" activePane="bottomLeft" state="frozen"/>
      <selection pane="bottomLeft" activeCell="L22" sqref="L22"/>
    </sheetView>
  </sheetViews>
  <sheetFormatPr baseColWidth="10" defaultRowHeight="16" x14ac:dyDescent="0.2"/>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1" max="11" width="15" bestFit="1" customWidth="1"/>
    <col min="12" max="12" width="16.83203125" bestFit="1" customWidth="1"/>
    <col min="18" max="18" width="16.33203125" bestFit="1" customWidth="1"/>
  </cols>
  <sheetData>
    <row r="1" spans="1:18" x14ac:dyDescent="0.2">
      <c r="A1" t="s">
        <v>0</v>
      </c>
      <c r="B1" t="s">
        <v>1</v>
      </c>
      <c r="C1" t="s">
        <v>2</v>
      </c>
      <c r="D1" t="s">
        <v>3</v>
      </c>
      <c r="E1" t="s">
        <v>4</v>
      </c>
      <c r="F1" t="s">
        <v>5</v>
      </c>
      <c r="G1" t="s">
        <v>22</v>
      </c>
      <c r="H1" s="3" t="s">
        <v>23</v>
      </c>
      <c r="I1" s="3" t="s">
        <v>7</v>
      </c>
      <c r="Q1" t="s">
        <v>0</v>
      </c>
      <c r="R1" t="s">
        <v>7</v>
      </c>
    </row>
    <row r="2" spans="1:18" x14ac:dyDescent="0.2">
      <c r="A2" s="1">
        <v>42736</v>
      </c>
      <c r="B2">
        <v>9611</v>
      </c>
      <c r="C2">
        <v>21407</v>
      </c>
      <c r="D2">
        <v>10196</v>
      </c>
      <c r="E2">
        <v>6490</v>
      </c>
      <c r="F2">
        <v>86</v>
      </c>
      <c r="G2" t="s">
        <v>20</v>
      </c>
      <c r="H2" t="str">
        <f>IF(Grammys[[#This Row],[date]] &gt;= DATE(2022, 2, 1), "Grammys", "Grammys + TRA")</f>
        <v>Grammys + TRA</v>
      </c>
      <c r="I2">
        <f>_xlfn.XLOOKUP(Grammys[[#This Row],[date]], mobile_visits[date], mobile_visits[mobile_visitors], 0)</f>
        <v>0</v>
      </c>
      <c r="K2" s="56" t="s">
        <v>113</v>
      </c>
      <c r="L2" s="56"/>
      <c r="M2" s="56"/>
      <c r="N2" s="56"/>
      <c r="O2" s="56"/>
      <c r="Q2" s="1">
        <v>44593</v>
      </c>
      <c r="R2">
        <v>23014</v>
      </c>
    </row>
    <row r="3" spans="1:18" ht="16" customHeight="1" x14ac:dyDescent="0.2">
      <c r="A3" s="1">
        <v>42737</v>
      </c>
      <c r="B3">
        <v>10752</v>
      </c>
      <c r="C3">
        <v>25658</v>
      </c>
      <c r="D3">
        <v>11350</v>
      </c>
      <c r="E3">
        <v>7055</v>
      </c>
      <c r="F3">
        <v>100</v>
      </c>
      <c r="G3" t="s">
        <v>20</v>
      </c>
      <c r="H3" t="str">
        <f>IF(Grammys[[#This Row],[date]] &gt;= DATE(2022, 2, 1), "Grammys", "Grammys + TRA")</f>
        <v>Grammys + TRA</v>
      </c>
      <c r="I3">
        <f>_xlfn.XLOOKUP(Grammys[[#This Row],[date]], mobile_visits[date], mobile_visits[mobile_visitors], 0)</f>
        <v>0</v>
      </c>
      <c r="K3" s="56"/>
      <c r="L3" s="56"/>
      <c r="M3" s="56"/>
      <c r="N3" s="56"/>
      <c r="O3" s="56"/>
      <c r="Q3" s="1">
        <v>44594</v>
      </c>
      <c r="R3">
        <v>19951</v>
      </c>
    </row>
    <row r="4" spans="1:18" x14ac:dyDescent="0.2">
      <c r="A4" s="1">
        <v>42738</v>
      </c>
      <c r="B4">
        <v>11425</v>
      </c>
      <c r="C4">
        <v>27062</v>
      </c>
      <c r="D4">
        <v>12215</v>
      </c>
      <c r="E4">
        <v>7569</v>
      </c>
      <c r="F4">
        <v>92</v>
      </c>
      <c r="G4" t="s">
        <v>20</v>
      </c>
      <c r="H4" t="str">
        <f>IF(Grammys[[#This Row],[date]] &gt;= DATE(2022, 2, 1), "Grammys", "Grammys + TRA")</f>
        <v>Grammys + TRA</v>
      </c>
      <c r="I4">
        <f>_xlfn.XLOOKUP(Grammys[[#This Row],[date]], mobile_visits[date], mobile_visits[mobile_visitors], 0)</f>
        <v>0</v>
      </c>
      <c r="K4" s="56"/>
      <c r="L4" s="56"/>
      <c r="M4" s="56"/>
      <c r="N4" s="56"/>
      <c r="O4" s="56"/>
      <c r="Q4" s="1">
        <v>44595</v>
      </c>
      <c r="R4">
        <v>21567</v>
      </c>
    </row>
    <row r="5" spans="1:18" ht="16" customHeight="1" x14ac:dyDescent="0.2">
      <c r="A5" s="1">
        <v>42739</v>
      </c>
      <c r="B5">
        <v>13098</v>
      </c>
      <c r="C5">
        <v>29189</v>
      </c>
      <c r="D5">
        <v>13852</v>
      </c>
      <c r="E5">
        <v>8929</v>
      </c>
      <c r="F5">
        <v>90</v>
      </c>
      <c r="G5" t="s">
        <v>20</v>
      </c>
      <c r="H5" t="str">
        <f>IF(Grammys[[#This Row],[date]] &gt;= DATE(2022, 2, 1), "Grammys", "Grammys + TRA")</f>
        <v>Grammys + TRA</v>
      </c>
      <c r="I5">
        <f>_xlfn.XLOOKUP(Grammys[[#This Row],[date]], mobile_visits[date], mobile_visits[mobile_visitors], 0)</f>
        <v>0</v>
      </c>
      <c r="K5" s="56"/>
      <c r="L5" s="56"/>
      <c r="M5" s="56"/>
      <c r="N5" s="56"/>
      <c r="O5" s="56"/>
      <c r="Q5" s="1">
        <v>44596</v>
      </c>
      <c r="R5">
        <v>18362</v>
      </c>
    </row>
    <row r="6" spans="1:18" x14ac:dyDescent="0.2">
      <c r="A6" s="1">
        <v>42740</v>
      </c>
      <c r="B6">
        <v>12234</v>
      </c>
      <c r="C6">
        <v>28288</v>
      </c>
      <c r="D6">
        <v>12990</v>
      </c>
      <c r="E6">
        <v>8105</v>
      </c>
      <c r="F6">
        <v>95</v>
      </c>
      <c r="G6" t="s">
        <v>20</v>
      </c>
      <c r="H6" t="str">
        <f>IF(Grammys[[#This Row],[date]] &gt;= DATE(2022, 2, 1), "Grammys", "Grammys + TRA")</f>
        <v>Grammys + TRA</v>
      </c>
      <c r="I6">
        <f>_xlfn.XLOOKUP(Grammys[[#This Row],[date]], mobile_visits[date], mobile_visits[mobile_visitors], 0)</f>
        <v>0</v>
      </c>
      <c r="K6" s="56"/>
      <c r="L6" s="56"/>
      <c r="M6" s="56"/>
      <c r="N6" s="56"/>
      <c r="O6" s="56"/>
      <c r="Q6" s="1">
        <v>44597</v>
      </c>
      <c r="R6">
        <v>12590</v>
      </c>
    </row>
    <row r="7" spans="1:18" x14ac:dyDescent="0.2">
      <c r="A7" s="1">
        <v>42741</v>
      </c>
      <c r="B7">
        <v>11461</v>
      </c>
      <c r="C7">
        <v>28022</v>
      </c>
      <c r="D7">
        <v>12309</v>
      </c>
      <c r="E7">
        <v>7500</v>
      </c>
      <c r="F7">
        <v>95</v>
      </c>
      <c r="G7" t="s">
        <v>20</v>
      </c>
      <c r="H7" t="str">
        <f>IF(Grammys[[#This Row],[date]] &gt;= DATE(2022, 2, 1), "Grammys", "Grammys + TRA")</f>
        <v>Grammys + TRA</v>
      </c>
      <c r="I7">
        <f>_xlfn.XLOOKUP(Grammys[[#This Row],[date]], mobile_visits[date], mobile_visits[mobile_visitors], 0)</f>
        <v>0</v>
      </c>
      <c r="K7" s="56"/>
      <c r="L7" s="56"/>
      <c r="M7" s="56"/>
      <c r="N7" s="56"/>
      <c r="O7" s="56"/>
      <c r="Q7" s="1">
        <v>44598</v>
      </c>
      <c r="R7">
        <v>12316</v>
      </c>
    </row>
    <row r="8" spans="1:18" x14ac:dyDescent="0.2">
      <c r="A8" s="1">
        <v>42742</v>
      </c>
      <c r="B8">
        <v>11183</v>
      </c>
      <c r="C8">
        <v>27491</v>
      </c>
      <c r="D8">
        <v>11993</v>
      </c>
      <c r="E8">
        <v>7287</v>
      </c>
      <c r="F8">
        <v>94</v>
      </c>
      <c r="G8" t="s">
        <v>20</v>
      </c>
      <c r="H8" t="str">
        <f>IF(Grammys[[#This Row],[date]] &gt;= DATE(2022, 2, 1), "Grammys", "Grammys + TRA")</f>
        <v>Grammys + TRA</v>
      </c>
      <c r="I8">
        <f>_xlfn.XLOOKUP(Grammys[[#This Row],[date]], mobile_visits[date], mobile_visits[mobile_visitors], 0)</f>
        <v>0</v>
      </c>
      <c r="Q8" s="1">
        <v>44599</v>
      </c>
      <c r="R8">
        <v>10416</v>
      </c>
    </row>
    <row r="9" spans="1:18" x14ac:dyDescent="0.2">
      <c r="A9" s="1">
        <v>42743</v>
      </c>
      <c r="B9">
        <v>16265</v>
      </c>
      <c r="C9">
        <v>38529</v>
      </c>
      <c r="D9">
        <v>17361</v>
      </c>
      <c r="E9">
        <v>10587</v>
      </c>
      <c r="F9">
        <v>84</v>
      </c>
      <c r="G9" t="s">
        <v>20</v>
      </c>
      <c r="H9" t="str">
        <f>IF(Grammys[[#This Row],[date]] &gt;= DATE(2022, 2, 1), "Grammys", "Grammys + TRA")</f>
        <v>Grammys + TRA</v>
      </c>
      <c r="I9">
        <f>_xlfn.XLOOKUP(Grammys[[#This Row],[date]], mobile_visits[date], mobile_visits[mobile_visitors], 0)</f>
        <v>0</v>
      </c>
      <c r="K9" s="57" t="s">
        <v>92</v>
      </c>
      <c r="L9" s="58"/>
      <c r="M9" s="58"/>
      <c r="N9" s="58"/>
      <c r="O9" s="58"/>
      <c r="Q9" s="1">
        <v>44600</v>
      </c>
      <c r="R9">
        <v>19299</v>
      </c>
    </row>
    <row r="10" spans="1:18" x14ac:dyDescent="0.2">
      <c r="A10" s="1">
        <v>42744</v>
      </c>
      <c r="B10">
        <v>17852</v>
      </c>
      <c r="C10">
        <v>40698</v>
      </c>
      <c r="D10">
        <v>18914</v>
      </c>
      <c r="E10">
        <v>11697</v>
      </c>
      <c r="F10">
        <v>87</v>
      </c>
      <c r="G10" t="s">
        <v>20</v>
      </c>
      <c r="H10" t="str">
        <f>IF(Grammys[[#This Row],[date]] &gt;= DATE(2022, 2, 1), "Grammys", "Grammys + TRA")</f>
        <v>Grammys + TRA</v>
      </c>
      <c r="I10">
        <f>_xlfn.XLOOKUP(Grammys[[#This Row],[date]], mobile_visits[date], mobile_visits[mobile_visitors], 0)</f>
        <v>0</v>
      </c>
      <c r="K10" s="58"/>
      <c r="L10" s="58"/>
      <c r="M10" s="58"/>
      <c r="N10" s="58"/>
      <c r="O10" s="58"/>
      <c r="Q10" s="1">
        <v>44601</v>
      </c>
      <c r="R10">
        <v>16050</v>
      </c>
    </row>
    <row r="11" spans="1:18" x14ac:dyDescent="0.2">
      <c r="A11" s="1">
        <v>42745</v>
      </c>
      <c r="B11">
        <v>14211</v>
      </c>
      <c r="C11">
        <v>33218</v>
      </c>
      <c r="D11">
        <v>15124</v>
      </c>
      <c r="E11">
        <v>9270</v>
      </c>
      <c r="F11">
        <v>96</v>
      </c>
      <c r="G11" t="s">
        <v>20</v>
      </c>
      <c r="H11" t="str">
        <f>IF(Grammys[[#This Row],[date]] &gt;= DATE(2022, 2, 1), "Grammys", "Grammys + TRA")</f>
        <v>Grammys + TRA</v>
      </c>
      <c r="I11">
        <f>_xlfn.XLOOKUP(Grammys[[#This Row],[date]], mobile_visits[date], mobile_visits[mobile_visitors], 0)</f>
        <v>0</v>
      </c>
      <c r="K11" s="58"/>
      <c r="L11" s="58"/>
      <c r="M11" s="58"/>
      <c r="N11" s="58"/>
      <c r="O11" s="58"/>
      <c r="Q11" s="1">
        <v>44602</v>
      </c>
      <c r="R11">
        <v>13590</v>
      </c>
    </row>
    <row r="12" spans="1:18" x14ac:dyDescent="0.2">
      <c r="A12" s="1">
        <v>42746</v>
      </c>
      <c r="B12">
        <v>13456</v>
      </c>
      <c r="C12">
        <v>30704</v>
      </c>
      <c r="D12">
        <v>14397</v>
      </c>
      <c r="E12">
        <v>8922</v>
      </c>
      <c r="F12">
        <v>99</v>
      </c>
      <c r="G12" t="s">
        <v>20</v>
      </c>
      <c r="H12" t="str">
        <f>IF(Grammys[[#This Row],[date]] &gt;= DATE(2022, 2, 1), "Grammys", "Grammys + TRA")</f>
        <v>Grammys + TRA</v>
      </c>
      <c r="I12">
        <f>_xlfn.XLOOKUP(Grammys[[#This Row],[date]], mobile_visits[date], mobile_visits[mobile_visitors], 0)</f>
        <v>0</v>
      </c>
      <c r="K12" s="58"/>
      <c r="L12" s="58"/>
      <c r="M12" s="58"/>
      <c r="N12" s="58"/>
      <c r="O12" s="58"/>
      <c r="Q12" s="1">
        <v>44603</v>
      </c>
      <c r="R12">
        <v>13393</v>
      </c>
    </row>
    <row r="13" spans="1:18" x14ac:dyDescent="0.2">
      <c r="A13" s="1">
        <v>42747</v>
      </c>
      <c r="B13">
        <v>13616</v>
      </c>
      <c r="C13">
        <v>31559</v>
      </c>
      <c r="D13">
        <v>14613</v>
      </c>
      <c r="E13">
        <v>9227</v>
      </c>
      <c r="F13">
        <v>98</v>
      </c>
      <c r="G13" t="s">
        <v>20</v>
      </c>
      <c r="H13" t="str">
        <f>IF(Grammys[[#This Row],[date]] &gt;= DATE(2022, 2, 1), "Grammys", "Grammys + TRA")</f>
        <v>Grammys + TRA</v>
      </c>
      <c r="I13">
        <f>_xlfn.XLOOKUP(Grammys[[#This Row],[date]], mobile_visits[date], mobile_visits[mobile_visitors], 0)</f>
        <v>0</v>
      </c>
      <c r="K13" s="58"/>
      <c r="L13" s="58"/>
      <c r="M13" s="58"/>
      <c r="N13" s="58"/>
      <c r="O13" s="58"/>
      <c r="Q13" s="1">
        <v>44604</v>
      </c>
      <c r="R13">
        <v>13824</v>
      </c>
    </row>
    <row r="14" spans="1:18" x14ac:dyDescent="0.2">
      <c r="A14" s="1">
        <v>42748</v>
      </c>
      <c r="B14">
        <v>11880</v>
      </c>
      <c r="C14">
        <v>27526</v>
      </c>
      <c r="D14">
        <v>12805</v>
      </c>
      <c r="E14">
        <v>8148</v>
      </c>
      <c r="F14">
        <v>97</v>
      </c>
      <c r="G14" t="s">
        <v>20</v>
      </c>
      <c r="H14" t="str">
        <f>IF(Grammys[[#This Row],[date]] &gt;= DATE(2022, 2, 1), "Grammys", "Grammys + TRA")</f>
        <v>Grammys + TRA</v>
      </c>
      <c r="I14">
        <f>_xlfn.XLOOKUP(Grammys[[#This Row],[date]], mobile_visits[date], mobile_visits[mobile_visitors], 0)</f>
        <v>0</v>
      </c>
      <c r="K14" s="58"/>
      <c r="L14" s="58"/>
      <c r="M14" s="58"/>
      <c r="N14" s="58"/>
      <c r="O14" s="58"/>
      <c r="Q14" s="1">
        <v>44605</v>
      </c>
      <c r="R14">
        <v>15704</v>
      </c>
    </row>
    <row r="15" spans="1:18" x14ac:dyDescent="0.2">
      <c r="A15" s="1">
        <v>42749</v>
      </c>
      <c r="B15">
        <v>11888</v>
      </c>
      <c r="C15">
        <v>27940</v>
      </c>
      <c r="D15">
        <v>12608</v>
      </c>
      <c r="E15">
        <v>7804</v>
      </c>
      <c r="F15">
        <v>93</v>
      </c>
      <c r="G15" t="s">
        <v>20</v>
      </c>
      <c r="H15" t="str">
        <f>IF(Grammys[[#This Row],[date]] &gt;= DATE(2022, 2, 1), "Grammys", "Grammys + TRA")</f>
        <v>Grammys + TRA</v>
      </c>
      <c r="I15">
        <f>_xlfn.XLOOKUP(Grammys[[#This Row],[date]], mobile_visits[date], mobile_visits[mobile_visitors], 0)</f>
        <v>0</v>
      </c>
      <c r="K15" s="58"/>
      <c r="L15" s="58"/>
      <c r="M15" s="58"/>
      <c r="N15" s="58"/>
      <c r="O15" s="58"/>
      <c r="Q15" s="1">
        <v>44606</v>
      </c>
      <c r="R15">
        <v>9362</v>
      </c>
    </row>
    <row r="16" spans="1:18" x14ac:dyDescent="0.2">
      <c r="A16" s="1">
        <v>42750</v>
      </c>
      <c r="B16">
        <v>12706</v>
      </c>
      <c r="C16">
        <v>29109</v>
      </c>
      <c r="D16">
        <v>13416</v>
      </c>
      <c r="E16">
        <v>8349</v>
      </c>
      <c r="F16">
        <v>96</v>
      </c>
      <c r="G16" t="s">
        <v>20</v>
      </c>
      <c r="H16" t="str">
        <f>IF(Grammys[[#This Row],[date]] &gt;= DATE(2022, 2, 1), "Grammys", "Grammys + TRA")</f>
        <v>Grammys + TRA</v>
      </c>
      <c r="I16">
        <f>_xlfn.XLOOKUP(Grammys[[#This Row],[date]], mobile_visits[date], mobile_visits[mobile_visitors], 0)</f>
        <v>0</v>
      </c>
      <c r="Q16" s="1">
        <v>44607</v>
      </c>
      <c r="R16">
        <v>9596</v>
      </c>
    </row>
    <row r="17" spans="1:18" x14ac:dyDescent="0.2">
      <c r="A17" s="1">
        <v>42751</v>
      </c>
      <c r="B17">
        <v>12691</v>
      </c>
      <c r="C17">
        <v>30284</v>
      </c>
      <c r="D17">
        <v>13525</v>
      </c>
      <c r="E17">
        <v>8282</v>
      </c>
      <c r="F17">
        <v>100</v>
      </c>
      <c r="G17" t="s">
        <v>20</v>
      </c>
      <c r="H17" t="str">
        <f>IF(Grammys[[#This Row],[date]] &gt;= DATE(2022, 2, 1), "Grammys", "Grammys + TRA")</f>
        <v>Grammys + TRA</v>
      </c>
      <c r="I17">
        <f>_xlfn.XLOOKUP(Grammys[[#This Row],[date]], mobile_visits[date], mobile_visits[mobile_visitors], 0)</f>
        <v>0</v>
      </c>
      <c r="Q17" s="1">
        <v>44608</v>
      </c>
      <c r="R17">
        <v>11132</v>
      </c>
    </row>
    <row r="18" spans="1:18" x14ac:dyDescent="0.2">
      <c r="A18" s="1">
        <v>42752</v>
      </c>
      <c r="B18">
        <v>13260</v>
      </c>
      <c r="C18">
        <v>33596</v>
      </c>
      <c r="D18">
        <v>14260</v>
      </c>
      <c r="E18">
        <v>8514</v>
      </c>
      <c r="F18">
        <v>121</v>
      </c>
      <c r="G18" t="s">
        <v>20</v>
      </c>
      <c r="H18" t="str">
        <f>IF(Grammys[[#This Row],[date]] &gt;= DATE(2022, 2, 1), "Grammys", "Grammys + TRA")</f>
        <v>Grammys + TRA</v>
      </c>
      <c r="I18">
        <f>_xlfn.XLOOKUP(Grammys[[#This Row],[date]], mobile_visits[date], mobile_visits[mobile_visitors], 0)</f>
        <v>0</v>
      </c>
      <c r="Q18" s="1">
        <v>44609</v>
      </c>
      <c r="R18">
        <v>10821</v>
      </c>
    </row>
    <row r="19" spans="1:18" x14ac:dyDescent="0.2">
      <c r="A19" s="1">
        <v>42753</v>
      </c>
      <c r="B19">
        <v>14483</v>
      </c>
      <c r="C19">
        <v>36586</v>
      </c>
      <c r="D19">
        <v>15809</v>
      </c>
      <c r="E19">
        <v>9494</v>
      </c>
      <c r="F19">
        <v>117</v>
      </c>
      <c r="G19" t="s">
        <v>20</v>
      </c>
      <c r="H19" t="str">
        <f>IF(Grammys[[#This Row],[date]] &gt;= DATE(2022, 2, 1), "Grammys", "Grammys + TRA")</f>
        <v>Grammys + TRA</v>
      </c>
      <c r="I19">
        <f>_xlfn.XLOOKUP(Grammys[[#This Row],[date]], mobile_visits[date], mobile_visits[mobile_visitors], 0)</f>
        <v>0</v>
      </c>
      <c r="Q19" s="1">
        <v>44610</v>
      </c>
      <c r="R19">
        <v>8344</v>
      </c>
    </row>
    <row r="20" spans="1:18" x14ac:dyDescent="0.2">
      <c r="A20" s="1">
        <v>42754</v>
      </c>
      <c r="B20">
        <v>13551</v>
      </c>
      <c r="C20">
        <v>31964</v>
      </c>
      <c r="D20">
        <v>14694</v>
      </c>
      <c r="E20">
        <v>9118</v>
      </c>
      <c r="F20">
        <v>104</v>
      </c>
      <c r="G20" t="s">
        <v>20</v>
      </c>
      <c r="H20" t="str">
        <f>IF(Grammys[[#This Row],[date]] &gt;= DATE(2022, 2, 1), "Grammys", "Grammys + TRA")</f>
        <v>Grammys + TRA</v>
      </c>
      <c r="I20">
        <f>_xlfn.XLOOKUP(Grammys[[#This Row],[date]], mobile_visits[date], mobile_visits[mobile_visitors], 0)</f>
        <v>0</v>
      </c>
      <c r="Q20" s="1">
        <v>44611</v>
      </c>
      <c r="R20">
        <v>9054</v>
      </c>
    </row>
    <row r="21" spans="1:18" x14ac:dyDescent="0.2">
      <c r="A21" s="1">
        <v>42755</v>
      </c>
      <c r="B21">
        <v>13215</v>
      </c>
      <c r="C21">
        <v>32339</v>
      </c>
      <c r="D21">
        <v>14083</v>
      </c>
      <c r="E21">
        <v>8609</v>
      </c>
      <c r="F21">
        <v>99</v>
      </c>
      <c r="G21" t="s">
        <v>20</v>
      </c>
      <c r="H21" t="str">
        <f>IF(Grammys[[#This Row],[date]] &gt;= DATE(2022, 2, 1), "Grammys", "Grammys + TRA")</f>
        <v>Grammys + TRA</v>
      </c>
      <c r="I21">
        <f>_xlfn.XLOOKUP(Grammys[[#This Row],[date]], mobile_visits[date], mobile_visits[mobile_visitors], 0)</f>
        <v>0</v>
      </c>
      <c r="Q21" s="1">
        <v>44612</v>
      </c>
      <c r="R21">
        <v>10781</v>
      </c>
    </row>
    <row r="22" spans="1:18" x14ac:dyDescent="0.2">
      <c r="A22" s="1">
        <v>42756</v>
      </c>
      <c r="B22">
        <v>12578</v>
      </c>
      <c r="C22">
        <v>32504</v>
      </c>
      <c r="D22">
        <v>13725</v>
      </c>
      <c r="E22">
        <v>8135</v>
      </c>
      <c r="F22">
        <v>101</v>
      </c>
      <c r="G22" t="s">
        <v>20</v>
      </c>
      <c r="H22" t="str">
        <f>IF(Grammys[[#This Row],[date]] &gt;= DATE(2022, 2, 1), "Grammys", "Grammys + TRA")</f>
        <v>Grammys + TRA</v>
      </c>
      <c r="I22">
        <f>_xlfn.XLOOKUP(Grammys[[#This Row],[date]], mobile_visits[date], mobile_visits[mobile_visitors], 0)</f>
        <v>0</v>
      </c>
      <c r="Q22" s="1">
        <v>44613</v>
      </c>
      <c r="R22">
        <v>8657</v>
      </c>
    </row>
    <row r="23" spans="1:18" x14ac:dyDescent="0.2">
      <c r="A23" s="1">
        <v>42757</v>
      </c>
      <c r="B23">
        <v>16502</v>
      </c>
      <c r="C23">
        <v>42656</v>
      </c>
      <c r="D23">
        <v>17814</v>
      </c>
      <c r="E23">
        <v>10570</v>
      </c>
      <c r="F23">
        <v>93</v>
      </c>
      <c r="G23" t="s">
        <v>20</v>
      </c>
      <c r="H23" t="str">
        <f>IF(Grammys[[#This Row],[date]] &gt;= DATE(2022, 2, 1), "Grammys", "Grammys + TRA")</f>
        <v>Grammys + TRA</v>
      </c>
      <c r="I23">
        <f>_xlfn.XLOOKUP(Grammys[[#This Row],[date]], mobile_visits[date], mobile_visits[mobile_visitors], 0)</f>
        <v>0</v>
      </c>
      <c r="Q23" s="1">
        <v>44614</v>
      </c>
      <c r="R23">
        <v>9721</v>
      </c>
    </row>
    <row r="24" spans="1:18" x14ac:dyDescent="0.2">
      <c r="A24" s="1">
        <v>42758</v>
      </c>
      <c r="B24">
        <v>14620</v>
      </c>
      <c r="C24">
        <v>35936</v>
      </c>
      <c r="D24">
        <v>15755</v>
      </c>
      <c r="E24">
        <v>9463</v>
      </c>
      <c r="F24">
        <v>106</v>
      </c>
      <c r="G24" t="s">
        <v>20</v>
      </c>
      <c r="H24" t="str">
        <f>IF(Grammys[[#This Row],[date]] &gt;= DATE(2022, 2, 1), "Grammys", "Grammys + TRA")</f>
        <v>Grammys + TRA</v>
      </c>
      <c r="I24">
        <f>_xlfn.XLOOKUP(Grammys[[#This Row],[date]], mobile_visits[date], mobile_visits[mobile_visitors], 0)</f>
        <v>0</v>
      </c>
      <c r="Q24" s="1">
        <v>44615</v>
      </c>
      <c r="R24">
        <v>9813</v>
      </c>
    </row>
    <row r="25" spans="1:18" x14ac:dyDescent="0.2">
      <c r="A25" s="1">
        <v>42759</v>
      </c>
      <c r="B25">
        <v>17787</v>
      </c>
      <c r="C25">
        <v>43392</v>
      </c>
      <c r="D25">
        <v>19070</v>
      </c>
      <c r="E25">
        <v>11845</v>
      </c>
      <c r="F25">
        <v>106</v>
      </c>
      <c r="G25" t="s">
        <v>20</v>
      </c>
      <c r="H25" t="str">
        <f>IF(Grammys[[#This Row],[date]] &gt;= DATE(2022, 2, 1), "Grammys", "Grammys + TRA")</f>
        <v>Grammys + TRA</v>
      </c>
      <c r="I25">
        <f>_xlfn.XLOOKUP(Grammys[[#This Row],[date]], mobile_visits[date], mobile_visits[mobile_visitors], 0)</f>
        <v>0</v>
      </c>
      <c r="Q25" s="1">
        <v>44616</v>
      </c>
      <c r="R25">
        <v>8065</v>
      </c>
    </row>
    <row r="26" spans="1:18" x14ac:dyDescent="0.2">
      <c r="A26" s="1">
        <v>42760</v>
      </c>
      <c r="B26">
        <v>15447</v>
      </c>
      <c r="C26">
        <v>38741</v>
      </c>
      <c r="D26">
        <v>16650</v>
      </c>
      <c r="E26">
        <v>10094</v>
      </c>
      <c r="F26">
        <v>112</v>
      </c>
      <c r="G26" t="s">
        <v>20</v>
      </c>
      <c r="H26" t="str">
        <f>IF(Grammys[[#This Row],[date]] &gt;= DATE(2022, 2, 1), "Grammys", "Grammys + TRA")</f>
        <v>Grammys + TRA</v>
      </c>
      <c r="I26">
        <f>_xlfn.XLOOKUP(Grammys[[#This Row],[date]], mobile_visits[date], mobile_visits[mobile_visitors], 0)</f>
        <v>0</v>
      </c>
      <c r="Q26" s="1">
        <v>44617</v>
      </c>
      <c r="R26">
        <v>14550</v>
      </c>
    </row>
    <row r="27" spans="1:18" x14ac:dyDescent="0.2">
      <c r="A27" s="1">
        <v>42761</v>
      </c>
      <c r="B27">
        <v>15211</v>
      </c>
      <c r="C27">
        <v>35885</v>
      </c>
      <c r="D27">
        <v>16507</v>
      </c>
      <c r="E27">
        <v>10184</v>
      </c>
      <c r="F27">
        <v>111</v>
      </c>
      <c r="G27" t="s">
        <v>20</v>
      </c>
      <c r="H27" t="str">
        <f>IF(Grammys[[#This Row],[date]] &gt;= DATE(2022, 2, 1), "Grammys", "Grammys + TRA")</f>
        <v>Grammys + TRA</v>
      </c>
      <c r="I27">
        <f>_xlfn.XLOOKUP(Grammys[[#This Row],[date]], mobile_visits[date], mobile_visits[mobile_visitors], 0)</f>
        <v>0</v>
      </c>
      <c r="Q27" s="1">
        <v>44618</v>
      </c>
      <c r="R27">
        <v>11505</v>
      </c>
    </row>
    <row r="28" spans="1:18" x14ac:dyDescent="0.2">
      <c r="A28" s="1">
        <v>42762</v>
      </c>
      <c r="B28">
        <v>14007</v>
      </c>
      <c r="C28">
        <v>32563</v>
      </c>
      <c r="D28">
        <v>15147</v>
      </c>
      <c r="E28">
        <v>9337</v>
      </c>
      <c r="F28">
        <v>104</v>
      </c>
      <c r="G28" t="s">
        <v>20</v>
      </c>
      <c r="H28" t="str">
        <f>IF(Grammys[[#This Row],[date]] &gt;= DATE(2022, 2, 1), "Grammys", "Grammys + TRA")</f>
        <v>Grammys + TRA</v>
      </c>
      <c r="I28">
        <f>_xlfn.XLOOKUP(Grammys[[#This Row],[date]], mobile_visits[date], mobile_visits[mobile_visitors], 0)</f>
        <v>0</v>
      </c>
      <c r="Q28" s="1">
        <v>44619</v>
      </c>
      <c r="R28">
        <v>9702</v>
      </c>
    </row>
    <row r="29" spans="1:18" x14ac:dyDescent="0.2">
      <c r="A29" s="1">
        <v>42763</v>
      </c>
      <c r="B29">
        <v>12950</v>
      </c>
      <c r="C29">
        <v>30170</v>
      </c>
      <c r="D29">
        <v>13920</v>
      </c>
      <c r="E29">
        <v>8861</v>
      </c>
      <c r="F29">
        <v>101</v>
      </c>
      <c r="G29" t="s">
        <v>20</v>
      </c>
      <c r="H29" t="str">
        <f>IF(Grammys[[#This Row],[date]] &gt;= DATE(2022, 2, 1), "Grammys", "Grammys + TRA")</f>
        <v>Grammys + TRA</v>
      </c>
      <c r="I29">
        <f>_xlfn.XLOOKUP(Grammys[[#This Row],[date]], mobile_visits[date], mobile_visits[mobile_visitors], 0)</f>
        <v>0</v>
      </c>
      <c r="Q29" s="1">
        <v>44620</v>
      </c>
      <c r="R29">
        <v>9113</v>
      </c>
    </row>
    <row r="30" spans="1:18" x14ac:dyDescent="0.2">
      <c r="A30" s="1">
        <v>42764</v>
      </c>
      <c r="B30">
        <v>16137</v>
      </c>
      <c r="C30">
        <v>35206</v>
      </c>
      <c r="D30">
        <v>17316</v>
      </c>
      <c r="E30">
        <v>11180</v>
      </c>
      <c r="F30">
        <v>91</v>
      </c>
      <c r="G30" t="s">
        <v>20</v>
      </c>
      <c r="H30" t="str">
        <f>IF(Grammys[[#This Row],[date]] &gt;= DATE(2022, 2, 1), "Grammys", "Grammys + TRA")</f>
        <v>Grammys + TRA</v>
      </c>
      <c r="I30">
        <f>_xlfn.XLOOKUP(Grammys[[#This Row],[date]], mobile_visits[date], mobile_visits[mobile_visitors], 0)</f>
        <v>0</v>
      </c>
      <c r="Q30" s="1">
        <v>44621</v>
      </c>
      <c r="R30">
        <v>7336</v>
      </c>
    </row>
    <row r="31" spans="1:18" x14ac:dyDescent="0.2">
      <c r="A31" s="1">
        <v>42765</v>
      </c>
      <c r="B31">
        <v>18765</v>
      </c>
      <c r="C31">
        <v>45298</v>
      </c>
      <c r="D31">
        <v>20142</v>
      </c>
      <c r="E31">
        <v>12442</v>
      </c>
      <c r="F31">
        <v>105</v>
      </c>
      <c r="G31" t="s">
        <v>20</v>
      </c>
      <c r="H31" t="str">
        <f>IF(Grammys[[#This Row],[date]] &gt;= DATE(2022, 2, 1), "Grammys", "Grammys + TRA")</f>
        <v>Grammys + TRA</v>
      </c>
      <c r="I31">
        <f>_xlfn.XLOOKUP(Grammys[[#This Row],[date]], mobile_visits[date], mobile_visits[mobile_visitors], 0)</f>
        <v>0</v>
      </c>
      <c r="Q31" s="1">
        <v>44622</v>
      </c>
      <c r="R31">
        <v>7905</v>
      </c>
    </row>
    <row r="32" spans="1:18" x14ac:dyDescent="0.2">
      <c r="A32" s="1">
        <v>42766</v>
      </c>
      <c r="B32">
        <v>35148</v>
      </c>
      <c r="C32">
        <v>89209</v>
      </c>
      <c r="D32">
        <v>38493</v>
      </c>
      <c r="E32">
        <v>24474</v>
      </c>
      <c r="F32">
        <v>104</v>
      </c>
      <c r="G32" t="s">
        <v>20</v>
      </c>
      <c r="H32" t="str">
        <f>IF(Grammys[[#This Row],[date]] &gt;= DATE(2022, 2, 1), "Grammys", "Grammys + TRA")</f>
        <v>Grammys + TRA</v>
      </c>
      <c r="I32">
        <f>_xlfn.XLOOKUP(Grammys[[#This Row],[date]], mobile_visits[date], mobile_visits[mobile_visitors], 0)</f>
        <v>0</v>
      </c>
      <c r="Q32" s="1">
        <v>44623</v>
      </c>
      <c r="R32">
        <v>9374</v>
      </c>
    </row>
    <row r="33" spans="1:18" x14ac:dyDescent="0.2">
      <c r="A33" s="1">
        <v>42767</v>
      </c>
      <c r="B33">
        <v>28565</v>
      </c>
      <c r="C33">
        <v>69292</v>
      </c>
      <c r="D33">
        <v>31107</v>
      </c>
      <c r="E33">
        <v>19408</v>
      </c>
      <c r="F33">
        <v>98</v>
      </c>
      <c r="G33" t="s">
        <v>20</v>
      </c>
      <c r="H33" t="str">
        <f>IF(Grammys[[#This Row],[date]] &gt;= DATE(2022, 2, 1), "Grammys", "Grammys + TRA")</f>
        <v>Grammys + TRA</v>
      </c>
      <c r="I33">
        <f>_xlfn.XLOOKUP(Grammys[[#This Row],[date]], mobile_visits[date], mobile_visits[mobile_visitors], 0)</f>
        <v>0</v>
      </c>
      <c r="Q33" s="1">
        <v>44624</v>
      </c>
      <c r="R33">
        <v>10977</v>
      </c>
    </row>
    <row r="34" spans="1:18" x14ac:dyDescent="0.2">
      <c r="A34" s="1">
        <v>42768</v>
      </c>
      <c r="B34">
        <v>27502</v>
      </c>
      <c r="C34">
        <v>63795</v>
      </c>
      <c r="D34">
        <v>29756</v>
      </c>
      <c r="E34">
        <v>18955</v>
      </c>
      <c r="F34">
        <v>92</v>
      </c>
      <c r="G34" t="s">
        <v>20</v>
      </c>
      <c r="H34" t="str">
        <f>IF(Grammys[[#This Row],[date]] &gt;= DATE(2022, 2, 1), "Grammys", "Grammys + TRA")</f>
        <v>Grammys + TRA</v>
      </c>
      <c r="I34">
        <f>_xlfn.XLOOKUP(Grammys[[#This Row],[date]], mobile_visits[date], mobile_visits[mobile_visitors], 0)</f>
        <v>0</v>
      </c>
      <c r="Q34" s="1">
        <v>44625</v>
      </c>
      <c r="R34">
        <v>10404</v>
      </c>
    </row>
    <row r="35" spans="1:18" x14ac:dyDescent="0.2">
      <c r="A35" s="1">
        <v>42769</v>
      </c>
      <c r="B35">
        <v>22888</v>
      </c>
      <c r="C35">
        <v>54418</v>
      </c>
      <c r="D35">
        <v>24902</v>
      </c>
      <c r="E35">
        <v>15676</v>
      </c>
      <c r="F35">
        <v>102</v>
      </c>
      <c r="G35" t="s">
        <v>20</v>
      </c>
      <c r="H35" t="str">
        <f>IF(Grammys[[#This Row],[date]] &gt;= DATE(2022, 2, 1), "Grammys", "Grammys + TRA")</f>
        <v>Grammys + TRA</v>
      </c>
      <c r="I35">
        <f>_xlfn.XLOOKUP(Grammys[[#This Row],[date]], mobile_visits[date], mobile_visits[mobile_visitors], 0)</f>
        <v>0</v>
      </c>
      <c r="Q35" s="1">
        <v>44626</v>
      </c>
      <c r="R35">
        <v>9655</v>
      </c>
    </row>
    <row r="36" spans="1:18" x14ac:dyDescent="0.2">
      <c r="A36" s="1">
        <v>42770</v>
      </c>
      <c r="B36">
        <v>25069</v>
      </c>
      <c r="C36">
        <v>69341</v>
      </c>
      <c r="D36">
        <v>27585</v>
      </c>
      <c r="E36">
        <v>16849</v>
      </c>
      <c r="F36">
        <v>95</v>
      </c>
      <c r="G36" t="s">
        <v>20</v>
      </c>
      <c r="H36" t="str">
        <f>IF(Grammys[[#This Row],[date]] &gt;= DATE(2022, 2, 1), "Grammys", "Grammys + TRA")</f>
        <v>Grammys + TRA</v>
      </c>
      <c r="I36">
        <f>_xlfn.XLOOKUP(Grammys[[#This Row],[date]], mobile_visits[date], mobile_visits[mobile_visitors], 0)</f>
        <v>0</v>
      </c>
      <c r="Q36" s="1">
        <v>44627</v>
      </c>
      <c r="R36">
        <v>9351</v>
      </c>
    </row>
    <row r="37" spans="1:18" x14ac:dyDescent="0.2">
      <c r="A37" s="1">
        <v>42771</v>
      </c>
      <c r="B37">
        <v>30728</v>
      </c>
      <c r="C37">
        <v>84077</v>
      </c>
      <c r="D37">
        <v>33575</v>
      </c>
      <c r="E37">
        <v>20307</v>
      </c>
      <c r="F37">
        <v>100</v>
      </c>
      <c r="G37" t="s">
        <v>20</v>
      </c>
      <c r="H37" t="str">
        <f>IF(Grammys[[#This Row],[date]] &gt;= DATE(2022, 2, 1), "Grammys", "Grammys + TRA")</f>
        <v>Grammys + TRA</v>
      </c>
      <c r="I37">
        <f>_xlfn.XLOOKUP(Grammys[[#This Row],[date]], mobile_visits[date], mobile_visits[mobile_visitors], 0)</f>
        <v>0</v>
      </c>
      <c r="Q37" s="1">
        <v>44628</v>
      </c>
      <c r="R37">
        <v>9410</v>
      </c>
    </row>
    <row r="38" spans="1:18" x14ac:dyDescent="0.2">
      <c r="A38" s="1">
        <v>42772</v>
      </c>
      <c r="B38">
        <v>34723</v>
      </c>
      <c r="C38">
        <v>88352</v>
      </c>
      <c r="D38">
        <v>38058</v>
      </c>
      <c r="E38">
        <v>22957</v>
      </c>
      <c r="F38">
        <v>104</v>
      </c>
      <c r="G38" t="s">
        <v>20</v>
      </c>
      <c r="H38" t="str">
        <f>IF(Grammys[[#This Row],[date]] &gt;= DATE(2022, 2, 1), "Grammys", "Grammys + TRA")</f>
        <v>Grammys + TRA</v>
      </c>
      <c r="I38">
        <f>_xlfn.XLOOKUP(Grammys[[#This Row],[date]], mobile_visits[date], mobile_visits[mobile_visitors], 0)</f>
        <v>0</v>
      </c>
      <c r="Q38" s="1">
        <v>44629</v>
      </c>
      <c r="R38">
        <v>8478</v>
      </c>
    </row>
    <row r="39" spans="1:18" x14ac:dyDescent="0.2">
      <c r="A39" s="1">
        <v>42773</v>
      </c>
      <c r="B39">
        <v>47583</v>
      </c>
      <c r="C39">
        <v>122424</v>
      </c>
      <c r="D39">
        <v>52246</v>
      </c>
      <c r="E39">
        <v>31531</v>
      </c>
      <c r="F39">
        <v>108</v>
      </c>
      <c r="G39" t="s">
        <v>20</v>
      </c>
      <c r="H39" t="str">
        <f>IF(Grammys[[#This Row],[date]] &gt;= DATE(2022, 2, 1), "Grammys", "Grammys + TRA")</f>
        <v>Grammys + TRA</v>
      </c>
      <c r="I39">
        <f>_xlfn.XLOOKUP(Grammys[[#This Row],[date]], mobile_visits[date], mobile_visits[mobile_visitors], 0)</f>
        <v>0</v>
      </c>
      <c r="Q39" s="1">
        <v>44630</v>
      </c>
      <c r="R39">
        <v>9234</v>
      </c>
    </row>
    <row r="40" spans="1:18" x14ac:dyDescent="0.2">
      <c r="A40" s="1">
        <v>42774</v>
      </c>
      <c r="B40">
        <v>52279</v>
      </c>
      <c r="C40">
        <v>133884</v>
      </c>
      <c r="D40">
        <v>57599</v>
      </c>
      <c r="E40">
        <v>34946</v>
      </c>
      <c r="F40">
        <v>104</v>
      </c>
      <c r="G40" t="s">
        <v>20</v>
      </c>
      <c r="H40" t="str">
        <f>IF(Grammys[[#This Row],[date]] &gt;= DATE(2022, 2, 1), "Grammys", "Grammys + TRA")</f>
        <v>Grammys + TRA</v>
      </c>
      <c r="I40">
        <f>_xlfn.XLOOKUP(Grammys[[#This Row],[date]], mobile_visits[date], mobile_visits[mobile_visitors], 0)</f>
        <v>0</v>
      </c>
      <c r="Q40" s="1">
        <v>44631</v>
      </c>
      <c r="R40">
        <v>9408</v>
      </c>
    </row>
    <row r="41" spans="1:18" x14ac:dyDescent="0.2">
      <c r="A41" s="1">
        <v>42775</v>
      </c>
      <c r="B41">
        <v>73648</v>
      </c>
      <c r="C41">
        <v>191472</v>
      </c>
      <c r="D41">
        <v>81432</v>
      </c>
      <c r="E41">
        <v>49926</v>
      </c>
      <c r="F41">
        <v>108</v>
      </c>
      <c r="G41" t="s">
        <v>20</v>
      </c>
      <c r="H41" t="str">
        <f>IF(Grammys[[#This Row],[date]] &gt;= DATE(2022, 2, 1), "Grammys", "Grammys + TRA")</f>
        <v>Grammys + TRA</v>
      </c>
      <c r="I41">
        <f>_xlfn.XLOOKUP(Grammys[[#This Row],[date]], mobile_visits[date], mobile_visits[mobile_visitors], 0)</f>
        <v>0</v>
      </c>
      <c r="Q41" s="1">
        <v>44632</v>
      </c>
      <c r="R41">
        <v>10478</v>
      </c>
    </row>
    <row r="42" spans="1:18" x14ac:dyDescent="0.2">
      <c r="A42" s="1">
        <v>42776</v>
      </c>
      <c r="B42">
        <v>91058</v>
      </c>
      <c r="C42">
        <v>230302</v>
      </c>
      <c r="D42">
        <v>99229</v>
      </c>
      <c r="E42">
        <v>59072</v>
      </c>
      <c r="F42">
        <v>104</v>
      </c>
      <c r="G42" t="s">
        <v>20</v>
      </c>
      <c r="H42" t="str">
        <f>IF(Grammys[[#This Row],[date]] &gt;= DATE(2022, 2, 1), "Grammys", "Grammys + TRA")</f>
        <v>Grammys + TRA</v>
      </c>
      <c r="I42">
        <f>_xlfn.XLOOKUP(Grammys[[#This Row],[date]], mobile_visits[date], mobile_visits[mobile_visitors], 0)</f>
        <v>0</v>
      </c>
      <c r="Q42" s="1">
        <v>44633</v>
      </c>
      <c r="R42">
        <v>11570</v>
      </c>
    </row>
    <row r="43" spans="1:18" x14ac:dyDescent="0.2">
      <c r="A43" s="1">
        <v>42777</v>
      </c>
      <c r="B43">
        <v>133362</v>
      </c>
      <c r="C43">
        <v>346375</v>
      </c>
      <c r="D43">
        <v>145977</v>
      </c>
      <c r="E43">
        <v>82930</v>
      </c>
      <c r="F43">
        <v>105</v>
      </c>
      <c r="G43" t="s">
        <v>20</v>
      </c>
      <c r="H43" t="str">
        <f>IF(Grammys[[#This Row],[date]] &gt;= DATE(2022, 2, 1), "Grammys", "Grammys + TRA")</f>
        <v>Grammys + TRA</v>
      </c>
      <c r="I43">
        <f>_xlfn.XLOOKUP(Grammys[[#This Row],[date]], mobile_visits[date], mobile_visits[mobile_visitors], 0)</f>
        <v>0</v>
      </c>
      <c r="Q43" s="1">
        <v>44634</v>
      </c>
      <c r="R43">
        <v>14861</v>
      </c>
    </row>
    <row r="44" spans="1:18" x14ac:dyDescent="0.2">
      <c r="A44" s="1">
        <v>42778</v>
      </c>
      <c r="B44">
        <v>1930245</v>
      </c>
      <c r="C44">
        <v>5406421</v>
      </c>
      <c r="D44">
        <v>2254973</v>
      </c>
      <c r="E44">
        <v>1190175</v>
      </c>
      <c r="F44">
        <v>162</v>
      </c>
      <c r="G44" t="s">
        <v>21</v>
      </c>
      <c r="H44" t="str">
        <f>IF(Grammys[[#This Row],[date]] &gt;= DATE(2022, 2, 1), "Grammys", "Grammys + TRA")</f>
        <v>Grammys + TRA</v>
      </c>
      <c r="I44">
        <f>_xlfn.XLOOKUP(Grammys[[#This Row],[date]], mobile_visits[date], mobile_visits[mobile_visitors], 0)</f>
        <v>0</v>
      </c>
      <c r="Q44" s="1">
        <v>44635</v>
      </c>
      <c r="R44">
        <v>34343</v>
      </c>
    </row>
    <row r="45" spans="1:18" x14ac:dyDescent="0.2">
      <c r="A45" s="1">
        <v>42779</v>
      </c>
      <c r="B45">
        <v>1057729</v>
      </c>
      <c r="C45">
        <v>2926094</v>
      </c>
      <c r="D45">
        <v>1150572</v>
      </c>
      <c r="E45">
        <v>694831</v>
      </c>
      <c r="F45">
        <v>113</v>
      </c>
      <c r="G45" t="s">
        <v>20</v>
      </c>
      <c r="H45" t="str">
        <f>IF(Grammys[[#This Row],[date]] &gt;= DATE(2022, 2, 1), "Grammys", "Grammys + TRA")</f>
        <v>Grammys + TRA</v>
      </c>
      <c r="I45">
        <f>_xlfn.XLOOKUP(Grammys[[#This Row],[date]], mobile_visits[date], mobile_visits[mobile_visitors], 0)</f>
        <v>0</v>
      </c>
      <c r="Q45" s="1">
        <v>44636</v>
      </c>
      <c r="R45">
        <v>17294</v>
      </c>
    </row>
    <row r="46" spans="1:18" x14ac:dyDescent="0.2">
      <c r="A46" s="1">
        <v>42780</v>
      </c>
      <c r="B46">
        <v>213939</v>
      </c>
      <c r="C46">
        <v>526079</v>
      </c>
      <c r="D46">
        <v>229644</v>
      </c>
      <c r="E46">
        <v>149522</v>
      </c>
      <c r="F46">
        <v>102</v>
      </c>
      <c r="G46" t="s">
        <v>20</v>
      </c>
      <c r="H46" t="str">
        <f>IF(Grammys[[#This Row],[date]] &gt;= DATE(2022, 2, 1), "Grammys", "Grammys + TRA")</f>
        <v>Grammys + TRA</v>
      </c>
      <c r="I46">
        <f>_xlfn.XLOOKUP(Grammys[[#This Row],[date]], mobile_visits[date], mobile_visits[mobile_visitors], 0)</f>
        <v>0</v>
      </c>
      <c r="Q46" s="1">
        <v>44637</v>
      </c>
      <c r="R46">
        <v>14935</v>
      </c>
    </row>
    <row r="47" spans="1:18" x14ac:dyDescent="0.2">
      <c r="A47" s="1">
        <v>42781</v>
      </c>
      <c r="B47">
        <v>105345</v>
      </c>
      <c r="C47">
        <v>257780</v>
      </c>
      <c r="D47">
        <v>113153</v>
      </c>
      <c r="E47">
        <v>73663</v>
      </c>
      <c r="F47">
        <v>101</v>
      </c>
      <c r="G47" t="s">
        <v>20</v>
      </c>
      <c r="H47" t="str">
        <f>IF(Grammys[[#This Row],[date]] &gt;= DATE(2022, 2, 1), "Grammys", "Grammys + TRA")</f>
        <v>Grammys + TRA</v>
      </c>
      <c r="I47">
        <f>_xlfn.XLOOKUP(Grammys[[#This Row],[date]], mobile_visits[date], mobile_visits[mobile_visitors], 0)</f>
        <v>0</v>
      </c>
      <c r="Q47" s="1">
        <v>44638</v>
      </c>
      <c r="R47">
        <v>18086</v>
      </c>
    </row>
    <row r="48" spans="1:18" x14ac:dyDescent="0.2">
      <c r="A48" s="1">
        <v>42782</v>
      </c>
      <c r="B48">
        <v>72888</v>
      </c>
      <c r="C48">
        <v>176323</v>
      </c>
      <c r="D48">
        <v>78087</v>
      </c>
      <c r="E48">
        <v>52100</v>
      </c>
      <c r="F48">
        <v>102</v>
      </c>
      <c r="G48" t="s">
        <v>20</v>
      </c>
      <c r="H48" t="str">
        <f>IF(Grammys[[#This Row],[date]] &gt;= DATE(2022, 2, 1), "Grammys", "Grammys + TRA")</f>
        <v>Grammys + TRA</v>
      </c>
      <c r="I48">
        <f>_xlfn.XLOOKUP(Grammys[[#This Row],[date]], mobile_visits[date], mobile_visits[mobile_visitors], 0)</f>
        <v>0</v>
      </c>
      <c r="Q48" s="1">
        <v>44639</v>
      </c>
      <c r="R48">
        <v>24121</v>
      </c>
    </row>
    <row r="49" spans="1:18" x14ac:dyDescent="0.2">
      <c r="A49" s="1">
        <v>42783</v>
      </c>
      <c r="B49">
        <v>62042</v>
      </c>
      <c r="C49">
        <v>137206</v>
      </c>
      <c r="D49">
        <v>66572</v>
      </c>
      <c r="E49">
        <v>46108</v>
      </c>
      <c r="F49">
        <v>95</v>
      </c>
      <c r="G49" t="s">
        <v>20</v>
      </c>
      <c r="H49" t="str">
        <f>IF(Grammys[[#This Row],[date]] &gt;= DATE(2022, 2, 1), "Grammys", "Grammys + TRA")</f>
        <v>Grammys + TRA</v>
      </c>
      <c r="I49">
        <f>_xlfn.XLOOKUP(Grammys[[#This Row],[date]], mobile_visits[date], mobile_visits[mobile_visitors], 0)</f>
        <v>0</v>
      </c>
      <c r="Q49" s="1">
        <v>44640</v>
      </c>
      <c r="R49">
        <v>24641</v>
      </c>
    </row>
    <row r="50" spans="1:18" x14ac:dyDescent="0.2">
      <c r="A50" s="1">
        <v>42784</v>
      </c>
      <c r="B50">
        <v>56309</v>
      </c>
      <c r="C50">
        <v>122892</v>
      </c>
      <c r="D50">
        <v>60790</v>
      </c>
      <c r="E50">
        <v>42517</v>
      </c>
      <c r="F50">
        <v>93</v>
      </c>
      <c r="G50" t="s">
        <v>20</v>
      </c>
      <c r="H50" t="str">
        <f>IF(Grammys[[#This Row],[date]] &gt;= DATE(2022, 2, 1), "Grammys", "Grammys + TRA")</f>
        <v>Grammys + TRA</v>
      </c>
      <c r="I50">
        <f>_xlfn.XLOOKUP(Grammys[[#This Row],[date]], mobile_visits[date], mobile_visits[mobile_visitors], 0)</f>
        <v>0</v>
      </c>
      <c r="Q50" s="1">
        <v>44641</v>
      </c>
      <c r="R50">
        <v>20029</v>
      </c>
    </row>
    <row r="51" spans="1:18" x14ac:dyDescent="0.2">
      <c r="A51" s="1">
        <v>42785</v>
      </c>
      <c r="B51">
        <v>45545</v>
      </c>
      <c r="C51">
        <v>94898</v>
      </c>
      <c r="D51">
        <v>48812</v>
      </c>
      <c r="E51">
        <v>34345</v>
      </c>
      <c r="F51">
        <v>90</v>
      </c>
      <c r="G51" t="s">
        <v>20</v>
      </c>
      <c r="H51" t="str">
        <f>IF(Grammys[[#This Row],[date]] &gt;= DATE(2022, 2, 1), "Grammys", "Grammys + TRA")</f>
        <v>Grammys + TRA</v>
      </c>
      <c r="I51">
        <f>_xlfn.XLOOKUP(Grammys[[#This Row],[date]], mobile_visits[date], mobile_visits[mobile_visitors], 0)</f>
        <v>0</v>
      </c>
      <c r="Q51" s="1">
        <v>44642</v>
      </c>
      <c r="R51">
        <v>25122</v>
      </c>
    </row>
    <row r="52" spans="1:18" x14ac:dyDescent="0.2">
      <c r="A52" s="1">
        <v>42786</v>
      </c>
      <c r="B52">
        <v>36105</v>
      </c>
      <c r="C52">
        <v>76531</v>
      </c>
      <c r="D52">
        <v>38674</v>
      </c>
      <c r="E52">
        <v>27324</v>
      </c>
      <c r="F52">
        <v>92</v>
      </c>
      <c r="G52" t="s">
        <v>20</v>
      </c>
      <c r="H52" t="str">
        <f>IF(Grammys[[#This Row],[date]] &gt;= DATE(2022, 2, 1), "Grammys", "Grammys + TRA")</f>
        <v>Grammys + TRA</v>
      </c>
      <c r="I52">
        <f>_xlfn.XLOOKUP(Grammys[[#This Row],[date]], mobile_visits[date], mobile_visits[mobile_visitors], 0)</f>
        <v>0</v>
      </c>
      <c r="Q52" s="1">
        <v>44643</v>
      </c>
      <c r="R52">
        <v>23193</v>
      </c>
    </row>
    <row r="53" spans="1:18" x14ac:dyDescent="0.2">
      <c r="A53" s="1">
        <v>42787</v>
      </c>
      <c r="B53">
        <v>32413</v>
      </c>
      <c r="C53">
        <v>67242</v>
      </c>
      <c r="D53">
        <v>34335</v>
      </c>
      <c r="E53">
        <v>23908</v>
      </c>
      <c r="F53">
        <v>92</v>
      </c>
      <c r="G53" t="s">
        <v>20</v>
      </c>
      <c r="H53" t="str">
        <f>IF(Grammys[[#This Row],[date]] &gt;= DATE(2022, 2, 1), "Grammys", "Grammys + TRA")</f>
        <v>Grammys + TRA</v>
      </c>
      <c r="I53">
        <f>_xlfn.XLOOKUP(Grammys[[#This Row],[date]], mobile_visits[date], mobile_visits[mobile_visitors], 0)</f>
        <v>0</v>
      </c>
      <c r="Q53" s="1">
        <v>44644</v>
      </c>
      <c r="R53">
        <v>21853</v>
      </c>
    </row>
    <row r="54" spans="1:18" x14ac:dyDescent="0.2">
      <c r="A54" s="1">
        <v>42788</v>
      </c>
      <c r="B54">
        <v>29955</v>
      </c>
      <c r="C54">
        <v>65302</v>
      </c>
      <c r="D54">
        <v>31991</v>
      </c>
      <c r="E54">
        <v>22189</v>
      </c>
      <c r="F54">
        <v>93</v>
      </c>
      <c r="G54" t="s">
        <v>20</v>
      </c>
      <c r="H54" t="str">
        <f>IF(Grammys[[#This Row],[date]] &gt;= DATE(2022, 2, 1), "Grammys", "Grammys + TRA")</f>
        <v>Grammys + TRA</v>
      </c>
      <c r="I54">
        <f>_xlfn.XLOOKUP(Grammys[[#This Row],[date]], mobile_visits[date], mobile_visits[mobile_visitors], 0)</f>
        <v>0</v>
      </c>
      <c r="Q54" s="1">
        <v>44645</v>
      </c>
      <c r="R54">
        <v>23730</v>
      </c>
    </row>
    <row r="55" spans="1:18" x14ac:dyDescent="0.2">
      <c r="A55" s="1">
        <v>42789</v>
      </c>
      <c r="B55">
        <v>25603</v>
      </c>
      <c r="C55">
        <v>55174</v>
      </c>
      <c r="D55">
        <v>27515</v>
      </c>
      <c r="E55">
        <v>19275</v>
      </c>
      <c r="F55">
        <v>92</v>
      </c>
      <c r="G55" t="s">
        <v>20</v>
      </c>
      <c r="H55" t="str">
        <f>IF(Grammys[[#This Row],[date]] &gt;= DATE(2022, 2, 1), "Grammys", "Grammys + TRA")</f>
        <v>Grammys + TRA</v>
      </c>
      <c r="I55">
        <f>_xlfn.XLOOKUP(Grammys[[#This Row],[date]], mobile_visits[date], mobile_visits[mobile_visitors], 0)</f>
        <v>0</v>
      </c>
      <c r="Q55" s="1">
        <v>44646</v>
      </c>
      <c r="R55">
        <v>31163</v>
      </c>
    </row>
    <row r="56" spans="1:18" x14ac:dyDescent="0.2">
      <c r="A56" s="1">
        <v>42790</v>
      </c>
      <c r="B56">
        <v>23074</v>
      </c>
      <c r="C56">
        <v>47921</v>
      </c>
      <c r="D56">
        <v>24605</v>
      </c>
      <c r="E56">
        <v>17384</v>
      </c>
      <c r="F56">
        <v>84</v>
      </c>
      <c r="G56" t="s">
        <v>20</v>
      </c>
      <c r="H56" t="str">
        <f>IF(Grammys[[#This Row],[date]] &gt;= DATE(2022, 2, 1), "Grammys", "Grammys + TRA")</f>
        <v>Grammys + TRA</v>
      </c>
      <c r="I56">
        <f>_xlfn.XLOOKUP(Grammys[[#This Row],[date]], mobile_visits[date], mobile_visits[mobile_visitors], 0)</f>
        <v>0</v>
      </c>
      <c r="Q56" s="1">
        <v>44647</v>
      </c>
      <c r="R56">
        <v>64557</v>
      </c>
    </row>
    <row r="57" spans="1:18" x14ac:dyDescent="0.2">
      <c r="A57" s="1">
        <v>42791</v>
      </c>
      <c r="B57">
        <v>26718</v>
      </c>
      <c r="C57">
        <v>49579</v>
      </c>
      <c r="D57">
        <v>28030</v>
      </c>
      <c r="E57">
        <v>20874</v>
      </c>
      <c r="F57">
        <v>74</v>
      </c>
      <c r="G57" t="s">
        <v>20</v>
      </c>
      <c r="H57" t="str">
        <f>IF(Grammys[[#This Row],[date]] &gt;= DATE(2022, 2, 1), "Grammys", "Grammys + TRA")</f>
        <v>Grammys + TRA</v>
      </c>
      <c r="I57">
        <f>_xlfn.XLOOKUP(Grammys[[#This Row],[date]], mobile_visits[date], mobile_visits[mobile_visitors], 0)</f>
        <v>0</v>
      </c>
      <c r="Q57" s="1">
        <v>44648</v>
      </c>
      <c r="R57">
        <v>67000</v>
      </c>
    </row>
    <row r="58" spans="1:18" x14ac:dyDescent="0.2">
      <c r="A58" s="1">
        <v>42792</v>
      </c>
      <c r="B58">
        <v>33563</v>
      </c>
      <c r="C58">
        <v>60222</v>
      </c>
      <c r="D58">
        <v>35116</v>
      </c>
      <c r="E58">
        <v>25790</v>
      </c>
      <c r="F58">
        <v>69</v>
      </c>
      <c r="G58" t="s">
        <v>20</v>
      </c>
      <c r="H58" t="str">
        <f>IF(Grammys[[#This Row],[date]] &gt;= DATE(2022, 2, 1), "Grammys", "Grammys + TRA")</f>
        <v>Grammys + TRA</v>
      </c>
      <c r="I58">
        <f>_xlfn.XLOOKUP(Grammys[[#This Row],[date]], mobile_visits[date], mobile_visits[mobile_visitors], 0)</f>
        <v>0</v>
      </c>
      <c r="Q58" s="1">
        <v>44649</v>
      </c>
      <c r="R58">
        <v>64586</v>
      </c>
    </row>
    <row r="59" spans="1:18" x14ac:dyDescent="0.2">
      <c r="A59" s="1">
        <v>42793</v>
      </c>
      <c r="B59">
        <v>27790</v>
      </c>
      <c r="C59">
        <v>53034</v>
      </c>
      <c r="D59">
        <v>29224</v>
      </c>
      <c r="E59">
        <v>21261</v>
      </c>
      <c r="F59">
        <v>77</v>
      </c>
      <c r="G59" t="s">
        <v>20</v>
      </c>
      <c r="H59" t="str">
        <f>IF(Grammys[[#This Row],[date]] &gt;= DATE(2022, 2, 1), "Grammys", "Grammys + TRA")</f>
        <v>Grammys + TRA</v>
      </c>
      <c r="I59">
        <f>_xlfn.XLOOKUP(Grammys[[#This Row],[date]], mobile_visits[date], mobile_visits[mobile_visitors], 0)</f>
        <v>0</v>
      </c>
      <c r="Q59" s="1">
        <v>44650</v>
      </c>
      <c r="R59">
        <v>70495</v>
      </c>
    </row>
    <row r="60" spans="1:18" x14ac:dyDescent="0.2">
      <c r="A60" s="1">
        <v>42794</v>
      </c>
      <c r="B60">
        <v>19932</v>
      </c>
      <c r="C60">
        <v>38080</v>
      </c>
      <c r="D60">
        <v>21147</v>
      </c>
      <c r="E60">
        <v>15222</v>
      </c>
      <c r="F60">
        <v>80</v>
      </c>
      <c r="G60" t="s">
        <v>20</v>
      </c>
      <c r="H60" t="str">
        <f>IF(Grammys[[#This Row],[date]] &gt;= DATE(2022, 2, 1), "Grammys", "Grammys + TRA")</f>
        <v>Grammys + TRA</v>
      </c>
      <c r="I60">
        <f>_xlfn.XLOOKUP(Grammys[[#This Row],[date]], mobile_visits[date], mobile_visits[mobile_visitors], 0)</f>
        <v>0</v>
      </c>
      <c r="Q60" s="1">
        <v>44651</v>
      </c>
      <c r="R60">
        <v>58734</v>
      </c>
    </row>
    <row r="61" spans="1:18" x14ac:dyDescent="0.2">
      <c r="A61" s="1">
        <v>42795</v>
      </c>
      <c r="B61">
        <v>17077</v>
      </c>
      <c r="C61">
        <v>33835</v>
      </c>
      <c r="D61">
        <v>18085</v>
      </c>
      <c r="E61">
        <v>12738</v>
      </c>
      <c r="F61">
        <v>87</v>
      </c>
      <c r="G61" t="s">
        <v>20</v>
      </c>
      <c r="H61" t="str">
        <f>IF(Grammys[[#This Row],[date]] &gt;= DATE(2022, 2, 1), "Grammys", "Grammys + TRA")</f>
        <v>Grammys + TRA</v>
      </c>
      <c r="I61">
        <f>_xlfn.XLOOKUP(Grammys[[#This Row],[date]], mobile_visits[date], mobile_visits[mobile_visitors], 0)</f>
        <v>0</v>
      </c>
      <c r="Q61" s="1">
        <v>44652</v>
      </c>
      <c r="R61">
        <v>81320</v>
      </c>
    </row>
    <row r="62" spans="1:18" x14ac:dyDescent="0.2">
      <c r="A62" s="1">
        <v>42796</v>
      </c>
      <c r="B62">
        <v>21703</v>
      </c>
      <c r="C62">
        <v>38318</v>
      </c>
      <c r="D62">
        <v>22885</v>
      </c>
      <c r="E62">
        <v>17530</v>
      </c>
      <c r="F62">
        <v>68</v>
      </c>
      <c r="G62" t="s">
        <v>20</v>
      </c>
      <c r="H62" t="str">
        <f>IF(Grammys[[#This Row],[date]] &gt;= DATE(2022, 2, 1), "Grammys", "Grammys + TRA")</f>
        <v>Grammys + TRA</v>
      </c>
      <c r="I62">
        <f>_xlfn.XLOOKUP(Grammys[[#This Row],[date]], mobile_visits[date], mobile_visits[mobile_visitors], 0)</f>
        <v>0</v>
      </c>
      <c r="Q62" s="1">
        <v>44653</v>
      </c>
      <c r="R62">
        <v>181561</v>
      </c>
    </row>
    <row r="63" spans="1:18" x14ac:dyDescent="0.2">
      <c r="A63" s="1">
        <v>42797</v>
      </c>
      <c r="B63">
        <v>21421</v>
      </c>
      <c r="C63">
        <v>39240</v>
      </c>
      <c r="D63">
        <v>22932</v>
      </c>
      <c r="E63">
        <v>17378</v>
      </c>
      <c r="F63">
        <v>73</v>
      </c>
      <c r="G63" t="s">
        <v>20</v>
      </c>
      <c r="H63" t="str">
        <f>IF(Grammys[[#This Row],[date]] &gt;= DATE(2022, 2, 1), "Grammys", "Grammys + TRA")</f>
        <v>Grammys + TRA</v>
      </c>
      <c r="I63">
        <f>_xlfn.XLOOKUP(Grammys[[#This Row],[date]], mobile_visits[date], mobile_visits[mobile_visitors], 0)</f>
        <v>0</v>
      </c>
      <c r="Q63" s="1">
        <v>44654</v>
      </c>
      <c r="R63">
        <v>1751415</v>
      </c>
    </row>
    <row r="64" spans="1:18" x14ac:dyDescent="0.2">
      <c r="A64" s="1">
        <v>42798</v>
      </c>
      <c r="B64">
        <v>16004</v>
      </c>
      <c r="C64">
        <v>31000</v>
      </c>
      <c r="D64">
        <v>17007</v>
      </c>
      <c r="E64">
        <v>12417</v>
      </c>
      <c r="F64">
        <v>79</v>
      </c>
      <c r="G64" t="s">
        <v>20</v>
      </c>
      <c r="H64" t="str">
        <f>IF(Grammys[[#This Row],[date]] &gt;= DATE(2022, 2, 1), "Grammys", "Grammys + TRA")</f>
        <v>Grammys + TRA</v>
      </c>
      <c r="I64">
        <f>_xlfn.XLOOKUP(Grammys[[#This Row],[date]], mobile_visits[date], mobile_visits[mobile_visitors], 0)</f>
        <v>0</v>
      </c>
      <c r="Q64" s="1">
        <v>44655</v>
      </c>
      <c r="R64">
        <v>568791</v>
      </c>
    </row>
    <row r="65" spans="1:18" x14ac:dyDescent="0.2">
      <c r="A65" s="1">
        <v>42799</v>
      </c>
      <c r="B65">
        <v>15142</v>
      </c>
      <c r="C65">
        <v>29655</v>
      </c>
      <c r="D65">
        <v>16135</v>
      </c>
      <c r="E65">
        <v>11606</v>
      </c>
      <c r="F65">
        <v>84</v>
      </c>
      <c r="G65" t="s">
        <v>20</v>
      </c>
      <c r="H65" t="str">
        <f>IF(Grammys[[#This Row],[date]] &gt;= DATE(2022, 2, 1), "Grammys", "Grammys + TRA")</f>
        <v>Grammys + TRA</v>
      </c>
      <c r="I65">
        <f>_xlfn.XLOOKUP(Grammys[[#This Row],[date]], mobile_visits[date], mobile_visits[mobile_visitors], 0)</f>
        <v>0</v>
      </c>
      <c r="Q65" s="1">
        <v>44656</v>
      </c>
      <c r="R65">
        <v>156760</v>
      </c>
    </row>
    <row r="66" spans="1:18" x14ac:dyDescent="0.2">
      <c r="A66" s="1">
        <v>42800</v>
      </c>
      <c r="B66">
        <v>14735</v>
      </c>
      <c r="C66">
        <v>28074</v>
      </c>
      <c r="D66">
        <v>15733</v>
      </c>
      <c r="E66">
        <v>11346</v>
      </c>
      <c r="F66">
        <v>81</v>
      </c>
      <c r="G66" t="s">
        <v>20</v>
      </c>
      <c r="H66" t="str">
        <f>IF(Grammys[[#This Row],[date]] &gt;= DATE(2022, 2, 1), "Grammys", "Grammys + TRA")</f>
        <v>Grammys + TRA</v>
      </c>
      <c r="I66">
        <f>_xlfn.XLOOKUP(Grammys[[#This Row],[date]], mobile_visits[date], mobile_visits[mobile_visitors], 0)</f>
        <v>0</v>
      </c>
      <c r="Q66" s="1">
        <v>44657</v>
      </c>
      <c r="R66">
        <v>88797</v>
      </c>
    </row>
    <row r="67" spans="1:18" x14ac:dyDescent="0.2">
      <c r="A67" s="1">
        <v>42801</v>
      </c>
      <c r="B67">
        <v>12773</v>
      </c>
      <c r="C67">
        <v>24940</v>
      </c>
      <c r="D67">
        <v>13571</v>
      </c>
      <c r="E67">
        <v>9838</v>
      </c>
      <c r="F67">
        <v>82</v>
      </c>
      <c r="G67" t="s">
        <v>20</v>
      </c>
      <c r="H67" t="str">
        <f>IF(Grammys[[#This Row],[date]] &gt;= DATE(2022, 2, 1), "Grammys", "Grammys + TRA")</f>
        <v>Grammys + TRA</v>
      </c>
      <c r="I67">
        <f>_xlfn.XLOOKUP(Grammys[[#This Row],[date]], mobile_visits[date], mobile_visits[mobile_visitors], 0)</f>
        <v>0</v>
      </c>
      <c r="Q67" s="1">
        <v>44658</v>
      </c>
      <c r="R67">
        <v>64588</v>
      </c>
    </row>
    <row r="68" spans="1:18" x14ac:dyDescent="0.2">
      <c r="A68" s="1">
        <v>42802</v>
      </c>
      <c r="B68">
        <v>11539</v>
      </c>
      <c r="C68">
        <v>23070</v>
      </c>
      <c r="D68">
        <v>12432</v>
      </c>
      <c r="E68">
        <v>8892</v>
      </c>
      <c r="F68">
        <v>87</v>
      </c>
      <c r="G68" t="s">
        <v>20</v>
      </c>
      <c r="H68" t="str">
        <f>IF(Grammys[[#This Row],[date]] &gt;= DATE(2022, 2, 1), "Grammys", "Grammys + TRA")</f>
        <v>Grammys + TRA</v>
      </c>
      <c r="I68">
        <f>_xlfn.XLOOKUP(Grammys[[#This Row],[date]], mobile_visits[date], mobile_visits[mobile_visitors], 0)</f>
        <v>0</v>
      </c>
      <c r="Q68" s="1">
        <v>44659</v>
      </c>
      <c r="R68">
        <v>55077</v>
      </c>
    </row>
    <row r="69" spans="1:18" x14ac:dyDescent="0.2">
      <c r="A69" s="1">
        <v>42803</v>
      </c>
      <c r="B69">
        <v>11395</v>
      </c>
      <c r="C69">
        <v>23221</v>
      </c>
      <c r="D69">
        <v>12217</v>
      </c>
      <c r="E69">
        <v>8667</v>
      </c>
      <c r="F69">
        <v>83</v>
      </c>
      <c r="G69" t="s">
        <v>20</v>
      </c>
      <c r="H69" t="str">
        <f>IF(Grammys[[#This Row],[date]] &gt;= DATE(2022, 2, 1), "Grammys", "Grammys + TRA")</f>
        <v>Grammys + TRA</v>
      </c>
      <c r="I69">
        <f>_xlfn.XLOOKUP(Grammys[[#This Row],[date]], mobile_visits[date], mobile_visits[mobile_visitors], 0)</f>
        <v>0</v>
      </c>
      <c r="Q69" s="1">
        <v>44660</v>
      </c>
      <c r="R69">
        <v>50750</v>
      </c>
    </row>
    <row r="70" spans="1:18" x14ac:dyDescent="0.2">
      <c r="A70" s="1">
        <v>42804</v>
      </c>
      <c r="B70">
        <v>10794</v>
      </c>
      <c r="C70">
        <v>21259</v>
      </c>
      <c r="D70">
        <v>11382</v>
      </c>
      <c r="E70">
        <v>8175</v>
      </c>
      <c r="F70">
        <v>86</v>
      </c>
      <c r="G70" t="s">
        <v>20</v>
      </c>
      <c r="H70" t="str">
        <f>IF(Grammys[[#This Row],[date]] &gt;= DATE(2022, 2, 1), "Grammys", "Grammys + TRA")</f>
        <v>Grammys + TRA</v>
      </c>
      <c r="I70">
        <f>_xlfn.XLOOKUP(Grammys[[#This Row],[date]], mobile_visits[date], mobile_visits[mobile_visitors], 0)</f>
        <v>0</v>
      </c>
      <c r="Q70" s="1">
        <v>44661</v>
      </c>
      <c r="R70">
        <v>41091</v>
      </c>
    </row>
    <row r="71" spans="1:18" x14ac:dyDescent="0.2">
      <c r="A71" s="1">
        <v>42805</v>
      </c>
      <c r="B71">
        <v>11855</v>
      </c>
      <c r="C71">
        <v>25447</v>
      </c>
      <c r="D71">
        <v>12524</v>
      </c>
      <c r="E71">
        <v>8706</v>
      </c>
      <c r="F71">
        <v>81</v>
      </c>
      <c r="G71" t="s">
        <v>20</v>
      </c>
      <c r="H71" t="str">
        <f>IF(Grammys[[#This Row],[date]] &gt;= DATE(2022, 2, 1), "Grammys", "Grammys + TRA")</f>
        <v>Grammys + TRA</v>
      </c>
      <c r="I71">
        <f>_xlfn.XLOOKUP(Grammys[[#This Row],[date]], mobile_visits[date], mobile_visits[mobile_visitors], 0)</f>
        <v>0</v>
      </c>
      <c r="Q71" s="1">
        <v>44662</v>
      </c>
      <c r="R71">
        <v>29459</v>
      </c>
    </row>
    <row r="72" spans="1:18" x14ac:dyDescent="0.2">
      <c r="A72" s="1">
        <v>42806</v>
      </c>
      <c r="B72">
        <v>9602</v>
      </c>
      <c r="C72">
        <v>19257</v>
      </c>
      <c r="D72">
        <v>10334</v>
      </c>
      <c r="E72">
        <v>7414</v>
      </c>
      <c r="F72">
        <v>83</v>
      </c>
      <c r="G72" t="s">
        <v>20</v>
      </c>
      <c r="H72" t="str">
        <f>IF(Grammys[[#This Row],[date]] &gt;= DATE(2022, 2, 1), "Grammys", "Grammys + TRA")</f>
        <v>Grammys + TRA</v>
      </c>
      <c r="I72">
        <f>_xlfn.XLOOKUP(Grammys[[#This Row],[date]], mobile_visits[date], mobile_visits[mobile_visitors], 0)</f>
        <v>0</v>
      </c>
      <c r="Q72" s="1">
        <v>44663</v>
      </c>
      <c r="R72">
        <v>26759</v>
      </c>
    </row>
    <row r="73" spans="1:18" x14ac:dyDescent="0.2">
      <c r="A73" s="1">
        <v>42807</v>
      </c>
      <c r="B73">
        <v>9797</v>
      </c>
      <c r="C73">
        <v>19886</v>
      </c>
      <c r="D73">
        <v>10432</v>
      </c>
      <c r="E73">
        <v>7483</v>
      </c>
      <c r="F73">
        <v>96</v>
      </c>
      <c r="G73" t="s">
        <v>20</v>
      </c>
      <c r="H73" t="str">
        <f>IF(Grammys[[#This Row],[date]] &gt;= DATE(2022, 2, 1), "Grammys", "Grammys + TRA")</f>
        <v>Grammys + TRA</v>
      </c>
      <c r="I73">
        <f>_xlfn.XLOOKUP(Grammys[[#This Row],[date]], mobile_visits[date], mobile_visits[mobile_visitors], 0)</f>
        <v>0</v>
      </c>
      <c r="Q73" s="1">
        <v>44664</v>
      </c>
      <c r="R73">
        <v>23134</v>
      </c>
    </row>
    <row r="74" spans="1:18" x14ac:dyDescent="0.2">
      <c r="A74" s="1">
        <v>42808</v>
      </c>
      <c r="B74">
        <v>10665</v>
      </c>
      <c r="C74">
        <v>20742</v>
      </c>
      <c r="D74">
        <v>11257</v>
      </c>
      <c r="E74">
        <v>8190</v>
      </c>
      <c r="F74">
        <v>86</v>
      </c>
      <c r="G74" t="s">
        <v>20</v>
      </c>
      <c r="H74" t="str">
        <f>IF(Grammys[[#This Row],[date]] &gt;= DATE(2022, 2, 1), "Grammys", "Grammys + TRA")</f>
        <v>Grammys + TRA</v>
      </c>
      <c r="I74">
        <f>_xlfn.XLOOKUP(Grammys[[#This Row],[date]], mobile_visits[date], mobile_visits[mobile_visitors], 0)</f>
        <v>0</v>
      </c>
      <c r="Q74" s="1">
        <v>44665</v>
      </c>
      <c r="R74">
        <v>21536</v>
      </c>
    </row>
    <row r="75" spans="1:18" x14ac:dyDescent="0.2">
      <c r="A75" s="1">
        <v>42809</v>
      </c>
      <c r="B75">
        <v>9546</v>
      </c>
      <c r="C75">
        <v>19267</v>
      </c>
      <c r="D75">
        <v>10205</v>
      </c>
      <c r="E75">
        <v>7397</v>
      </c>
      <c r="F75">
        <v>96</v>
      </c>
      <c r="G75" t="s">
        <v>20</v>
      </c>
      <c r="H75" t="str">
        <f>IF(Grammys[[#This Row],[date]] &gt;= DATE(2022, 2, 1), "Grammys", "Grammys + TRA")</f>
        <v>Grammys + TRA</v>
      </c>
      <c r="I75">
        <f>_xlfn.XLOOKUP(Grammys[[#This Row],[date]], mobile_visits[date], mobile_visits[mobile_visitors], 0)</f>
        <v>0</v>
      </c>
      <c r="Q75" s="1">
        <v>44666</v>
      </c>
      <c r="R75">
        <v>21387</v>
      </c>
    </row>
    <row r="76" spans="1:18" x14ac:dyDescent="0.2">
      <c r="A76" s="1">
        <v>42810</v>
      </c>
      <c r="B76">
        <v>8789</v>
      </c>
      <c r="C76">
        <v>17184</v>
      </c>
      <c r="D76">
        <v>9291</v>
      </c>
      <c r="E76">
        <v>6718</v>
      </c>
      <c r="F76">
        <v>83</v>
      </c>
      <c r="G76" t="s">
        <v>20</v>
      </c>
      <c r="H76" t="str">
        <f>IF(Grammys[[#This Row],[date]] &gt;= DATE(2022, 2, 1), "Grammys", "Grammys + TRA")</f>
        <v>Grammys + TRA</v>
      </c>
      <c r="I76">
        <f>_xlfn.XLOOKUP(Grammys[[#This Row],[date]], mobile_visits[date], mobile_visits[mobile_visitors], 0)</f>
        <v>0</v>
      </c>
      <c r="Q76" s="1">
        <v>44667</v>
      </c>
      <c r="R76">
        <v>20604</v>
      </c>
    </row>
    <row r="77" spans="1:18" x14ac:dyDescent="0.2">
      <c r="A77" s="1">
        <v>42811</v>
      </c>
      <c r="B77">
        <v>8242</v>
      </c>
      <c r="C77">
        <v>15837</v>
      </c>
      <c r="D77">
        <v>8790</v>
      </c>
      <c r="E77">
        <v>6308</v>
      </c>
      <c r="F77">
        <v>85</v>
      </c>
      <c r="G77" t="s">
        <v>20</v>
      </c>
      <c r="H77" t="str">
        <f>IF(Grammys[[#This Row],[date]] &gt;= DATE(2022, 2, 1), "Grammys", "Grammys + TRA")</f>
        <v>Grammys + TRA</v>
      </c>
      <c r="I77">
        <f>_xlfn.XLOOKUP(Grammys[[#This Row],[date]], mobile_visits[date], mobile_visits[mobile_visitors], 0)</f>
        <v>0</v>
      </c>
      <c r="Q77" s="1">
        <v>44668</v>
      </c>
      <c r="R77">
        <v>20193</v>
      </c>
    </row>
    <row r="78" spans="1:18" x14ac:dyDescent="0.2">
      <c r="A78" s="1">
        <v>42812</v>
      </c>
      <c r="B78">
        <v>8303</v>
      </c>
      <c r="C78">
        <v>16195</v>
      </c>
      <c r="D78">
        <v>8767</v>
      </c>
      <c r="E78">
        <v>6314</v>
      </c>
      <c r="F78">
        <v>89</v>
      </c>
      <c r="G78" t="s">
        <v>20</v>
      </c>
      <c r="H78" t="str">
        <f>IF(Grammys[[#This Row],[date]] &gt;= DATE(2022, 2, 1), "Grammys", "Grammys + TRA")</f>
        <v>Grammys + TRA</v>
      </c>
      <c r="I78">
        <f>_xlfn.XLOOKUP(Grammys[[#This Row],[date]], mobile_visits[date], mobile_visits[mobile_visitors], 0)</f>
        <v>0</v>
      </c>
      <c r="Q78" s="1">
        <v>44669</v>
      </c>
      <c r="R78">
        <v>17961</v>
      </c>
    </row>
    <row r="79" spans="1:18" x14ac:dyDescent="0.2">
      <c r="A79" s="1">
        <v>42813</v>
      </c>
      <c r="B79">
        <v>8990</v>
      </c>
      <c r="C79">
        <v>17393</v>
      </c>
      <c r="D79">
        <v>9573</v>
      </c>
      <c r="E79">
        <v>6931</v>
      </c>
      <c r="F79">
        <v>82</v>
      </c>
      <c r="G79" t="s">
        <v>20</v>
      </c>
      <c r="H79" t="str">
        <f>IF(Grammys[[#This Row],[date]] &gt;= DATE(2022, 2, 1), "Grammys", "Grammys + TRA")</f>
        <v>Grammys + TRA</v>
      </c>
      <c r="I79">
        <f>_xlfn.XLOOKUP(Grammys[[#This Row],[date]], mobile_visits[date], mobile_visits[mobile_visitors], 0)</f>
        <v>0</v>
      </c>
      <c r="Q79" s="1">
        <v>44670</v>
      </c>
      <c r="R79">
        <v>15563</v>
      </c>
    </row>
    <row r="80" spans="1:18" x14ac:dyDescent="0.2">
      <c r="A80" s="1">
        <v>42814</v>
      </c>
      <c r="B80">
        <v>8511</v>
      </c>
      <c r="C80">
        <v>16708</v>
      </c>
      <c r="D80">
        <v>9077</v>
      </c>
      <c r="E80">
        <v>6560</v>
      </c>
      <c r="F80">
        <v>87</v>
      </c>
      <c r="G80" t="s">
        <v>20</v>
      </c>
      <c r="H80" t="str">
        <f>IF(Grammys[[#This Row],[date]] &gt;= DATE(2022, 2, 1), "Grammys", "Grammys + TRA")</f>
        <v>Grammys + TRA</v>
      </c>
      <c r="I80">
        <f>_xlfn.XLOOKUP(Grammys[[#This Row],[date]], mobile_visits[date], mobile_visits[mobile_visitors], 0)</f>
        <v>0</v>
      </c>
      <c r="Q80" s="1">
        <v>44671</v>
      </c>
      <c r="R80">
        <v>14430</v>
      </c>
    </row>
    <row r="81" spans="1:18" x14ac:dyDescent="0.2">
      <c r="A81" s="1">
        <v>42815</v>
      </c>
      <c r="B81">
        <v>12251</v>
      </c>
      <c r="C81">
        <v>21578</v>
      </c>
      <c r="D81">
        <v>12929</v>
      </c>
      <c r="E81">
        <v>9971</v>
      </c>
      <c r="F81">
        <v>73</v>
      </c>
      <c r="G81" t="s">
        <v>20</v>
      </c>
      <c r="H81" t="str">
        <f>IF(Grammys[[#This Row],[date]] &gt;= DATE(2022, 2, 1), "Grammys", "Grammys + TRA")</f>
        <v>Grammys + TRA</v>
      </c>
      <c r="I81">
        <f>_xlfn.XLOOKUP(Grammys[[#This Row],[date]], mobile_visits[date], mobile_visits[mobile_visitors], 0)</f>
        <v>0</v>
      </c>
      <c r="Q81" s="1">
        <v>44672</v>
      </c>
      <c r="R81">
        <v>17867</v>
      </c>
    </row>
    <row r="82" spans="1:18" x14ac:dyDescent="0.2">
      <c r="A82" s="1">
        <v>42816</v>
      </c>
      <c r="B82">
        <v>9377</v>
      </c>
      <c r="C82">
        <v>17646</v>
      </c>
      <c r="D82">
        <v>9899</v>
      </c>
      <c r="E82">
        <v>7190</v>
      </c>
      <c r="F82">
        <v>86</v>
      </c>
      <c r="G82" t="s">
        <v>20</v>
      </c>
      <c r="H82" t="str">
        <f>IF(Grammys[[#This Row],[date]] &gt;= DATE(2022, 2, 1), "Grammys", "Grammys + TRA")</f>
        <v>Grammys + TRA</v>
      </c>
      <c r="I82">
        <f>_xlfn.XLOOKUP(Grammys[[#This Row],[date]], mobile_visits[date], mobile_visits[mobile_visitors], 0)</f>
        <v>0</v>
      </c>
      <c r="Q82" s="1">
        <v>44673</v>
      </c>
      <c r="R82">
        <v>17332</v>
      </c>
    </row>
    <row r="83" spans="1:18" x14ac:dyDescent="0.2">
      <c r="A83" s="1">
        <v>42817</v>
      </c>
      <c r="B83">
        <v>8615</v>
      </c>
      <c r="C83">
        <v>16532</v>
      </c>
      <c r="D83">
        <v>9261</v>
      </c>
      <c r="E83">
        <v>6743</v>
      </c>
      <c r="F83">
        <v>84</v>
      </c>
      <c r="G83" t="s">
        <v>20</v>
      </c>
      <c r="H83" t="str">
        <f>IF(Grammys[[#This Row],[date]] &gt;= DATE(2022, 2, 1), "Grammys", "Grammys + TRA")</f>
        <v>Grammys + TRA</v>
      </c>
      <c r="I83">
        <f>_xlfn.XLOOKUP(Grammys[[#This Row],[date]], mobile_visits[date], mobile_visits[mobile_visitors], 0)</f>
        <v>0</v>
      </c>
      <c r="Q83" s="1">
        <v>44674</v>
      </c>
      <c r="R83">
        <v>16219</v>
      </c>
    </row>
    <row r="84" spans="1:18" x14ac:dyDescent="0.2">
      <c r="A84" s="1">
        <v>42818</v>
      </c>
      <c r="B84">
        <v>7789</v>
      </c>
      <c r="C84">
        <v>15290</v>
      </c>
      <c r="D84">
        <v>8334</v>
      </c>
      <c r="E84">
        <v>6033</v>
      </c>
      <c r="F84">
        <v>90</v>
      </c>
      <c r="G84" t="s">
        <v>20</v>
      </c>
      <c r="H84" t="str">
        <f>IF(Grammys[[#This Row],[date]] &gt;= DATE(2022, 2, 1), "Grammys", "Grammys + TRA")</f>
        <v>Grammys + TRA</v>
      </c>
      <c r="I84">
        <f>_xlfn.XLOOKUP(Grammys[[#This Row],[date]], mobile_visits[date], mobile_visits[mobile_visitors], 0)</f>
        <v>0</v>
      </c>
      <c r="Q84" s="1">
        <v>44675</v>
      </c>
      <c r="R84">
        <v>15779</v>
      </c>
    </row>
    <row r="85" spans="1:18" x14ac:dyDescent="0.2">
      <c r="A85" s="1">
        <v>42819</v>
      </c>
      <c r="B85">
        <v>7602</v>
      </c>
      <c r="C85">
        <v>14023</v>
      </c>
      <c r="D85">
        <v>8081</v>
      </c>
      <c r="E85">
        <v>6030</v>
      </c>
      <c r="F85">
        <v>76</v>
      </c>
      <c r="G85" t="s">
        <v>20</v>
      </c>
      <c r="H85" t="str">
        <f>IF(Grammys[[#This Row],[date]] &gt;= DATE(2022, 2, 1), "Grammys", "Grammys + TRA")</f>
        <v>Grammys + TRA</v>
      </c>
      <c r="I85">
        <f>_xlfn.XLOOKUP(Grammys[[#This Row],[date]], mobile_visits[date], mobile_visits[mobile_visitors], 0)</f>
        <v>0</v>
      </c>
      <c r="Q85" s="1">
        <v>44676</v>
      </c>
      <c r="R85">
        <v>12360</v>
      </c>
    </row>
    <row r="86" spans="1:18" x14ac:dyDescent="0.2">
      <c r="A86" s="1">
        <v>42820</v>
      </c>
      <c r="B86">
        <v>7633</v>
      </c>
      <c r="C86">
        <v>14420</v>
      </c>
      <c r="D86">
        <v>8076</v>
      </c>
      <c r="E86">
        <v>5961</v>
      </c>
      <c r="F86">
        <v>82</v>
      </c>
      <c r="G86" t="s">
        <v>20</v>
      </c>
      <c r="H86" t="str">
        <f>IF(Grammys[[#This Row],[date]] &gt;= DATE(2022, 2, 1), "Grammys", "Grammys + TRA")</f>
        <v>Grammys + TRA</v>
      </c>
      <c r="I86">
        <f>_xlfn.XLOOKUP(Grammys[[#This Row],[date]], mobile_visits[date], mobile_visits[mobile_visitors], 0)</f>
        <v>0</v>
      </c>
      <c r="Q86" s="1">
        <v>44677</v>
      </c>
      <c r="R86">
        <v>12417</v>
      </c>
    </row>
    <row r="87" spans="1:18" x14ac:dyDescent="0.2">
      <c r="A87" s="1">
        <v>42821</v>
      </c>
      <c r="B87">
        <v>7947</v>
      </c>
      <c r="C87">
        <v>14722</v>
      </c>
      <c r="D87">
        <v>8454</v>
      </c>
      <c r="E87">
        <v>6224</v>
      </c>
      <c r="F87">
        <v>76</v>
      </c>
      <c r="G87" t="s">
        <v>20</v>
      </c>
      <c r="H87" t="str">
        <f>IF(Grammys[[#This Row],[date]] &gt;= DATE(2022, 2, 1), "Grammys", "Grammys + TRA")</f>
        <v>Grammys + TRA</v>
      </c>
      <c r="I87">
        <f>_xlfn.XLOOKUP(Grammys[[#This Row],[date]], mobile_visits[date], mobile_visits[mobile_visitors], 0)</f>
        <v>0</v>
      </c>
      <c r="Q87" s="1">
        <v>44678</v>
      </c>
      <c r="R87">
        <v>11444</v>
      </c>
    </row>
    <row r="88" spans="1:18" x14ac:dyDescent="0.2">
      <c r="A88" s="1">
        <v>42822</v>
      </c>
      <c r="B88">
        <v>8096</v>
      </c>
      <c r="C88">
        <v>14785</v>
      </c>
      <c r="D88">
        <v>8517</v>
      </c>
      <c r="E88">
        <v>6388</v>
      </c>
      <c r="F88">
        <v>81</v>
      </c>
      <c r="G88" t="s">
        <v>20</v>
      </c>
      <c r="H88" t="str">
        <f>IF(Grammys[[#This Row],[date]] &gt;= DATE(2022, 2, 1), "Grammys", "Grammys + TRA")</f>
        <v>Grammys + TRA</v>
      </c>
      <c r="I88">
        <f>_xlfn.XLOOKUP(Grammys[[#This Row],[date]], mobile_visits[date], mobile_visits[mobile_visitors], 0)</f>
        <v>0</v>
      </c>
      <c r="Q88" s="1">
        <v>44679</v>
      </c>
      <c r="R88">
        <v>12591</v>
      </c>
    </row>
    <row r="89" spans="1:18" x14ac:dyDescent="0.2">
      <c r="A89" s="1">
        <v>42823</v>
      </c>
      <c r="B89">
        <v>7968</v>
      </c>
      <c r="C89">
        <v>15487</v>
      </c>
      <c r="D89">
        <v>8531</v>
      </c>
      <c r="E89">
        <v>6241</v>
      </c>
      <c r="F89">
        <v>93</v>
      </c>
      <c r="G89" t="s">
        <v>20</v>
      </c>
      <c r="H89" t="str">
        <f>IF(Grammys[[#This Row],[date]] &gt;= DATE(2022, 2, 1), "Grammys", "Grammys + TRA")</f>
        <v>Grammys + TRA</v>
      </c>
      <c r="I89">
        <f>_xlfn.XLOOKUP(Grammys[[#This Row],[date]], mobile_visits[date], mobile_visits[mobile_visitors], 0)</f>
        <v>0</v>
      </c>
      <c r="Q89" s="1">
        <v>44680</v>
      </c>
      <c r="R89">
        <v>12764</v>
      </c>
    </row>
    <row r="90" spans="1:18" x14ac:dyDescent="0.2">
      <c r="A90" s="1">
        <v>42824</v>
      </c>
      <c r="B90">
        <v>7624</v>
      </c>
      <c r="C90">
        <v>15014</v>
      </c>
      <c r="D90">
        <v>8122</v>
      </c>
      <c r="E90">
        <v>5836</v>
      </c>
      <c r="F90">
        <v>87</v>
      </c>
      <c r="G90" t="s">
        <v>20</v>
      </c>
      <c r="H90" t="str">
        <f>IF(Grammys[[#This Row],[date]] &gt;= DATE(2022, 2, 1), "Grammys", "Grammys + TRA")</f>
        <v>Grammys + TRA</v>
      </c>
      <c r="I90">
        <f>_xlfn.XLOOKUP(Grammys[[#This Row],[date]], mobile_visits[date], mobile_visits[mobile_visitors], 0)</f>
        <v>0</v>
      </c>
      <c r="Q90" s="1">
        <v>44681</v>
      </c>
      <c r="R90">
        <v>13395</v>
      </c>
    </row>
    <row r="91" spans="1:18" x14ac:dyDescent="0.2">
      <c r="A91" s="1">
        <v>42825</v>
      </c>
      <c r="B91">
        <v>7373</v>
      </c>
      <c r="C91">
        <v>14068</v>
      </c>
      <c r="D91">
        <v>7817</v>
      </c>
      <c r="E91">
        <v>5665</v>
      </c>
      <c r="F91">
        <v>69</v>
      </c>
      <c r="G91" t="s">
        <v>20</v>
      </c>
      <c r="H91" t="str">
        <f>IF(Grammys[[#This Row],[date]] &gt;= DATE(2022, 2, 1), "Grammys", "Grammys + TRA")</f>
        <v>Grammys + TRA</v>
      </c>
      <c r="I91">
        <f>_xlfn.XLOOKUP(Grammys[[#This Row],[date]], mobile_visits[date], mobile_visits[mobile_visitors], 0)</f>
        <v>0</v>
      </c>
      <c r="Q91" s="1">
        <v>44682</v>
      </c>
      <c r="R91">
        <v>13256</v>
      </c>
    </row>
    <row r="92" spans="1:18" x14ac:dyDescent="0.2">
      <c r="A92" s="1">
        <v>42826</v>
      </c>
      <c r="B92">
        <v>7627</v>
      </c>
      <c r="C92">
        <v>13840</v>
      </c>
      <c r="D92">
        <v>7987</v>
      </c>
      <c r="E92">
        <v>5976</v>
      </c>
      <c r="F92">
        <v>78</v>
      </c>
      <c r="G92" t="s">
        <v>20</v>
      </c>
      <c r="H92" t="str">
        <f>IF(Grammys[[#This Row],[date]] &gt;= DATE(2022, 2, 1), "Grammys", "Grammys + TRA")</f>
        <v>Grammys + TRA</v>
      </c>
      <c r="I92">
        <f>_xlfn.XLOOKUP(Grammys[[#This Row],[date]], mobile_visits[date], mobile_visits[mobile_visitors], 0)</f>
        <v>0</v>
      </c>
      <c r="Q92" s="1">
        <v>44683</v>
      </c>
      <c r="R92">
        <v>11428</v>
      </c>
    </row>
    <row r="93" spans="1:18" x14ac:dyDescent="0.2">
      <c r="A93" s="1">
        <v>42827</v>
      </c>
      <c r="B93">
        <v>7970</v>
      </c>
      <c r="C93">
        <v>15161</v>
      </c>
      <c r="D93">
        <v>8488</v>
      </c>
      <c r="E93">
        <v>6203</v>
      </c>
      <c r="F93">
        <v>82</v>
      </c>
      <c r="G93" t="s">
        <v>20</v>
      </c>
      <c r="H93" t="str">
        <f>IF(Grammys[[#This Row],[date]] &gt;= DATE(2022, 2, 1), "Grammys", "Grammys + TRA")</f>
        <v>Grammys + TRA</v>
      </c>
      <c r="I93">
        <f>_xlfn.XLOOKUP(Grammys[[#This Row],[date]], mobile_visits[date], mobile_visits[mobile_visitors], 0)</f>
        <v>0</v>
      </c>
      <c r="Q93" s="1">
        <v>44684</v>
      </c>
      <c r="R93">
        <v>11634</v>
      </c>
    </row>
    <row r="94" spans="1:18" x14ac:dyDescent="0.2">
      <c r="A94" s="1">
        <v>42828</v>
      </c>
      <c r="B94">
        <v>7827</v>
      </c>
      <c r="C94">
        <v>15386</v>
      </c>
      <c r="D94">
        <v>8361</v>
      </c>
      <c r="E94">
        <v>5994</v>
      </c>
      <c r="F94">
        <v>80</v>
      </c>
      <c r="G94" t="s">
        <v>20</v>
      </c>
      <c r="H94" t="str">
        <f>IF(Grammys[[#This Row],[date]] &gt;= DATE(2022, 2, 1), "Grammys", "Grammys + TRA")</f>
        <v>Grammys + TRA</v>
      </c>
      <c r="I94">
        <f>_xlfn.XLOOKUP(Grammys[[#This Row],[date]], mobile_visits[date], mobile_visits[mobile_visitors], 0)</f>
        <v>0</v>
      </c>
      <c r="Q94" s="1">
        <v>44685</v>
      </c>
      <c r="R94">
        <v>11398</v>
      </c>
    </row>
    <row r="95" spans="1:18" x14ac:dyDescent="0.2">
      <c r="A95" s="1">
        <v>42829</v>
      </c>
      <c r="B95">
        <v>7359</v>
      </c>
      <c r="C95">
        <v>15506</v>
      </c>
      <c r="D95">
        <v>7811</v>
      </c>
      <c r="E95">
        <v>5510</v>
      </c>
      <c r="F95">
        <v>83</v>
      </c>
      <c r="G95" t="s">
        <v>20</v>
      </c>
      <c r="H95" t="str">
        <f>IF(Grammys[[#This Row],[date]] &gt;= DATE(2022, 2, 1), "Grammys", "Grammys + TRA")</f>
        <v>Grammys + TRA</v>
      </c>
      <c r="I95">
        <f>_xlfn.XLOOKUP(Grammys[[#This Row],[date]], mobile_visits[date], mobile_visits[mobile_visitors], 0)</f>
        <v>0</v>
      </c>
      <c r="Q95" s="1">
        <v>44686</v>
      </c>
      <c r="R95">
        <v>10272</v>
      </c>
    </row>
    <row r="96" spans="1:18" x14ac:dyDescent="0.2">
      <c r="A96" s="1">
        <v>42830</v>
      </c>
      <c r="B96">
        <v>7201</v>
      </c>
      <c r="C96">
        <v>13538</v>
      </c>
      <c r="D96">
        <v>7526</v>
      </c>
      <c r="E96">
        <v>5521</v>
      </c>
      <c r="F96">
        <v>80</v>
      </c>
      <c r="G96" t="s">
        <v>20</v>
      </c>
      <c r="H96" t="str">
        <f>IF(Grammys[[#This Row],[date]] &gt;= DATE(2022, 2, 1), "Grammys", "Grammys + TRA")</f>
        <v>Grammys + TRA</v>
      </c>
      <c r="I96">
        <f>_xlfn.XLOOKUP(Grammys[[#This Row],[date]], mobile_visits[date], mobile_visits[mobile_visitors], 0)</f>
        <v>0</v>
      </c>
      <c r="Q96" s="1">
        <v>44687</v>
      </c>
      <c r="R96">
        <v>11848</v>
      </c>
    </row>
    <row r="97" spans="1:18" x14ac:dyDescent="0.2">
      <c r="A97" s="1">
        <v>42831</v>
      </c>
      <c r="B97">
        <v>7249</v>
      </c>
      <c r="C97">
        <v>13767</v>
      </c>
      <c r="D97">
        <v>7605</v>
      </c>
      <c r="E97">
        <v>5377</v>
      </c>
      <c r="F97">
        <v>80</v>
      </c>
      <c r="G97" t="s">
        <v>20</v>
      </c>
      <c r="H97" t="str">
        <f>IF(Grammys[[#This Row],[date]] &gt;= DATE(2022, 2, 1), "Grammys", "Grammys + TRA")</f>
        <v>Grammys + TRA</v>
      </c>
      <c r="I97">
        <f>_xlfn.XLOOKUP(Grammys[[#This Row],[date]], mobile_visits[date], mobile_visits[mobile_visitors], 0)</f>
        <v>0</v>
      </c>
      <c r="Q97" s="1">
        <v>44688</v>
      </c>
      <c r="R97">
        <v>11987</v>
      </c>
    </row>
    <row r="98" spans="1:18" x14ac:dyDescent="0.2">
      <c r="A98" s="1">
        <v>42832</v>
      </c>
      <c r="B98">
        <v>6950</v>
      </c>
      <c r="C98">
        <v>13052</v>
      </c>
      <c r="D98">
        <v>7292</v>
      </c>
      <c r="E98">
        <v>5254</v>
      </c>
      <c r="F98">
        <v>71</v>
      </c>
      <c r="G98" t="s">
        <v>20</v>
      </c>
      <c r="H98" t="str">
        <f>IF(Grammys[[#This Row],[date]] &gt;= DATE(2022, 2, 1), "Grammys", "Grammys + TRA")</f>
        <v>Grammys + TRA</v>
      </c>
      <c r="I98">
        <f>_xlfn.XLOOKUP(Grammys[[#This Row],[date]], mobile_visits[date], mobile_visits[mobile_visitors], 0)</f>
        <v>0</v>
      </c>
      <c r="Q98" s="1">
        <v>44689</v>
      </c>
      <c r="R98">
        <v>11988</v>
      </c>
    </row>
    <row r="99" spans="1:18" x14ac:dyDescent="0.2">
      <c r="A99" s="1">
        <v>42833</v>
      </c>
      <c r="B99">
        <v>6262</v>
      </c>
      <c r="C99">
        <v>11439</v>
      </c>
      <c r="D99">
        <v>6648</v>
      </c>
      <c r="E99">
        <v>4947</v>
      </c>
      <c r="F99">
        <v>68</v>
      </c>
      <c r="G99" t="s">
        <v>20</v>
      </c>
      <c r="H99" t="str">
        <f>IF(Grammys[[#This Row],[date]] &gt;= DATE(2022, 2, 1), "Grammys", "Grammys + TRA")</f>
        <v>Grammys + TRA</v>
      </c>
      <c r="I99">
        <f>_xlfn.XLOOKUP(Grammys[[#This Row],[date]], mobile_visits[date], mobile_visits[mobile_visitors], 0)</f>
        <v>0</v>
      </c>
      <c r="Q99" s="1">
        <v>44690</v>
      </c>
      <c r="R99">
        <v>10033</v>
      </c>
    </row>
    <row r="100" spans="1:18" x14ac:dyDescent="0.2">
      <c r="A100" s="1">
        <v>42834</v>
      </c>
      <c r="B100">
        <v>6347</v>
      </c>
      <c r="C100">
        <v>12067</v>
      </c>
      <c r="D100">
        <v>6701</v>
      </c>
      <c r="E100">
        <v>4855</v>
      </c>
      <c r="F100">
        <v>78</v>
      </c>
      <c r="G100" t="s">
        <v>20</v>
      </c>
      <c r="H100" t="str">
        <f>IF(Grammys[[#This Row],[date]] &gt;= DATE(2022, 2, 1), "Grammys", "Grammys + TRA")</f>
        <v>Grammys + TRA</v>
      </c>
      <c r="I100">
        <f>_xlfn.XLOOKUP(Grammys[[#This Row],[date]], mobile_visits[date], mobile_visits[mobile_visitors], 0)</f>
        <v>0</v>
      </c>
      <c r="Q100" s="1">
        <v>44691</v>
      </c>
      <c r="R100">
        <v>8265</v>
      </c>
    </row>
    <row r="101" spans="1:18" x14ac:dyDescent="0.2">
      <c r="A101" s="1">
        <v>42835</v>
      </c>
      <c r="B101">
        <v>6337</v>
      </c>
      <c r="C101">
        <v>12033</v>
      </c>
      <c r="D101">
        <v>6719</v>
      </c>
      <c r="E101">
        <v>4883</v>
      </c>
      <c r="F101">
        <v>75</v>
      </c>
      <c r="G101" t="s">
        <v>20</v>
      </c>
      <c r="H101" t="str">
        <f>IF(Grammys[[#This Row],[date]] &gt;= DATE(2022, 2, 1), "Grammys", "Grammys + TRA")</f>
        <v>Grammys + TRA</v>
      </c>
      <c r="I101">
        <f>_xlfn.XLOOKUP(Grammys[[#This Row],[date]], mobile_visits[date], mobile_visits[mobile_visitors], 0)</f>
        <v>0</v>
      </c>
      <c r="Q101" s="1">
        <v>44692</v>
      </c>
      <c r="R101">
        <v>9151</v>
      </c>
    </row>
    <row r="102" spans="1:18" x14ac:dyDescent="0.2">
      <c r="A102" s="1">
        <v>42836</v>
      </c>
      <c r="B102">
        <v>7011</v>
      </c>
      <c r="C102">
        <v>13225</v>
      </c>
      <c r="D102">
        <v>7513</v>
      </c>
      <c r="E102">
        <v>5456</v>
      </c>
      <c r="F102">
        <v>74</v>
      </c>
      <c r="G102" t="s">
        <v>20</v>
      </c>
      <c r="H102" t="str">
        <f>IF(Grammys[[#This Row],[date]] &gt;= DATE(2022, 2, 1), "Grammys", "Grammys + TRA")</f>
        <v>Grammys + TRA</v>
      </c>
      <c r="I102">
        <f>_xlfn.XLOOKUP(Grammys[[#This Row],[date]], mobile_visits[date], mobile_visits[mobile_visitors], 0)</f>
        <v>0</v>
      </c>
      <c r="Q102" s="1">
        <v>44693</v>
      </c>
      <c r="R102">
        <v>10890</v>
      </c>
    </row>
    <row r="103" spans="1:18" x14ac:dyDescent="0.2">
      <c r="A103" s="1">
        <v>42837</v>
      </c>
      <c r="B103">
        <v>8038</v>
      </c>
      <c r="C103">
        <v>13900</v>
      </c>
      <c r="D103">
        <v>8415</v>
      </c>
      <c r="E103">
        <v>6181</v>
      </c>
      <c r="F103">
        <v>62</v>
      </c>
      <c r="G103" t="s">
        <v>20</v>
      </c>
      <c r="H103" t="str">
        <f>IF(Grammys[[#This Row],[date]] &gt;= DATE(2022, 2, 1), "Grammys", "Grammys + TRA")</f>
        <v>Grammys + TRA</v>
      </c>
      <c r="I103">
        <f>_xlfn.XLOOKUP(Grammys[[#This Row],[date]], mobile_visits[date], mobile_visits[mobile_visitors], 0)</f>
        <v>0</v>
      </c>
      <c r="Q103" s="1">
        <v>44694</v>
      </c>
      <c r="R103">
        <v>11956</v>
      </c>
    </row>
    <row r="104" spans="1:18" x14ac:dyDescent="0.2">
      <c r="A104" s="1">
        <v>42838</v>
      </c>
      <c r="B104">
        <v>10204</v>
      </c>
      <c r="C104">
        <v>17707</v>
      </c>
      <c r="D104">
        <v>10830</v>
      </c>
      <c r="E104">
        <v>8061</v>
      </c>
      <c r="F104">
        <v>62</v>
      </c>
      <c r="G104" t="s">
        <v>20</v>
      </c>
      <c r="H104" t="str">
        <f>IF(Grammys[[#This Row],[date]] &gt;= DATE(2022, 2, 1), "Grammys", "Grammys + TRA")</f>
        <v>Grammys + TRA</v>
      </c>
      <c r="I104">
        <f>_xlfn.XLOOKUP(Grammys[[#This Row],[date]], mobile_visits[date], mobile_visits[mobile_visitors], 0)</f>
        <v>0</v>
      </c>
      <c r="Q104" s="1">
        <v>44695</v>
      </c>
      <c r="R104">
        <v>12357</v>
      </c>
    </row>
    <row r="105" spans="1:18" x14ac:dyDescent="0.2">
      <c r="A105" s="1">
        <v>42839</v>
      </c>
      <c r="B105">
        <v>10322</v>
      </c>
      <c r="C105">
        <v>17967</v>
      </c>
      <c r="D105">
        <v>10990</v>
      </c>
      <c r="E105">
        <v>8253</v>
      </c>
      <c r="F105">
        <v>67</v>
      </c>
      <c r="G105" t="s">
        <v>20</v>
      </c>
      <c r="H105" t="str">
        <f>IF(Grammys[[#This Row],[date]] &gt;= DATE(2022, 2, 1), "Grammys", "Grammys + TRA")</f>
        <v>Grammys + TRA</v>
      </c>
      <c r="I105">
        <f>_xlfn.XLOOKUP(Grammys[[#This Row],[date]], mobile_visits[date], mobile_visits[mobile_visitors], 0)</f>
        <v>0</v>
      </c>
      <c r="Q105" s="1">
        <v>44696</v>
      </c>
      <c r="R105">
        <v>12572</v>
      </c>
    </row>
    <row r="106" spans="1:18" x14ac:dyDescent="0.2">
      <c r="A106" s="1">
        <v>42840</v>
      </c>
      <c r="B106">
        <v>8806</v>
      </c>
      <c r="C106">
        <v>15271</v>
      </c>
      <c r="D106">
        <v>9285</v>
      </c>
      <c r="E106">
        <v>6988</v>
      </c>
      <c r="F106">
        <v>62</v>
      </c>
      <c r="G106" t="s">
        <v>20</v>
      </c>
      <c r="H106" t="str">
        <f>IF(Grammys[[#This Row],[date]] &gt;= DATE(2022, 2, 1), "Grammys", "Grammys + TRA")</f>
        <v>Grammys + TRA</v>
      </c>
      <c r="I106">
        <f>_xlfn.XLOOKUP(Grammys[[#This Row],[date]], mobile_visits[date], mobile_visits[mobile_visitors], 0)</f>
        <v>0</v>
      </c>
      <c r="Q106" s="1">
        <v>44697</v>
      </c>
      <c r="R106">
        <v>10794</v>
      </c>
    </row>
    <row r="107" spans="1:18" x14ac:dyDescent="0.2">
      <c r="A107" s="1">
        <v>42841</v>
      </c>
      <c r="B107">
        <v>21469</v>
      </c>
      <c r="C107">
        <v>37310</v>
      </c>
      <c r="D107">
        <v>22710</v>
      </c>
      <c r="E107">
        <v>16452</v>
      </c>
      <c r="F107">
        <v>67</v>
      </c>
      <c r="G107" t="s">
        <v>20</v>
      </c>
      <c r="H107" t="str">
        <f>IF(Grammys[[#This Row],[date]] &gt;= DATE(2022, 2, 1), "Grammys", "Grammys + TRA")</f>
        <v>Grammys + TRA</v>
      </c>
      <c r="I107">
        <f>_xlfn.XLOOKUP(Grammys[[#This Row],[date]], mobile_visits[date], mobile_visits[mobile_visitors], 0)</f>
        <v>0</v>
      </c>
      <c r="Q107" s="1">
        <v>44698</v>
      </c>
      <c r="R107">
        <v>9797</v>
      </c>
    </row>
    <row r="108" spans="1:18" x14ac:dyDescent="0.2">
      <c r="A108" s="1">
        <v>42842</v>
      </c>
      <c r="B108">
        <v>14149</v>
      </c>
      <c r="C108">
        <v>27777</v>
      </c>
      <c r="D108">
        <v>14922</v>
      </c>
      <c r="E108">
        <v>10188</v>
      </c>
      <c r="F108">
        <v>73</v>
      </c>
      <c r="G108" t="s">
        <v>20</v>
      </c>
      <c r="H108" t="str">
        <f>IF(Grammys[[#This Row],[date]] &gt;= DATE(2022, 2, 1), "Grammys", "Grammys + TRA")</f>
        <v>Grammys + TRA</v>
      </c>
      <c r="I108">
        <f>_xlfn.XLOOKUP(Grammys[[#This Row],[date]], mobile_visits[date], mobile_visits[mobile_visitors], 0)</f>
        <v>0</v>
      </c>
      <c r="Q108" s="1">
        <v>44699</v>
      </c>
      <c r="R108">
        <v>9463</v>
      </c>
    </row>
    <row r="109" spans="1:18" x14ac:dyDescent="0.2">
      <c r="A109" s="1">
        <v>42843</v>
      </c>
      <c r="B109">
        <v>10477</v>
      </c>
      <c r="C109">
        <v>20391</v>
      </c>
      <c r="D109">
        <v>11127</v>
      </c>
      <c r="E109">
        <v>7851</v>
      </c>
      <c r="F109">
        <v>74</v>
      </c>
      <c r="G109" t="s">
        <v>20</v>
      </c>
      <c r="H109" t="str">
        <f>IF(Grammys[[#This Row],[date]] &gt;= DATE(2022, 2, 1), "Grammys", "Grammys + TRA")</f>
        <v>Grammys + TRA</v>
      </c>
      <c r="I109">
        <f>_xlfn.XLOOKUP(Grammys[[#This Row],[date]], mobile_visits[date], mobile_visits[mobile_visitors], 0)</f>
        <v>0</v>
      </c>
      <c r="Q109" s="1">
        <v>44700</v>
      </c>
      <c r="R109">
        <v>12308</v>
      </c>
    </row>
    <row r="110" spans="1:18" x14ac:dyDescent="0.2">
      <c r="A110" s="1">
        <v>42844</v>
      </c>
      <c r="B110">
        <v>35249</v>
      </c>
      <c r="C110">
        <v>50045</v>
      </c>
      <c r="D110">
        <v>36246</v>
      </c>
      <c r="E110">
        <v>30063</v>
      </c>
      <c r="F110">
        <v>35</v>
      </c>
      <c r="G110" t="s">
        <v>20</v>
      </c>
      <c r="H110" t="str">
        <f>IF(Grammys[[#This Row],[date]] &gt;= DATE(2022, 2, 1), "Grammys", "Grammys + TRA")</f>
        <v>Grammys + TRA</v>
      </c>
      <c r="I110">
        <f>_xlfn.XLOOKUP(Grammys[[#This Row],[date]], mobile_visits[date], mobile_visits[mobile_visitors], 0)</f>
        <v>0</v>
      </c>
      <c r="Q110" s="1">
        <v>44701</v>
      </c>
      <c r="R110">
        <v>11140</v>
      </c>
    </row>
    <row r="111" spans="1:18" x14ac:dyDescent="0.2">
      <c r="A111" s="1">
        <v>42845</v>
      </c>
      <c r="B111">
        <v>13080</v>
      </c>
      <c r="C111">
        <v>23052</v>
      </c>
      <c r="D111">
        <v>13730</v>
      </c>
      <c r="E111">
        <v>10242</v>
      </c>
      <c r="F111">
        <v>59</v>
      </c>
      <c r="G111" t="s">
        <v>20</v>
      </c>
      <c r="H111" t="str">
        <f>IF(Grammys[[#This Row],[date]] &gt;= DATE(2022, 2, 1), "Grammys", "Grammys + TRA")</f>
        <v>Grammys + TRA</v>
      </c>
      <c r="I111">
        <f>_xlfn.XLOOKUP(Grammys[[#This Row],[date]], mobile_visits[date], mobile_visits[mobile_visitors], 0)</f>
        <v>0</v>
      </c>
      <c r="Q111" s="1">
        <v>44702</v>
      </c>
      <c r="R111">
        <v>11411</v>
      </c>
    </row>
    <row r="112" spans="1:18" x14ac:dyDescent="0.2">
      <c r="A112" s="1">
        <v>42846</v>
      </c>
      <c r="B112">
        <v>11195</v>
      </c>
      <c r="C112">
        <v>20578</v>
      </c>
      <c r="D112">
        <v>11770</v>
      </c>
      <c r="E112">
        <v>8228</v>
      </c>
      <c r="F112">
        <v>68</v>
      </c>
      <c r="G112" t="s">
        <v>20</v>
      </c>
      <c r="H112" t="str">
        <f>IF(Grammys[[#This Row],[date]] &gt;= DATE(2022, 2, 1), "Grammys", "Grammys + TRA")</f>
        <v>Grammys + TRA</v>
      </c>
      <c r="I112">
        <f>_xlfn.XLOOKUP(Grammys[[#This Row],[date]], mobile_visits[date], mobile_visits[mobile_visitors], 0)</f>
        <v>0</v>
      </c>
      <c r="Q112" s="1">
        <v>44703</v>
      </c>
      <c r="R112">
        <v>11219</v>
      </c>
    </row>
    <row r="113" spans="1:18" x14ac:dyDescent="0.2">
      <c r="A113" s="1">
        <v>42847</v>
      </c>
      <c r="B113">
        <v>8363</v>
      </c>
      <c r="C113">
        <v>14911</v>
      </c>
      <c r="D113">
        <v>8892</v>
      </c>
      <c r="E113">
        <v>6258</v>
      </c>
      <c r="F113">
        <v>66</v>
      </c>
      <c r="G113" t="s">
        <v>20</v>
      </c>
      <c r="H113" t="str">
        <f>IF(Grammys[[#This Row],[date]] &gt;= DATE(2022, 2, 1), "Grammys", "Grammys + TRA")</f>
        <v>Grammys + TRA</v>
      </c>
      <c r="I113">
        <f>_xlfn.XLOOKUP(Grammys[[#This Row],[date]], mobile_visits[date], mobile_visits[mobile_visitors], 0)</f>
        <v>0</v>
      </c>
      <c r="Q113" s="1">
        <v>44704</v>
      </c>
      <c r="R113">
        <v>9882</v>
      </c>
    </row>
    <row r="114" spans="1:18" x14ac:dyDescent="0.2">
      <c r="A114" s="1">
        <v>42848</v>
      </c>
      <c r="B114">
        <v>8071</v>
      </c>
      <c r="C114">
        <v>14772</v>
      </c>
      <c r="D114">
        <v>8486</v>
      </c>
      <c r="E114">
        <v>6231</v>
      </c>
      <c r="F114">
        <v>69</v>
      </c>
      <c r="G114" t="s">
        <v>20</v>
      </c>
      <c r="H114" t="str">
        <f>IF(Grammys[[#This Row],[date]] &gt;= DATE(2022, 2, 1), "Grammys", "Grammys + TRA")</f>
        <v>Grammys + TRA</v>
      </c>
      <c r="I114">
        <f>_xlfn.XLOOKUP(Grammys[[#This Row],[date]], mobile_visits[date], mobile_visits[mobile_visitors], 0)</f>
        <v>0</v>
      </c>
      <c r="Q114" s="1">
        <v>44705</v>
      </c>
      <c r="R114">
        <v>10101</v>
      </c>
    </row>
    <row r="115" spans="1:18" x14ac:dyDescent="0.2">
      <c r="A115" s="1">
        <v>42849</v>
      </c>
      <c r="B115">
        <v>8548</v>
      </c>
      <c r="C115">
        <v>15685</v>
      </c>
      <c r="D115">
        <v>8981</v>
      </c>
      <c r="E115">
        <v>6587</v>
      </c>
      <c r="F115">
        <v>72</v>
      </c>
      <c r="G115" t="s">
        <v>20</v>
      </c>
      <c r="H115" t="str">
        <f>IF(Grammys[[#This Row],[date]] &gt;= DATE(2022, 2, 1), "Grammys", "Grammys + TRA")</f>
        <v>Grammys + TRA</v>
      </c>
      <c r="I115">
        <f>_xlfn.XLOOKUP(Grammys[[#This Row],[date]], mobile_visits[date], mobile_visits[mobile_visitors], 0)</f>
        <v>0</v>
      </c>
      <c r="Q115" s="1">
        <v>44706</v>
      </c>
      <c r="R115">
        <v>10184</v>
      </c>
    </row>
    <row r="116" spans="1:18" x14ac:dyDescent="0.2">
      <c r="A116" s="1">
        <v>42850</v>
      </c>
      <c r="B116">
        <v>8179</v>
      </c>
      <c r="C116">
        <v>14435</v>
      </c>
      <c r="D116">
        <v>8633</v>
      </c>
      <c r="E116">
        <v>6410</v>
      </c>
      <c r="F116">
        <v>60</v>
      </c>
      <c r="G116" t="s">
        <v>20</v>
      </c>
      <c r="H116" t="str">
        <f>IF(Grammys[[#This Row],[date]] &gt;= DATE(2022, 2, 1), "Grammys", "Grammys + TRA")</f>
        <v>Grammys + TRA</v>
      </c>
      <c r="I116">
        <f>_xlfn.XLOOKUP(Grammys[[#This Row],[date]], mobile_visits[date], mobile_visits[mobile_visitors], 0)</f>
        <v>0</v>
      </c>
      <c r="Q116" s="1">
        <v>44707</v>
      </c>
      <c r="R116">
        <v>10467</v>
      </c>
    </row>
    <row r="117" spans="1:18" x14ac:dyDescent="0.2">
      <c r="A117" s="1">
        <v>42851</v>
      </c>
      <c r="B117">
        <v>7717</v>
      </c>
      <c r="C117">
        <v>14183</v>
      </c>
      <c r="D117">
        <v>8186</v>
      </c>
      <c r="E117">
        <v>5975</v>
      </c>
      <c r="F117">
        <v>67</v>
      </c>
      <c r="G117" t="s">
        <v>20</v>
      </c>
      <c r="H117" t="str">
        <f>IF(Grammys[[#This Row],[date]] &gt;= DATE(2022, 2, 1), "Grammys", "Grammys + TRA")</f>
        <v>Grammys + TRA</v>
      </c>
      <c r="I117">
        <f>_xlfn.XLOOKUP(Grammys[[#This Row],[date]], mobile_visits[date], mobile_visits[mobile_visitors], 0)</f>
        <v>0</v>
      </c>
      <c r="Q117" s="1">
        <v>44708</v>
      </c>
      <c r="R117">
        <v>13647</v>
      </c>
    </row>
    <row r="118" spans="1:18" x14ac:dyDescent="0.2">
      <c r="A118" s="1">
        <v>42852</v>
      </c>
      <c r="B118">
        <v>7489</v>
      </c>
      <c r="C118">
        <v>13680</v>
      </c>
      <c r="D118">
        <v>7869</v>
      </c>
      <c r="E118">
        <v>5706</v>
      </c>
      <c r="F118">
        <v>67</v>
      </c>
      <c r="G118" t="s">
        <v>20</v>
      </c>
      <c r="H118" t="str">
        <f>IF(Grammys[[#This Row],[date]] &gt;= DATE(2022, 2, 1), "Grammys", "Grammys + TRA")</f>
        <v>Grammys + TRA</v>
      </c>
      <c r="I118">
        <f>_xlfn.XLOOKUP(Grammys[[#This Row],[date]], mobile_visits[date], mobile_visits[mobile_visitors], 0)</f>
        <v>0</v>
      </c>
      <c r="Q118" s="1">
        <v>44709</v>
      </c>
      <c r="R118">
        <v>9615</v>
      </c>
    </row>
    <row r="119" spans="1:18" x14ac:dyDescent="0.2">
      <c r="A119" s="1">
        <v>42853</v>
      </c>
      <c r="B119">
        <v>7011</v>
      </c>
      <c r="C119">
        <v>13079</v>
      </c>
      <c r="D119">
        <v>7342</v>
      </c>
      <c r="E119">
        <v>5301</v>
      </c>
      <c r="F119">
        <v>69</v>
      </c>
      <c r="G119" t="s">
        <v>20</v>
      </c>
      <c r="H119" t="str">
        <f>IF(Grammys[[#This Row],[date]] &gt;= DATE(2022, 2, 1), "Grammys", "Grammys + TRA")</f>
        <v>Grammys + TRA</v>
      </c>
      <c r="I119">
        <f>_xlfn.XLOOKUP(Grammys[[#This Row],[date]], mobile_visits[date], mobile_visits[mobile_visitors], 0)</f>
        <v>0</v>
      </c>
      <c r="Q119" s="1">
        <v>44710</v>
      </c>
      <c r="R119">
        <v>8738</v>
      </c>
    </row>
    <row r="120" spans="1:18" x14ac:dyDescent="0.2">
      <c r="A120" s="1">
        <v>42854</v>
      </c>
      <c r="B120">
        <v>10897</v>
      </c>
      <c r="C120">
        <v>16223</v>
      </c>
      <c r="D120">
        <v>11306</v>
      </c>
      <c r="E120">
        <v>9440</v>
      </c>
      <c r="F120">
        <v>36</v>
      </c>
      <c r="G120" t="s">
        <v>20</v>
      </c>
      <c r="H120" t="str">
        <f>IF(Grammys[[#This Row],[date]] &gt;= DATE(2022, 2, 1), "Grammys", "Grammys + TRA")</f>
        <v>Grammys + TRA</v>
      </c>
      <c r="I120">
        <f>_xlfn.XLOOKUP(Grammys[[#This Row],[date]], mobile_visits[date], mobile_visits[mobile_visitors], 0)</f>
        <v>0</v>
      </c>
      <c r="Q120" s="1">
        <v>44711</v>
      </c>
      <c r="R120">
        <v>9641</v>
      </c>
    </row>
    <row r="121" spans="1:18" x14ac:dyDescent="0.2">
      <c r="A121" s="1">
        <v>42855</v>
      </c>
      <c r="B121">
        <v>8115</v>
      </c>
      <c r="C121">
        <v>14750</v>
      </c>
      <c r="D121">
        <v>8418</v>
      </c>
      <c r="E121">
        <v>6104</v>
      </c>
      <c r="F121">
        <v>61</v>
      </c>
      <c r="G121" t="s">
        <v>20</v>
      </c>
      <c r="H121" t="str">
        <f>IF(Grammys[[#This Row],[date]] &gt;= DATE(2022, 2, 1), "Grammys", "Grammys + TRA")</f>
        <v>Grammys + TRA</v>
      </c>
      <c r="I121">
        <f>_xlfn.XLOOKUP(Grammys[[#This Row],[date]], mobile_visits[date], mobile_visits[mobile_visitors], 0)</f>
        <v>0</v>
      </c>
      <c r="Q121" s="1">
        <v>44712</v>
      </c>
      <c r="R121">
        <v>8517</v>
      </c>
    </row>
    <row r="122" spans="1:18" x14ac:dyDescent="0.2">
      <c r="A122" s="1">
        <v>42856</v>
      </c>
      <c r="B122">
        <v>7923</v>
      </c>
      <c r="C122">
        <v>14731</v>
      </c>
      <c r="D122">
        <v>8382</v>
      </c>
      <c r="E122">
        <v>5982</v>
      </c>
      <c r="F122">
        <v>70</v>
      </c>
      <c r="G122" t="s">
        <v>20</v>
      </c>
      <c r="H122" t="str">
        <f>IF(Grammys[[#This Row],[date]] &gt;= DATE(2022, 2, 1), "Grammys", "Grammys + TRA")</f>
        <v>Grammys + TRA</v>
      </c>
      <c r="I122">
        <f>_xlfn.XLOOKUP(Grammys[[#This Row],[date]], mobile_visits[date], mobile_visits[mobile_visitors], 0)</f>
        <v>0</v>
      </c>
      <c r="Q122" s="1">
        <v>44713</v>
      </c>
      <c r="R122">
        <v>9204</v>
      </c>
    </row>
    <row r="123" spans="1:18" x14ac:dyDescent="0.2">
      <c r="A123" s="1">
        <v>42857</v>
      </c>
      <c r="B123">
        <v>7653</v>
      </c>
      <c r="C123">
        <v>13879</v>
      </c>
      <c r="D123">
        <v>8156</v>
      </c>
      <c r="E123">
        <v>5918</v>
      </c>
      <c r="F123">
        <v>67</v>
      </c>
      <c r="G123" t="s">
        <v>20</v>
      </c>
      <c r="H123" t="str">
        <f>IF(Grammys[[#This Row],[date]] &gt;= DATE(2022, 2, 1), "Grammys", "Grammys + TRA")</f>
        <v>Grammys + TRA</v>
      </c>
      <c r="I123">
        <f>_xlfn.XLOOKUP(Grammys[[#This Row],[date]], mobile_visits[date], mobile_visits[mobile_visitors], 0)</f>
        <v>0</v>
      </c>
      <c r="Q123" s="1">
        <v>44714</v>
      </c>
      <c r="R123">
        <v>9134</v>
      </c>
    </row>
    <row r="124" spans="1:18" x14ac:dyDescent="0.2">
      <c r="A124" s="1">
        <v>42858</v>
      </c>
      <c r="B124">
        <v>12064</v>
      </c>
      <c r="C124">
        <v>21432</v>
      </c>
      <c r="D124">
        <v>12821</v>
      </c>
      <c r="E124">
        <v>9369</v>
      </c>
      <c r="F124">
        <v>69</v>
      </c>
      <c r="G124" t="s">
        <v>20</v>
      </c>
      <c r="H124" t="str">
        <f>IF(Grammys[[#This Row],[date]] &gt;= DATE(2022, 2, 1), "Grammys", "Grammys + TRA")</f>
        <v>Grammys + TRA</v>
      </c>
      <c r="I124">
        <f>_xlfn.XLOOKUP(Grammys[[#This Row],[date]], mobile_visits[date], mobile_visits[mobile_visitors], 0)</f>
        <v>0</v>
      </c>
      <c r="Q124" s="1">
        <v>44715</v>
      </c>
      <c r="R124">
        <v>7944</v>
      </c>
    </row>
    <row r="125" spans="1:18" x14ac:dyDescent="0.2">
      <c r="A125" s="1">
        <v>42859</v>
      </c>
      <c r="B125">
        <v>9065</v>
      </c>
      <c r="C125">
        <v>17003</v>
      </c>
      <c r="D125">
        <v>9524</v>
      </c>
      <c r="E125">
        <v>6938</v>
      </c>
      <c r="F125">
        <v>72</v>
      </c>
      <c r="G125" t="s">
        <v>20</v>
      </c>
      <c r="H125" t="str">
        <f>IF(Grammys[[#This Row],[date]] &gt;= DATE(2022, 2, 1), "Grammys", "Grammys + TRA")</f>
        <v>Grammys + TRA</v>
      </c>
      <c r="I125">
        <f>_xlfn.XLOOKUP(Grammys[[#This Row],[date]], mobile_visits[date], mobile_visits[mobile_visitors], 0)</f>
        <v>0</v>
      </c>
      <c r="Q125" s="1">
        <v>44716</v>
      </c>
      <c r="R125">
        <v>8937</v>
      </c>
    </row>
    <row r="126" spans="1:18" x14ac:dyDescent="0.2">
      <c r="A126" s="1">
        <v>42860</v>
      </c>
      <c r="B126">
        <v>8668</v>
      </c>
      <c r="C126">
        <v>15453</v>
      </c>
      <c r="D126">
        <v>9066</v>
      </c>
      <c r="E126">
        <v>6757</v>
      </c>
      <c r="F126">
        <v>66</v>
      </c>
      <c r="G126" t="s">
        <v>20</v>
      </c>
      <c r="H126" t="str">
        <f>IF(Grammys[[#This Row],[date]] &gt;= DATE(2022, 2, 1), "Grammys", "Grammys + TRA")</f>
        <v>Grammys + TRA</v>
      </c>
      <c r="I126">
        <f>_xlfn.XLOOKUP(Grammys[[#This Row],[date]], mobile_visits[date], mobile_visits[mobile_visitors], 0)</f>
        <v>0</v>
      </c>
      <c r="Q126" s="1">
        <v>44717</v>
      </c>
      <c r="R126">
        <v>8709</v>
      </c>
    </row>
    <row r="127" spans="1:18" x14ac:dyDescent="0.2">
      <c r="A127" s="1">
        <v>42861</v>
      </c>
      <c r="B127">
        <v>7559</v>
      </c>
      <c r="C127">
        <v>12839</v>
      </c>
      <c r="D127">
        <v>8032</v>
      </c>
      <c r="E127">
        <v>6130</v>
      </c>
      <c r="F127">
        <v>59</v>
      </c>
      <c r="G127" t="s">
        <v>20</v>
      </c>
      <c r="H127" t="str">
        <f>IF(Grammys[[#This Row],[date]] &gt;= DATE(2022, 2, 1), "Grammys", "Grammys + TRA")</f>
        <v>Grammys + TRA</v>
      </c>
      <c r="I127">
        <f>_xlfn.XLOOKUP(Grammys[[#This Row],[date]], mobile_visits[date], mobile_visits[mobile_visitors], 0)</f>
        <v>0</v>
      </c>
      <c r="Q127" s="1">
        <v>44718</v>
      </c>
      <c r="R127">
        <v>7237</v>
      </c>
    </row>
    <row r="128" spans="1:18" x14ac:dyDescent="0.2">
      <c r="A128" s="1">
        <v>42862</v>
      </c>
      <c r="B128">
        <v>7065</v>
      </c>
      <c r="C128">
        <v>12279</v>
      </c>
      <c r="D128">
        <v>7410</v>
      </c>
      <c r="E128">
        <v>5465</v>
      </c>
      <c r="F128">
        <v>63</v>
      </c>
      <c r="G128" t="s">
        <v>20</v>
      </c>
      <c r="H128" t="str">
        <f>IF(Grammys[[#This Row],[date]] &gt;= DATE(2022, 2, 1), "Grammys", "Grammys + TRA")</f>
        <v>Grammys + TRA</v>
      </c>
      <c r="I128">
        <f>_xlfn.XLOOKUP(Grammys[[#This Row],[date]], mobile_visits[date], mobile_visits[mobile_visitors], 0)</f>
        <v>0</v>
      </c>
      <c r="Q128" s="1">
        <v>44719</v>
      </c>
      <c r="R128">
        <v>7657</v>
      </c>
    </row>
    <row r="129" spans="1:18" x14ac:dyDescent="0.2">
      <c r="A129" s="1">
        <v>42863</v>
      </c>
      <c r="B129">
        <v>7589</v>
      </c>
      <c r="C129">
        <v>13694</v>
      </c>
      <c r="D129">
        <v>7946</v>
      </c>
      <c r="E129">
        <v>5815</v>
      </c>
      <c r="F129">
        <v>67</v>
      </c>
      <c r="G129" t="s">
        <v>20</v>
      </c>
      <c r="H129" t="str">
        <f>IF(Grammys[[#This Row],[date]] &gt;= DATE(2022, 2, 1), "Grammys", "Grammys + TRA")</f>
        <v>Grammys + TRA</v>
      </c>
      <c r="I129">
        <f>_xlfn.XLOOKUP(Grammys[[#This Row],[date]], mobile_visits[date], mobile_visits[mobile_visitors], 0)</f>
        <v>0</v>
      </c>
      <c r="Q129" s="1">
        <v>44720</v>
      </c>
      <c r="R129">
        <v>13109</v>
      </c>
    </row>
    <row r="130" spans="1:18" x14ac:dyDescent="0.2">
      <c r="A130" s="1">
        <v>42864</v>
      </c>
      <c r="B130">
        <v>7908</v>
      </c>
      <c r="C130">
        <v>14439</v>
      </c>
      <c r="D130">
        <v>8440</v>
      </c>
      <c r="E130">
        <v>6023</v>
      </c>
      <c r="F130">
        <v>69</v>
      </c>
      <c r="G130" t="s">
        <v>20</v>
      </c>
      <c r="H130" t="str">
        <f>IF(Grammys[[#This Row],[date]] &gt;= DATE(2022, 2, 1), "Grammys", "Grammys + TRA")</f>
        <v>Grammys + TRA</v>
      </c>
      <c r="I130">
        <f>_xlfn.XLOOKUP(Grammys[[#This Row],[date]], mobile_visits[date], mobile_visits[mobile_visitors], 0)</f>
        <v>0</v>
      </c>
      <c r="Q130" s="1">
        <v>44721</v>
      </c>
      <c r="R130">
        <v>18442</v>
      </c>
    </row>
    <row r="131" spans="1:18" x14ac:dyDescent="0.2">
      <c r="A131" s="1">
        <v>42865</v>
      </c>
      <c r="B131">
        <v>7363</v>
      </c>
      <c r="C131">
        <v>13436</v>
      </c>
      <c r="D131">
        <v>7787</v>
      </c>
      <c r="E131">
        <v>5634</v>
      </c>
      <c r="F131">
        <v>67</v>
      </c>
      <c r="G131" t="s">
        <v>20</v>
      </c>
      <c r="H131" t="str">
        <f>IF(Grammys[[#This Row],[date]] &gt;= DATE(2022, 2, 1), "Grammys", "Grammys + TRA")</f>
        <v>Grammys + TRA</v>
      </c>
      <c r="I131">
        <f>_xlfn.XLOOKUP(Grammys[[#This Row],[date]], mobile_visits[date], mobile_visits[mobile_visitors], 0)</f>
        <v>0</v>
      </c>
      <c r="Q131" s="1">
        <v>44722</v>
      </c>
      <c r="R131">
        <v>22236</v>
      </c>
    </row>
    <row r="132" spans="1:18" x14ac:dyDescent="0.2">
      <c r="A132" s="1">
        <v>42866</v>
      </c>
      <c r="B132">
        <v>7019</v>
      </c>
      <c r="C132">
        <v>12511</v>
      </c>
      <c r="D132">
        <v>7409</v>
      </c>
      <c r="E132">
        <v>5431</v>
      </c>
      <c r="F132">
        <v>64</v>
      </c>
      <c r="G132" t="s">
        <v>20</v>
      </c>
      <c r="H132" t="str">
        <f>IF(Grammys[[#This Row],[date]] &gt;= DATE(2022, 2, 1), "Grammys", "Grammys + TRA")</f>
        <v>Grammys + TRA</v>
      </c>
      <c r="I132">
        <f>_xlfn.XLOOKUP(Grammys[[#This Row],[date]], mobile_visits[date], mobile_visits[mobile_visitors], 0)</f>
        <v>0</v>
      </c>
      <c r="Q132" s="1">
        <v>44723</v>
      </c>
      <c r="R132">
        <v>15349</v>
      </c>
    </row>
    <row r="133" spans="1:18" x14ac:dyDescent="0.2">
      <c r="A133" s="1">
        <v>42867</v>
      </c>
      <c r="B133">
        <v>6703</v>
      </c>
      <c r="C133">
        <v>12084</v>
      </c>
      <c r="D133">
        <v>7098</v>
      </c>
      <c r="E133">
        <v>5281</v>
      </c>
      <c r="F133">
        <v>64</v>
      </c>
      <c r="G133" t="s">
        <v>20</v>
      </c>
      <c r="H133" t="str">
        <f>IF(Grammys[[#This Row],[date]] &gt;= DATE(2022, 2, 1), "Grammys", "Grammys + TRA")</f>
        <v>Grammys + TRA</v>
      </c>
      <c r="I133">
        <f>_xlfn.XLOOKUP(Grammys[[#This Row],[date]], mobile_visits[date], mobile_visits[mobile_visitors], 0)</f>
        <v>0</v>
      </c>
      <c r="Q133" s="1">
        <v>44724</v>
      </c>
      <c r="R133">
        <v>11890</v>
      </c>
    </row>
    <row r="134" spans="1:18" x14ac:dyDescent="0.2">
      <c r="A134" s="1">
        <v>42868</v>
      </c>
      <c r="B134">
        <v>6279</v>
      </c>
      <c r="C134">
        <v>11498</v>
      </c>
      <c r="D134">
        <v>6524</v>
      </c>
      <c r="E134">
        <v>4736</v>
      </c>
      <c r="F134">
        <v>69</v>
      </c>
      <c r="G134" t="s">
        <v>20</v>
      </c>
      <c r="H134" t="str">
        <f>IF(Grammys[[#This Row],[date]] &gt;= DATE(2022, 2, 1), "Grammys", "Grammys + TRA")</f>
        <v>Grammys + TRA</v>
      </c>
      <c r="I134">
        <f>_xlfn.XLOOKUP(Grammys[[#This Row],[date]], mobile_visits[date], mobile_visits[mobile_visitors], 0)</f>
        <v>0</v>
      </c>
      <c r="Q134" s="1">
        <v>44725</v>
      </c>
      <c r="R134">
        <v>10433</v>
      </c>
    </row>
    <row r="135" spans="1:18" x14ac:dyDescent="0.2">
      <c r="A135" s="1">
        <v>42869</v>
      </c>
      <c r="B135">
        <v>5789</v>
      </c>
      <c r="C135">
        <v>11085</v>
      </c>
      <c r="D135">
        <v>6111</v>
      </c>
      <c r="E135">
        <v>4466</v>
      </c>
      <c r="F135">
        <v>71</v>
      </c>
      <c r="G135" t="s">
        <v>20</v>
      </c>
      <c r="H135" t="str">
        <f>IF(Grammys[[#This Row],[date]] &gt;= DATE(2022, 2, 1), "Grammys", "Grammys + TRA")</f>
        <v>Grammys + TRA</v>
      </c>
      <c r="I135">
        <f>_xlfn.XLOOKUP(Grammys[[#This Row],[date]], mobile_visits[date], mobile_visits[mobile_visitors], 0)</f>
        <v>0</v>
      </c>
      <c r="Q135" s="1">
        <v>44726</v>
      </c>
      <c r="R135">
        <v>10968</v>
      </c>
    </row>
    <row r="136" spans="1:18" x14ac:dyDescent="0.2">
      <c r="A136" s="1">
        <v>42870</v>
      </c>
      <c r="B136">
        <v>6356</v>
      </c>
      <c r="C136">
        <v>11424</v>
      </c>
      <c r="D136">
        <v>6691</v>
      </c>
      <c r="E136">
        <v>4928</v>
      </c>
      <c r="F136">
        <v>68</v>
      </c>
      <c r="G136" t="s">
        <v>20</v>
      </c>
      <c r="H136" t="str">
        <f>IF(Grammys[[#This Row],[date]] &gt;= DATE(2022, 2, 1), "Grammys", "Grammys + TRA")</f>
        <v>Grammys + TRA</v>
      </c>
      <c r="I136">
        <f>_xlfn.XLOOKUP(Grammys[[#This Row],[date]], mobile_visits[date], mobile_visits[mobile_visitors], 0)</f>
        <v>0</v>
      </c>
      <c r="Q136" s="1">
        <v>44727</v>
      </c>
      <c r="R136">
        <v>8899</v>
      </c>
    </row>
    <row r="137" spans="1:18" x14ac:dyDescent="0.2">
      <c r="A137" s="1">
        <v>42871</v>
      </c>
      <c r="B137">
        <v>6376</v>
      </c>
      <c r="C137">
        <v>11956</v>
      </c>
      <c r="D137">
        <v>6735</v>
      </c>
      <c r="E137">
        <v>4848</v>
      </c>
      <c r="F137">
        <v>75</v>
      </c>
      <c r="G137" t="s">
        <v>20</v>
      </c>
      <c r="H137" t="str">
        <f>IF(Grammys[[#This Row],[date]] &gt;= DATE(2022, 2, 1), "Grammys", "Grammys + TRA")</f>
        <v>Grammys + TRA</v>
      </c>
      <c r="I137">
        <f>_xlfn.XLOOKUP(Grammys[[#This Row],[date]], mobile_visits[date], mobile_visits[mobile_visitors], 0)</f>
        <v>0</v>
      </c>
      <c r="Q137" s="1">
        <v>44728</v>
      </c>
      <c r="R137">
        <v>11492</v>
      </c>
    </row>
    <row r="138" spans="1:18" x14ac:dyDescent="0.2">
      <c r="A138" s="1">
        <v>42872</v>
      </c>
      <c r="B138">
        <v>1462</v>
      </c>
      <c r="C138">
        <v>2493</v>
      </c>
      <c r="D138">
        <v>1516</v>
      </c>
      <c r="E138">
        <v>1002</v>
      </c>
      <c r="F138">
        <v>94</v>
      </c>
      <c r="G138" t="s">
        <v>20</v>
      </c>
      <c r="H138" t="str">
        <f>IF(Grammys[[#This Row],[date]] &gt;= DATE(2022, 2, 1), "Grammys", "Grammys + TRA")</f>
        <v>Grammys + TRA</v>
      </c>
      <c r="I138">
        <f>_xlfn.XLOOKUP(Grammys[[#This Row],[date]], mobile_visits[date], mobile_visits[mobile_visitors], 0)</f>
        <v>0</v>
      </c>
      <c r="Q138" s="1">
        <v>44729</v>
      </c>
      <c r="R138">
        <v>12255</v>
      </c>
    </row>
    <row r="139" spans="1:18" x14ac:dyDescent="0.2">
      <c r="A139" s="1">
        <v>42873</v>
      </c>
      <c r="B139">
        <v>4263</v>
      </c>
      <c r="C139">
        <v>6743</v>
      </c>
      <c r="D139">
        <v>4490</v>
      </c>
      <c r="E139">
        <v>3042</v>
      </c>
      <c r="F139">
        <v>69</v>
      </c>
      <c r="G139" t="s">
        <v>20</v>
      </c>
      <c r="H139" t="str">
        <f>IF(Grammys[[#This Row],[date]] &gt;= DATE(2022, 2, 1), "Grammys", "Grammys + TRA")</f>
        <v>Grammys + TRA</v>
      </c>
      <c r="I139">
        <f>_xlfn.XLOOKUP(Grammys[[#This Row],[date]], mobile_visits[date], mobile_visits[mobile_visitors], 0)</f>
        <v>0</v>
      </c>
      <c r="Q139" s="1">
        <v>44730</v>
      </c>
      <c r="R139">
        <v>9358</v>
      </c>
    </row>
    <row r="140" spans="1:18" x14ac:dyDescent="0.2">
      <c r="A140" s="1">
        <v>42874</v>
      </c>
      <c r="B140">
        <v>4018</v>
      </c>
      <c r="C140">
        <v>6443</v>
      </c>
      <c r="D140">
        <v>4220</v>
      </c>
      <c r="E140">
        <v>2364</v>
      </c>
      <c r="F140">
        <v>78</v>
      </c>
      <c r="G140" t="s">
        <v>20</v>
      </c>
      <c r="H140" t="str">
        <f>IF(Grammys[[#This Row],[date]] &gt;= DATE(2022, 2, 1), "Grammys", "Grammys + TRA")</f>
        <v>Grammys + TRA</v>
      </c>
      <c r="I140">
        <f>_xlfn.XLOOKUP(Grammys[[#This Row],[date]], mobile_visits[date], mobile_visits[mobile_visitors], 0)</f>
        <v>0</v>
      </c>
      <c r="Q140" s="1">
        <v>44731</v>
      </c>
      <c r="R140">
        <v>9579</v>
      </c>
    </row>
    <row r="141" spans="1:18" x14ac:dyDescent="0.2">
      <c r="A141" s="1">
        <v>42875</v>
      </c>
      <c r="B141">
        <v>3444</v>
      </c>
      <c r="C141">
        <v>5451</v>
      </c>
      <c r="D141">
        <v>3610</v>
      </c>
      <c r="E141">
        <v>1861</v>
      </c>
      <c r="F141">
        <v>83</v>
      </c>
      <c r="G141" t="s">
        <v>20</v>
      </c>
      <c r="H141" t="str">
        <f>IF(Grammys[[#This Row],[date]] &gt;= DATE(2022, 2, 1), "Grammys", "Grammys + TRA")</f>
        <v>Grammys + TRA</v>
      </c>
      <c r="I141">
        <f>_xlfn.XLOOKUP(Grammys[[#This Row],[date]], mobile_visits[date], mobile_visits[mobile_visitors], 0)</f>
        <v>0</v>
      </c>
      <c r="Q141" s="1">
        <v>44732</v>
      </c>
      <c r="R141">
        <v>9868</v>
      </c>
    </row>
    <row r="142" spans="1:18" x14ac:dyDescent="0.2">
      <c r="A142" s="1">
        <v>42876</v>
      </c>
      <c r="B142">
        <v>4776</v>
      </c>
      <c r="C142">
        <v>7596</v>
      </c>
      <c r="D142">
        <v>5018</v>
      </c>
      <c r="E142">
        <v>2711</v>
      </c>
      <c r="F142">
        <v>83</v>
      </c>
      <c r="G142" t="s">
        <v>20</v>
      </c>
      <c r="H142" t="str">
        <f>IF(Grammys[[#This Row],[date]] &gt;= DATE(2022, 2, 1), "Grammys", "Grammys + TRA")</f>
        <v>Grammys + TRA</v>
      </c>
      <c r="I142">
        <f>_xlfn.XLOOKUP(Grammys[[#This Row],[date]], mobile_visits[date], mobile_visits[mobile_visitors], 0)</f>
        <v>0</v>
      </c>
      <c r="Q142" s="1">
        <v>44733</v>
      </c>
      <c r="R142">
        <v>9075</v>
      </c>
    </row>
    <row r="143" spans="1:18" x14ac:dyDescent="0.2">
      <c r="A143" s="1">
        <v>42877</v>
      </c>
      <c r="B143">
        <v>5434</v>
      </c>
      <c r="C143">
        <v>8280</v>
      </c>
      <c r="D143">
        <v>5687</v>
      </c>
      <c r="E143">
        <v>3141</v>
      </c>
      <c r="F143">
        <v>77</v>
      </c>
      <c r="G143" t="s">
        <v>20</v>
      </c>
      <c r="H143" t="str">
        <f>IF(Grammys[[#This Row],[date]] &gt;= DATE(2022, 2, 1), "Grammys", "Grammys + TRA")</f>
        <v>Grammys + TRA</v>
      </c>
      <c r="I143">
        <f>_xlfn.XLOOKUP(Grammys[[#This Row],[date]], mobile_visits[date], mobile_visits[mobile_visitors], 0)</f>
        <v>0</v>
      </c>
      <c r="Q143" s="1">
        <v>44734</v>
      </c>
      <c r="R143">
        <v>8343</v>
      </c>
    </row>
    <row r="144" spans="1:18" x14ac:dyDescent="0.2">
      <c r="A144" s="1">
        <v>42878</v>
      </c>
      <c r="B144">
        <v>4157</v>
      </c>
      <c r="C144">
        <v>6434</v>
      </c>
      <c r="D144">
        <v>4412</v>
      </c>
      <c r="E144">
        <v>2466</v>
      </c>
      <c r="F144">
        <v>80</v>
      </c>
      <c r="G144" t="s">
        <v>20</v>
      </c>
      <c r="H144" t="str">
        <f>IF(Grammys[[#This Row],[date]] &gt;= DATE(2022, 2, 1), "Grammys", "Grammys + TRA")</f>
        <v>Grammys + TRA</v>
      </c>
      <c r="I144">
        <f>_xlfn.XLOOKUP(Grammys[[#This Row],[date]], mobile_visits[date], mobile_visits[mobile_visitors], 0)</f>
        <v>0</v>
      </c>
      <c r="Q144" s="1">
        <v>44735</v>
      </c>
      <c r="R144">
        <v>8078</v>
      </c>
    </row>
    <row r="145" spans="1:18" x14ac:dyDescent="0.2">
      <c r="A145" s="1">
        <v>42879</v>
      </c>
      <c r="B145">
        <v>3766</v>
      </c>
      <c r="C145">
        <v>6088</v>
      </c>
      <c r="D145">
        <v>3986</v>
      </c>
      <c r="E145">
        <v>2163</v>
      </c>
      <c r="F145">
        <v>90</v>
      </c>
      <c r="G145" t="s">
        <v>20</v>
      </c>
      <c r="H145" t="str">
        <f>IF(Grammys[[#This Row],[date]] &gt;= DATE(2022, 2, 1), "Grammys", "Grammys + TRA")</f>
        <v>Grammys + TRA</v>
      </c>
      <c r="I145">
        <f>_xlfn.XLOOKUP(Grammys[[#This Row],[date]], mobile_visits[date], mobile_visits[mobile_visitors], 0)</f>
        <v>0</v>
      </c>
      <c r="Q145" s="1">
        <v>44736</v>
      </c>
      <c r="R145">
        <v>8148</v>
      </c>
    </row>
    <row r="146" spans="1:18" x14ac:dyDescent="0.2">
      <c r="A146" s="1">
        <v>42880</v>
      </c>
      <c r="B146">
        <v>4317</v>
      </c>
      <c r="C146">
        <v>7003</v>
      </c>
      <c r="D146">
        <v>4582</v>
      </c>
      <c r="E146">
        <v>2529</v>
      </c>
      <c r="F146">
        <v>84</v>
      </c>
      <c r="G146" t="s">
        <v>20</v>
      </c>
      <c r="H146" t="str">
        <f>IF(Grammys[[#This Row],[date]] &gt;= DATE(2022, 2, 1), "Grammys", "Grammys + TRA")</f>
        <v>Grammys + TRA</v>
      </c>
      <c r="I146">
        <f>_xlfn.XLOOKUP(Grammys[[#This Row],[date]], mobile_visits[date], mobile_visits[mobile_visitors], 0)</f>
        <v>0</v>
      </c>
      <c r="Q146" s="1">
        <v>44737</v>
      </c>
      <c r="R146">
        <v>7657</v>
      </c>
    </row>
    <row r="147" spans="1:18" x14ac:dyDescent="0.2">
      <c r="A147" s="1">
        <v>42881</v>
      </c>
      <c r="B147">
        <v>4406</v>
      </c>
      <c r="C147">
        <v>7131</v>
      </c>
      <c r="D147">
        <v>4729</v>
      </c>
      <c r="E147">
        <v>2613</v>
      </c>
      <c r="F147">
        <v>81</v>
      </c>
      <c r="G147" t="s">
        <v>20</v>
      </c>
      <c r="H147" t="str">
        <f>IF(Grammys[[#This Row],[date]] &gt;= DATE(2022, 2, 1), "Grammys", "Grammys + TRA")</f>
        <v>Grammys + TRA</v>
      </c>
      <c r="I147">
        <f>_xlfn.XLOOKUP(Grammys[[#This Row],[date]], mobile_visits[date], mobile_visits[mobile_visitors], 0)</f>
        <v>0</v>
      </c>
      <c r="Q147" s="1">
        <v>44738</v>
      </c>
      <c r="R147">
        <v>8268</v>
      </c>
    </row>
    <row r="148" spans="1:18" x14ac:dyDescent="0.2">
      <c r="A148" s="1">
        <v>42882</v>
      </c>
      <c r="B148">
        <v>4031</v>
      </c>
      <c r="C148">
        <v>6774</v>
      </c>
      <c r="D148">
        <v>4272</v>
      </c>
      <c r="E148">
        <v>2474</v>
      </c>
      <c r="F148">
        <v>76</v>
      </c>
      <c r="G148" t="s">
        <v>20</v>
      </c>
      <c r="H148" t="str">
        <f>IF(Grammys[[#This Row],[date]] &gt;= DATE(2022, 2, 1), "Grammys", "Grammys + TRA")</f>
        <v>Grammys + TRA</v>
      </c>
      <c r="I148">
        <f>_xlfn.XLOOKUP(Grammys[[#This Row],[date]], mobile_visits[date], mobile_visits[mobile_visitors], 0)</f>
        <v>0</v>
      </c>
      <c r="Q148" s="1">
        <v>44739</v>
      </c>
      <c r="R148">
        <v>7772</v>
      </c>
    </row>
    <row r="149" spans="1:18" x14ac:dyDescent="0.2">
      <c r="A149" s="1">
        <v>42883</v>
      </c>
      <c r="B149">
        <v>5186</v>
      </c>
      <c r="C149">
        <v>12019</v>
      </c>
      <c r="D149">
        <v>5566</v>
      </c>
      <c r="E149">
        <v>2796</v>
      </c>
      <c r="F149">
        <v>111</v>
      </c>
      <c r="G149" t="s">
        <v>20</v>
      </c>
      <c r="H149" t="str">
        <f>IF(Grammys[[#This Row],[date]] &gt;= DATE(2022, 2, 1), "Grammys", "Grammys + TRA")</f>
        <v>Grammys + TRA</v>
      </c>
      <c r="I149">
        <f>_xlfn.XLOOKUP(Grammys[[#This Row],[date]], mobile_visits[date], mobile_visits[mobile_visitors], 0)</f>
        <v>0</v>
      </c>
      <c r="Q149" s="1">
        <v>44740</v>
      </c>
      <c r="R149">
        <v>7860</v>
      </c>
    </row>
    <row r="150" spans="1:18" x14ac:dyDescent="0.2">
      <c r="A150" s="1">
        <v>42884</v>
      </c>
      <c r="B150">
        <v>3972</v>
      </c>
      <c r="C150">
        <v>7122</v>
      </c>
      <c r="D150">
        <v>4245</v>
      </c>
      <c r="E150">
        <v>2365</v>
      </c>
      <c r="F150">
        <v>87</v>
      </c>
      <c r="G150" t="s">
        <v>20</v>
      </c>
      <c r="H150" t="str">
        <f>IF(Grammys[[#This Row],[date]] &gt;= DATE(2022, 2, 1), "Grammys", "Grammys + TRA")</f>
        <v>Grammys + TRA</v>
      </c>
      <c r="I150">
        <f>_xlfn.XLOOKUP(Grammys[[#This Row],[date]], mobile_visits[date], mobile_visits[mobile_visitors], 0)</f>
        <v>0</v>
      </c>
      <c r="Q150" s="1">
        <v>44741</v>
      </c>
      <c r="R150">
        <v>20986</v>
      </c>
    </row>
    <row r="151" spans="1:18" x14ac:dyDescent="0.2">
      <c r="A151" s="1">
        <v>42885</v>
      </c>
      <c r="B151">
        <v>5343</v>
      </c>
      <c r="C151">
        <v>8187</v>
      </c>
      <c r="D151">
        <v>5624</v>
      </c>
      <c r="E151">
        <v>2816</v>
      </c>
      <c r="F151">
        <v>85</v>
      </c>
      <c r="G151" t="s">
        <v>20</v>
      </c>
      <c r="H151" t="str">
        <f>IF(Grammys[[#This Row],[date]] &gt;= DATE(2022, 2, 1), "Grammys", "Grammys + TRA")</f>
        <v>Grammys + TRA</v>
      </c>
      <c r="I151">
        <f>_xlfn.XLOOKUP(Grammys[[#This Row],[date]], mobile_visits[date], mobile_visits[mobile_visitors], 0)</f>
        <v>0</v>
      </c>
      <c r="Q151" s="1">
        <v>44742</v>
      </c>
      <c r="R151">
        <v>11811</v>
      </c>
    </row>
    <row r="152" spans="1:18" x14ac:dyDescent="0.2">
      <c r="A152" s="1">
        <v>42886</v>
      </c>
      <c r="B152">
        <v>5060</v>
      </c>
      <c r="C152">
        <v>8021</v>
      </c>
      <c r="D152">
        <v>5307</v>
      </c>
      <c r="E152">
        <v>2805</v>
      </c>
      <c r="F152">
        <v>81</v>
      </c>
      <c r="G152" t="s">
        <v>20</v>
      </c>
      <c r="H152" t="str">
        <f>IF(Grammys[[#This Row],[date]] &gt;= DATE(2022, 2, 1), "Grammys", "Grammys + TRA")</f>
        <v>Grammys + TRA</v>
      </c>
      <c r="I152">
        <f>_xlfn.XLOOKUP(Grammys[[#This Row],[date]], mobile_visits[date], mobile_visits[mobile_visitors], 0)</f>
        <v>0</v>
      </c>
      <c r="Q152" s="1">
        <v>44743</v>
      </c>
      <c r="R152">
        <v>10215</v>
      </c>
    </row>
    <row r="153" spans="1:18" x14ac:dyDescent="0.2">
      <c r="A153" s="1">
        <v>42887</v>
      </c>
      <c r="B153">
        <v>3998</v>
      </c>
      <c r="C153">
        <v>6474</v>
      </c>
      <c r="D153">
        <v>4233</v>
      </c>
      <c r="E153">
        <v>2396</v>
      </c>
      <c r="F153">
        <v>78</v>
      </c>
      <c r="G153" t="s">
        <v>20</v>
      </c>
      <c r="H153" t="str">
        <f>IF(Grammys[[#This Row],[date]] &gt;= DATE(2022, 2, 1), "Grammys", "Grammys + TRA")</f>
        <v>Grammys + TRA</v>
      </c>
      <c r="I153">
        <f>_xlfn.XLOOKUP(Grammys[[#This Row],[date]], mobile_visits[date], mobile_visits[mobile_visitors], 0)</f>
        <v>0</v>
      </c>
      <c r="Q153" s="1">
        <v>44744</v>
      </c>
      <c r="R153">
        <v>11704</v>
      </c>
    </row>
    <row r="154" spans="1:18" x14ac:dyDescent="0.2">
      <c r="A154" s="1">
        <v>42888</v>
      </c>
      <c r="B154">
        <v>3761</v>
      </c>
      <c r="C154">
        <v>5890</v>
      </c>
      <c r="D154">
        <v>3972</v>
      </c>
      <c r="E154">
        <v>2307</v>
      </c>
      <c r="F154">
        <v>73</v>
      </c>
      <c r="G154" t="s">
        <v>20</v>
      </c>
      <c r="H154" t="str">
        <f>IF(Grammys[[#This Row],[date]] &gt;= DATE(2022, 2, 1), "Grammys", "Grammys + TRA")</f>
        <v>Grammys + TRA</v>
      </c>
      <c r="I154">
        <f>_xlfn.XLOOKUP(Grammys[[#This Row],[date]], mobile_visits[date], mobile_visits[mobile_visitors], 0)</f>
        <v>0</v>
      </c>
      <c r="Q154" s="1">
        <v>44745</v>
      </c>
      <c r="R154">
        <v>10138</v>
      </c>
    </row>
    <row r="155" spans="1:18" x14ac:dyDescent="0.2">
      <c r="A155" s="1">
        <v>42889</v>
      </c>
      <c r="B155">
        <v>3794</v>
      </c>
      <c r="C155">
        <v>6006</v>
      </c>
      <c r="D155">
        <v>3967</v>
      </c>
      <c r="E155">
        <v>2282</v>
      </c>
      <c r="F155">
        <v>78</v>
      </c>
      <c r="G155" t="s">
        <v>20</v>
      </c>
      <c r="H155" t="str">
        <f>IF(Grammys[[#This Row],[date]] &gt;= DATE(2022, 2, 1), "Grammys", "Grammys + TRA")</f>
        <v>Grammys + TRA</v>
      </c>
      <c r="I155">
        <f>_xlfn.XLOOKUP(Grammys[[#This Row],[date]], mobile_visits[date], mobile_visits[mobile_visitors], 0)</f>
        <v>0</v>
      </c>
      <c r="Q155" s="1">
        <v>44746</v>
      </c>
      <c r="R155">
        <v>9361</v>
      </c>
    </row>
    <row r="156" spans="1:18" x14ac:dyDescent="0.2">
      <c r="A156" s="1">
        <v>42890</v>
      </c>
      <c r="B156">
        <v>3907</v>
      </c>
      <c r="C156">
        <v>6189</v>
      </c>
      <c r="D156">
        <v>4103</v>
      </c>
      <c r="E156">
        <v>2351</v>
      </c>
      <c r="F156">
        <v>70</v>
      </c>
      <c r="G156" t="s">
        <v>20</v>
      </c>
      <c r="H156" t="str">
        <f>IF(Grammys[[#This Row],[date]] &gt;= DATE(2022, 2, 1), "Grammys", "Grammys + TRA")</f>
        <v>Grammys + TRA</v>
      </c>
      <c r="I156">
        <f>_xlfn.XLOOKUP(Grammys[[#This Row],[date]], mobile_visits[date], mobile_visits[mobile_visitors], 0)</f>
        <v>0</v>
      </c>
      <c r="Q156" s="1">
        <v>44747</v>
      </c>
      <c r="R156">
        <v>11760</v>
      </c>
    </row>
    <row r="157" spans="1:18" x14ac:dyDescent="0.2">
      <c r="A157" s="1">
        <v>42891</v>
      </c>
      <c r="B157">
        <v>5109</v>
      </c>
      <c r="C157">
        <v>8047</v>
      </c>
      <c r="D157">
        <v>5355</v>
      </c>
      <c r="E157">
        <v>2833</v>
      </c>
      <c r="F157">
        <v>76</v>
      </c>
      <c r="G157" t="s">
        <v>20</v>
      </c>
      <c r="H157" t="str">
        <f>IF(Grammys[[#This Row],[date]] &gt;= DATE(2022, 2, 1), "Grammys", "Grammys + TRA")</f>
        <v>Grammys + TRA</v>
      </c>
      <c r="I157">
        <f>_xlfn.XLOOKUP(Grammys[[#This Row],[date]], mobile_visits[date], mobile_visits[mobile_visitors], 0)</f>
        <v>0</v>
      </c>
      <c r="Q157" s="1">
        <v>44748</v>
      </c>
      <c r="R157">
        <v>10296</v>
      </c>
    </row>
    <row r="158" spans="1:18" x14ac:dyDescent="0.2">
      <c r="A158" s="1">
        <v>42892</v>
      </c>
      <c r="B158">
        <v>4786</v>
      </c>
      <c r="C158">
        <v>9770</v>
      </c>
      <c r="D158">
        <v>5054</v>
      </c>
      <c r="E158">
        <v>2091</v>
      </c>
      <c r="F158">
        <v>84</v>
      </c>
      <c r="G158" t="s">
        <v>20</v>
      </c>
      <c r="H158" t="str">
        <f>IF(Grammys[[#This Row],[date]] &gt;= DATE(2022, 2, 1), "Grammys", "Grammys + TRA")</f>
        <v>Grammys + TRA</v>
      </c>
      <c r="I158">
        <f>_xlfn.XLOOKUP(Grammys[[#This Row],[date]], mobile_visits[date], mobile_visits[mobile_visitors], 0)</f>
        <v>0</v>
      </c>
      <c r="Q158" s="1">
        <v>44749</v>
      </c>
      <c r="R158">
        <v>10806</v>
      </c>
    </row>
    <row r="159" spans="1:18" x14ac:dyDescent="0.2">
      <c r="A159" s="1">
        <v>42893</v>
      </c>
      <c r="B159">
        <v>5010</v>
      </c>
      <c r="C159">
        <v>11189</v>
      </c>
      <c r="D159">
        <v>5290</v>
      </c>
      <c r="E159">
        <v>1746</v>
      </c>
      <c r="F159">
        <v>80</v>
      </c>
      <c r="G159" t="s">
        <v>20</v>
      </c>
      <c r="H159" t="str">
        <f>IF(Grammys[[#This Row],[date]] &gt;= DATE(2022, 2, 1), "Grammys", "Grammys + TRA")</f>
        <v>Grammys + TRA</v>
      </c>
      <c r="I159">
        <f>_xlfn.XLOOKUP(Grammys[[#This Row],[date]], mobile_visits[date], mobile_visits[mobile_visitors], 0)</f>
        <v>0</v>
      </c>
      <c r="Q159" s="1">
        <v>44750</v>
      </c>
      <c r="R159">
        <v>9690</v>
      </c>
    </row>
    <row r="160" spans="1:18" x14ac:dyDescent="0.2">
      <c r="A160" s="1">
        <v>42894</v>
      </c>
      <c r="B160">
        <v>5338</v>
      </c>
      <c r="C160">
        <v>9638</v>
      </c>
      <c r="D160">
        <v>5648</v>
      </c>
      <c r="E160">
        <v>2436</v>
      </c>
      <c r="F160">
        <v>77</v>
      </c>
      <c r="G160" t="s">
        <v>20</v>
      </c>
      <c r="H160" t="str">
        <f>IF(Grammys[[#This Row],[date]] &gt;= DATE(2022, 2, 1), "Grammys", "Grammys + TRA")</f>
        <v>Grammys + TRA</v>
      </c>
      <c r="I160">
        <f>_xlfn.XLOOKUP(Grammys[[#This Row],[date]], mobile_visits[date], mobile_visits[mobile_visitors], 0)</f>
        <v>0</v>
      </c>
      <c r="Q160" s="1">
        <v>44751</v>
      </c>
      <c r="R160">
        <v>8807</v>
      </c>
    </row>
    <row r="161" spans="1:18" x14ac:dyDescent="0.2">
      <c r="A161" s="1">
        <v>42895</v>
      </c>
      <c r="B161">
        <v>4948</v>
      </c>
      <c r="C161">
        <v>8029</v>
      </c>
      <c r="D161">
        <v>5214</v>
      </c>
      <c r="E161">
        <v>2716</v>
      </c>
      <c r="F161">
        <v>86</v>
      </c>
      <c r="G161" t="s">
        <v>20</v>
      </c>
      <c r="H161" t="str">
        <f>IF(Grammys[[#This Row],[date]] &gt;= DATE(2022, 2, 1), "Grammys", "Grammys + TRA")</f>
        <v>Grammys + TRA</v>
      </c>
      <c r="I161">
        <f>_xlfn.XLOOKUP(Grammys[[#This Row],[date]], mobile_visits[date], mobile_visits[mobile_visitors], 0)</f>
        <v>0</v>
      </c>
      <c r="Q161" s="1">
        <v>44752</v>
      </c>
      <c r="R161">
        <v>7675</v>
      </c>
    </row>
    <row r="162" spans="1:18" x14ac:dyDescent="0.2">
      <c r="A162" s="1">
        <v>42896</v>
      </c>
      <c r="B162">
        <v>4786</v>
      </c>
      <c r="C162">
        <v>7389</v>
      </c>
      <c r="D162">
        <v>5034</v>
      </c>
      <c r="E162">
        <v>2599</v>
      </c>
      <c r="F162">
        <v>75</v>
      </c>
      <c r="G162" t="s">
        <v>20</v>
      </c>
      <c r="H162" t="str">
        <f>IF(Grammys[[#This Row],[date]] &gt;= DATE(2022, 2, 1), "Grammys", "Grammys + TRA")</f>
        <v>Grammys + TRA</v>
      </c>
      <c r="I162">
        <f>_xlfn.XLOOKUP(Grammys[[#This Row],[date]], mobile_visits[date], mobile_visits[mobile_visitors], 0)</f>
        <v>0</v>
      </c>
      <c r="Q162" s="1">
        <v>44753</v>
      </c>
      <c r="R162">
        <v>9797</v>
      </c>
    </row>
    <row r="163" spans="1:18" x14ac:dyDescent="0.2">
      <c r="A163" s="1">
        <v>42897</v>
      </c>
      <c r="B163">
        <v>5219</v>
      </c>
      <c r="C163">
        <v>8070</v>
      </c>
      <c r="D163">
        <v>5513</v>
      </c>
      <c r="E163">
        <v>2783</v>
      </c>
      <c r="F163">
        <v>77</v>
      </c>
      <c r="G163" t="s">
        <v>20</v>
      </c>
      <c r="H163" t="str">
        <f>IF(Grammys[[#This Row],[date]] &gt;= DATE(2022, 2, 1), "Grammys", "Grammys + TRA")</f>
        <v>Grammys + TRA</v>
      </c>
      <c r="I163">
        <f>_xlfn.XLOOKUP(Grammys[[#This Row],[date]], mobile_visits[date], mobile_visits[mobile_visitors], 0)</f>
        <v>0</v>
      </c>
      <c r="Q163" s="1">
        <v>44754</v>
      </c>
      <c r="R163">
        <v>10548</v>
      </c>
    </row>
    <row r="164" spans="1:18" x14ac:dyDescent="0.2">
      <c r="A164" s="1">
        <v>42898</v>
      </c>
      <c r="B164">
        <v>5631</v>
      </c>
      <c r="C164">
        <v>8580</v>
      </c>
      <c r="D164">
        <v>5962</v>
      </c>
      <c r="E164">
        <v>3023</v>
      </c>
      <c r="F164">
        <v>84</v>
      </c>
      <c r="G164" t="s">
        <v>20</v>
      </c>
      <c r="H164" t="str">
        <f>IF(Grammys[[#This Row],[date]] &gt;= DATE(2022, 2, 1), "Grammys", "Grammys + TRA")</f>
        <v>Grammys + TRA</v>
      </c>
      <c r="I164">
        <f>_xlfn.XLOOKUP(Grammys[[#This Row],[date]], mobile_visits[date], mobile_visits[mobile_visitors], 0)</f>
        <v>0</v>
      </c>
      <c r="Q164" s="1">
        <v>44755</v>
      </c>
      <c r="R164">
        <v>9586</v>
      </c>
    </row>
    <row r="165" spans="1:18" x14ac:dyDescent="0.2">
      <c r="A165" s="1">
        <v>42899</v>
      </c>
      <c r="B165">
        <v>5178</v>
      </c>
      <c r="C165">
        <v>8196</v>
      </c>
      <c r="D165">
        <v>5504</v>
      </c>
      <c r="E165">
        <v>2803</v>
      </c>
      <c r="F165">
        <v>92</v>
      </c>
      <c r="G165" t="s">
        <v>20</v>
      </c>
      <c r="H165" t="str">
        <f>IF(Grammys[[#This Row],[date]] &gt;= DATE(2022, 2, 1), "Grammys", "Grammys + TRA")</f>
        <v>Grammys + TRA</v>
      </c>
      <c r="I165">
        <f>_xlfn.XLOOKUP(Grammys[[#This Row],[date]], mobile_visits[date], mobile_visits[mobile_visitors], 0)</f>
        <v>0</v>
      </c>
      <c r="Q165" s="1">
        <v>44756</v>
      </c>
      <c r="R165">
        <v>10245</v>
      </c>
    </row>
    <row r="166" spans="1:18" x14ac:dyDescent="0.2">
      <c r="A166" s="1">
        <v>42900</v>
      </c>
      <c r="B166">
        <v>5952</v>
      </c>
      <c r="C166">
        <v>9445</v>
      </c>
      <c r="D166">
        <v>6368</v>
      </c>
      <c r="E166">
        <v>3146</v>
      </c>
      <c r="F166">
        <v>85</v>
      </c>
      <c r="G166" t="s">
        <v>20</v>
      </c>
      <c r="H166" t="str">
        <f>IF(Grammys[[#This Row],[date]] &gt;= DATE(2022, 2, 1), "Grammys", "Grammys + TRA")</f>
        <v>Grammys + TRA</v>
      </c>
      <c r="I166">
        <f>_xlfn.XLOOKUP(Grammys[[#This Row],[date]], mobile_visits[date], mobile_visits[mobile_visitors], 0)</f>
        <v>0</v>
      </c>
      <c r="Q166" s="1">
        <v>44757</v>
      </c>
      <c r="R166">
        <v>13501</v>
      </c>
    </row>
    <row r="167" spans="1:18" x14ac:dyDescent="0.2">
      <c r="A167" s="1">
        <v>42901</v>
      </c>
      <c r="B167">
        <v>5287</v>
      </c>
      <c r="C167">
        <v>8453</v>
      </c>
      <c r="D167">
        <v>5597</v>
      </c>
      <c r="E167">
        <v>2798</v>
      </c>
      <c r="F167">
        <v>83</v>
      </c>
      <c r="G167" t="s">
        <v>20</v>
      </c>
      <c r="H167" t="str">
        <f>IF(Grammys[[#This Row],[date]] &gt;= DATE(2022, 2, 1), "Grammys", "Grammys + TRA")</f>
        <v>Grammys + TRA</v>
      </c>
      <c r="I167">
        <f>_xlfn.XLOOKUP(Grammys[[#This Row],[date]], mobile_visits[date], mobile_visits[mobile_visitors], 0)</f>
        <v>0</v>
      </c>
      <c r="Q167" s="1">
        <v>44758</v>
      </c>
      <c r="R167">
        <v>11995</v>
      </c>
    </row>
    <row r="168" spans="1:18" x14ac:dyDescent="0.2">
      <c r="A168" s="1">
        <v>42902</v>
      </c>
      <c r="B168">
        <v>4749</v>
      </c>
      <c r="C168">
        <v>7681</v>
      </c>
      <c r="D168">
        <v>5050</v>
      </c>
      <c r="E168">
        <v>2582</v>
      </c>
      <c r="F168">
        <v>78</v>
      </c>
      <c r="G168" t="s">
        <v>20</v>
      </c>
      <c r="H168" t="str">
        <f>IF(Grammys[[#This Row],[date]] &gt;= DATE(2022, 2, 1), "Grammys", "Grammys + TRA")</f>
        <v>Grammys + TRA</v>
      </c>
      <c r="I168">
        <f>_xlfn.XLOOKUP(Grammys[[#This Row],[date]], mobile_visits[date], mobile_visits[mobile_visitors], 0)</f>
        <v>0</v>
      </c>
      <c r="Q168" s="1">
        <v>44759</v>
      </c>
      <c r="R168">
        <v>12154</v>
      </c>
    </row>
    <row r="169" spans="1:18" x14ac:dyDescent="0.2">
      <c r="A169" s="1">
        <v>42903</v>
      </c>
      <c r="B169">
        <v>4515</v>
      </c>
      <c r="C169">
        <v>6917</v>
      </c>
      <c r="D169">
        <v>4743</v>
      </c>
      <c r="E169">
        <v>2464</v>
      </c>
      <c r="F169">
        <v>78</v>
      </c>
      <c r="G169" t="s">
        <v>20</v>
      </c>
      <c r="H169" t="str">
        <f>IF(Grammys[[#This Row],[date]] &gt;= DATE(2022, 2, 1), "Grammys", "Grammys + TRA")</f>
        <v>Grammys + TRA</v>
      </c>
      <c r="I169">
        <f>_xlfn.XLOOKUP(Grammys[[#This Row],[date]], mobile_visits[date], mobile_visits[mobile_visitors], 0)</f>
        <v>0</v>
      </c>
      <c r="Q169" s="1">
        <v>44760</v>
      </c>
      <c r="R169">
        <v>8633</v>
      </c>
    </row>
    <row r="170" spans="1:18" x14ac:dyDescent="0.2">
      <c r="A170" s="1">
        <v>42904</v>
      </c>
      <c r="B170">
        <v>4738</v>
      </c>
      <c r="C170">
        <v>7482</v>
      </c>
      <c r="D170">
        <v>4998</v>
      </c>
      <c r="E170">
        <v>2497</v>
      </c>
      <c r="F170">
        <v>84</v>
      </c>
      <c r="G170" t="s">
        <v>20</v>
      </c>
      <c r="H170" t="str">
        <f>IF(Grammys[[#This Row],[date]] &gt;= DATE(2022, 2, 1), "Grammys", "Grammys + TRA")</f>
        <v>Grammys + TRA</v>
      </c>
      <c r="I170">
        <f>_xlfn.XLOOKUP(Grammys[[#This Row],[date]], mobile_visits[date], mobile_visits[mobile_visitors], 0)</f>
        <v>0</v>
      </c>
      <c r="Q170" s="1">
        <v>44761</v>
      </c>
      <c r="R170">
        <v>4581</v>
      </c>
    </row>
    <row r="171" spans="1:18" x14ac:dyDescent="0.2">
      <c r="A171" s="1">
        <v>42905</v>
      </c>
      <c r="B171">
        <v>5153</v>
      </c>
      <c r="C171">
        <v>8225</v>
      </c>
      <c r="D171">
        <v>5481</v>
      </c>
      <c r="E171">
        <v>2727</v>
      </c>
      <c r="F171">
        <v>87</v>
      </c>
      <c r="G171" t="s">
        <v>20</v>
      </c>
      <c r="H171" t="str">
        <f>IF(Grammys[[#This Row],[date]] &gt;= DATE(2022, 2, 1), "Grammys", "Grammys + TRA")</f>
        <v>Grammys + TRA</v>
      </c>
      <c r="I171">
        <f>_xlfn.XLOOKUP(Grammys[[#This Row],[date]], mobile_visits[date], mobile_visits[mobile_visitors], 0)</f>
        <v>0</v>
      </c>
      <c r="Q171" s="1">
        <v>44762</v>
      </c>
      <c r="R171">
        <v>4698</v>
      </c>
    </row>
    <row r="172" spans="1:18" x14ac:dyDescent="0.2">
      <c r="A172" s="1">
        <v>42906</v>
      </c>
      <c r="B172">
        <v>5278</v>
      </c>
      <c r="C172">
        <v>8230</v>
      </c>
      <c r="D172">
        <v>5586</v>
      </c>
      <c r="E172">
        <v>2828</v>
      </c>
      <c r="F172">
        <v>83</v>
      </c>
      <c r="G172" t="s">
        <v>20</v>
      </c>
      <c r="H172" t="str">
        <f>IF(Grammys[[#This Row],[date]] &gt;= DATE(2022, 2, 1), "Grammys", "Grammys + TRA")</f>
        <v>Grammys + TRA</v>
      </c>
      <c r="I172">
        <f>_xlfn.XLOOKUP(Grammys[[#This Row],[date]], mobile_visits[date], mobile_visits[mobile_visitors], 0)</f>
        <v>0</v>
      </c>
      <c r="Q172" s="1">
        <v>44763</v>
      </c>
      <c r="R172">
        <v>7134</v>
      </c>
    </row>
    <row r="173" spans="1:18" x14ac:dyDescent="0.2">
      <c r="A173" s="1">
        <v>42907</v>
      </c>
      <c r="B173">
        <v>5224</v>
      </c>
      <c r="C173">
        <v>8407</v>
      </c>
      <c r="D173">
        <v>5518</v>
      </c>
      <c r="E173">
        <v>2794</v>
      </c>
      <c r="F173">
        <v>90</v>
      </c>
      <c r="G173" t="s">
        <v>20</v>
      </c>
      <c r="H173" t="str">
        <f>IF(Grammys[[#This Row],[date]] &gt;= DATE(2022, 2, 1), "Grammys", "Grammys + TRA")</f>
        <v>Grammys + TRA</v>
      </c>
      <c r="I173">
        <f>_xlfn.XLOOKUP(Grammys[[#This Row],[date]], mobile_visits[date], mobile_visits[mobile_visitors], 0)</f>
        <v>0</v>
      </c>
      <c r="Q173" s="1">
        <v>44764</v>
      </c>
      <c r="R173">
        <v>8850</v>
      </c>
    </row>
    <row r="174" spans="1:18" x14ac:dyDescent="0.2">
      <c r="A174" s="1">
        <v>42908</v>
      </c>
      <c r="B174">
        <v>5065</v>
      </c>
      <c r="C174">
        <v>8053</v>
      </c>
      <c r="D174">
        <v>5341</v>
      </c>
      <c r="E174">
        <v>2691</v>
      </c>
      <c r="F174">
        <v>82</v>
      </c>
      <c r="G174" t="s">
        <v>20</v>
      </c>
      <c r="H174" t="str">
        <f>IF(Grammys[[#This Row],[date]] &gt;= DATE(2022, 2, 1), "Grammys", "Grammys + TRA")</f>
        <v>Grammys + TRA</v>
      </c>
      <c r="I174">
        <f>_xlfn.XLOOKUP(Grammys[[#This Row],[date]], mobile_visits[date], mobile_visits[mobile_visitors], 0)</f>
        <v>0</v>
      </c>
      <c r="Q174" s="1">
        <v>44765</v>
      </c>
      <c r="R174">
        <v>8627</v>
      </c>
    </row>
    <row r="175" spans="1:18" x14ac:dyDescent="0.2">
      <c r="A175" s="1">
        <v>42909</v>
      </c>
      <c r="B175">
        <v>5043</v>
      </c>
      <c r="C175">
        <v>7795</v>
      </c>
      <c r="D175">
        <v>5313</v>
      </c>
      <c r="E175">
        <v>2687</v>
      </c>
      <c r="F175">
        <v>83</v>
      </c>
      <c r="G175" t="s">
        <v>20</v>
      </c>
      <c r="H175" t="str">
        <f>IF(Grammys[[#This Row],[date]] &gt;= DATE(2022, 2, 1), "Grammys", "Grammys + TRA")</f>
        <v>Grammys + TRA</v>
      </c>
      <c r="I175">
        <f>_xlfn.XLOOKUP(Grammys[[#This Row],[date]], mobile_visits[date], mobile_visits[mobile_visitors], 0)</f>
        <v>0</v>
      </c>
      <c r="Q175" s="1">
        <v>44766</v>
      </c>
      <c r="R175">
        <v>8119</v>
      </c>
    </row>
    <row r="176" spans="1:18" x14ac:dyDescent="0.2">
      <c r="A176" s="1">
        <v>42910</v>
      </c>
      <c r="B176">
        <v>5261</v>
      </c>
      <c r="C176">
        <v>8453</v>
      </c>
      <c r="D176">
        <v>5551</v>
      </c>
      <c r="E176">
        <v>2743</v>
      </c>
      <c r="F176">
        <v>98</v>
      </c>
      <c r="G176" t="s">
        <v>20</v>
      </c>
      <c r="H176" t="str">
        <f>IF(Grammys[[#This Row],[date]] &gt;= DATE(2022, 2, 1), "Grammys", "Grammys + TRA")</f>
        <v>Grammys + TRA</v>
      </c>
      <c r="I176">
        <f>_xlfn.XLOOKUP(Grammys[[#This Row],[date]], mobile_visits[date], mobile_visits[mobile_visitors], 0)</f>
        <v>0</v>
      </c>
      <c r="Q176" s="1">
        <v>44767</v>
      </c>
      <c r="R176">
        <v>7526</v>
      </c>
    </row>
    <row r="177" spans="1:18" x14ac:dyDescent="0.2">
      <c r="A177" s="1">
        <v>42911</v>
      </c>
      <c r="B177">
        <v>6300</v>
      </c>
      <c r="C177">
        <v>9476</v>
      </c>
      <c r="D177">
        <v>6584</v>
      </c>
      <c r="E177">
        <v>3431</v>
      </c>
      <c r="F177">
        <v>79</v>
      </c>
      <c r="G177" t="s">
        <v>20</v>
      </c>
      <c r="H177" t="str">
        <f>IF(Grammys[[#This Row],[date]] &gt;= DATE(2022, 2, 1), "Grammys", "Grammys + TRA")</f>
        <v>Grammys + TRA</v>
      </c>
      <c r="I177">
        <f>_xlfn.XLOOKUP(Grammys[[#This Row],[date]], mobile_visits[date], mobile_visits[mobile_visitors], 0)</f>
        <v>0</v>
      </c>
      <c r="Q177" s="1">
        <v>44768</v>
      </c>
      <c r="R177">
        <v>8198</v>
      </c>
    </row>
    <row r="178" spans="1:18" x14ac:dyDescent="0.2">
      <c r="A178" s="1">
        <v>42912</v>
      </c>
      <c r="B178">
        <v>6453</v>
      </c>
      <c r="C178">
        <v>9981</v>
      </c>
      <c r="D178">
        <v>6805</v>
      </c>
      <c r="E178">
        <v>3477</v>
      </c>
      <c r="F178">
        <v>82</v>
      </c>
      <c r="G178" t="s">
        <v>20</v>
      </c>
      <c r="H178" t="str">
        <f>IF(Grammys[[#This Row],[date]] &gt;= DATE(2022, 2, 1), "Grammys", "Grammys + TRA")</f>
        <v>Grammys + TRA</v>
      </c>
      <c r="I178">
        <f>_xlfn.XLOOKUP(Grammys[[#This Row],[date]], mobile_visits[date], mobile_visits[mobile_visitors], 0)</f>
        <v>0</v>
      </c>
      <c r="Q178" s="1">
        <v>44769</v>
      </c>
      <c r="R178">
        <v>17024</v>
      </c>
    </row>
    <row r="179" spans="1:18" x14ac:dyDescent="0.2">
      <c r="A179" s="1">
        <v>42913</v>
      </c>
      <c r="B179">
        <v>6162</v>
      </c>
      <c r="C179">
        <v>9714</v>
      </c>
      <c r="D179">
        <v>6531</v>
      </c>
      <c r="E179">
        <v>3314</v>
      </c>
      <c r="F179">
        <v>90</v>
      </c>
      <c r="G179" t="s">
        <v>20</v>
      </c>
      <c r="H179" t="str">
        <f>IF(Grammys[[#This Row],[date]] &gt;= DATE(2022, 2, 1), "Grammys", "Grammys + TRA")</f>
        <v>Grammys + TRA</v>
      </c>
      <c r="I179">
        <f>_xlfn.XLOOKUP(Grammys[[#This Row],[date]], mobile_visits[date], mobile_visits[mobile_visitors], 0)</f>
        <v>0</v>
      </c>
      <c r="Q179" s="1">
        <v>44770</v>
      </c>
      <c r="R179">
        <v>14734</v>
      </c>
    </row>
    <row r="180" spans="1:18" x14ac:dyDescent="0.2">
      <c r="A180" s="1">
        <v>42914</v>
      </c>
      <c r="B180">
        <v>5933</v>
      </c>
      <c r="C180">
        <v>9964</v>
      </c>
      <c r="D180">
        <v>6335</v>
      </c>
      <c r="E180">
        <v>3176</v>
      </c>
      <c r="F180">
        <v>95</v>
      </c>
      <c r="G180" t="s">
        <v>20</v>
      </c>
      <c r="H180" t="str">
        <f>IF(Grammys[[#This Row],[date]] &gt;= DATE(2022, 2, 1), "Grammys", "Grammys + TRA")</f>
        <v>Grammys + TRA</v>
      </c>
      <c r="I180">
        <f>_xlfn.XLOOKUP(Grammys[[#This Row],[date]], mobile_visits[date], mobile_visits[mobile_visitors], 0)</f>
        <v>0</v>
      </c>
      <c r="Q180" s="1">
        <v>44771</v>
      </c>
      <c r="R180">
        <v>8994</v>
      </c>
    </row>
    <row r="181" spans="1:18" x14ac:dyDescent="0.2">
      <c r="A181" s="1">
        <v>42915</v>
      </c>
      <c r="B181">
        <v>6410</v>
      </c>
      <c r="C181">
        <v>9903</v>
      </c>
      <c r="D181">
        <v>6725</v>
      </c>
      <c r="E181">
        <v>3391</v>
      </c>
      <c r="F181">
        <v>80</v>
      </c>
      <c r="G181" t="s">
        <v>20</v>
      </c>
      <c r="H181" t="str">
        <f>IF(Grammys[[#This Row],[date]] &gt;= DATE(2022, 2, 1), "Grammys", "Grammys + TRA")</f>
        <v>Grammys + TRA</v>
      </c>
      <c r="I181">
        <f>_xlfn.XLOOKUP(Grammys[[#This Row],[date]], mobile_visits[date], mobile_visits[mobile_visitors], 0)</f>
        <v>0</v>
      </c>
      <c r="Q181" s="1">
        <v>44772</v>
      </c>
      <c r="R181">
        <v>8694</v>
      </c>
    </row>
    <row r="182" spans="1:18" x14ac:dyDescent="0.2">
      <c r="A182" s="1">
        <v>42916</v>
      </c>
      <c r="B182">
        <v>5818</v>
      </c>
      <c r="C182">
        <v>9003</v>
      </c>
      <c r="D182">
        <v>6129</v>
      </c>
      <c r="E182">
        <v>3224</v>
      </c>
      <c r="F182">
        <v>75</v>
      </c>
      <c r="G182" t="s">
        <v>20</v>
      </c>
      <c r="H182" t="str">
        <f>IF(Grammys[[#This Row],[date]] &gt;= DATE(2022, 2, 1), "Grammys", "Grammys + TRA")</f>
        <v>Grammys + TRA</v>
      </c>
      <c r="I182">
        <f>_xlfn.XLOOKUP(Grammys[[#This Row],[date]], mobile_visits[date], mobile_visits[mobile_visitors], 0)</f>
        <v>0</v>
      </c>
      <c r="Q182" s="1">
        <v>44773</v>
      </c>
      <c r="R182">
        <v>9151</v>
      </c>
    </row>
    <row r="183" spans="1:18" x14ac:dyDescent="0.2">
      <c r="A183" s="1">
        <v>42917</v>
      </c>
      <c r="B183">
        <v>6168</v>
      </c>
      <c r="C183">
        <v>9049</v>
      </c>
      <c r="D183">
        <v>6472</v>
      </c>
      <c r="E183">
        <v>3427</v>
      </c>
      <c r="F183">
        <v>73</v>
      </c>
      <c r="G183" t="s">
        <v>20</v>
      </c>
      <c r="H183" t="str">
        <f>IF(Grammys[[#This Row],[date]] &gt;= DATE(2022, 2, 1), "Grammys", "Grammys + TRA")</f>
        <v>Grammys + TRA</v>
      </c>
      <c r="I183">
        <f>_xlfn.XLOOKUP(Grammys[[#This Row],[date]], mobile_visits[date], mobile_visits[mobile_visitors], 0)</f>
        <v>0</v>
      </c>
      <c r="Q183" s="1">
        <v>44774</v>
      </c>
      <c r="R183">
        <v>8274</v>
      </c>
    </row>
    <row r="184" spans="1:18" x14ac:dyDescent="0.2">
      <c r="A184" s="1">
        <v>42918</v>
      </c>
      <c r="B184">
        <v>7661</v>
      </c>
      <c r="C184">
        <v>11298</v>
      </c>
      <c r="D184">
        <v>7985</v>
      </c>
      <c r="E184">
        <v>3519</v>
      </c>
      <c r="F184">
        <v>89</v>
      </c>
      <c r="G184" t="s">
        <v>20</v>
      </c>
      <c r="H184" t="str">
        <f>IF(Grammys[[#This Row],[date]] &gt;= DATE(2022, 2, 1), "Grammys", "Grammys + TRA")</f>
        <v>Grammys + TRA</v>
      </c>
      <c r="I184">
        <f>_xlfn.XLOOKUP(Grammys[[#This Row],[date]], mobile_visits[date], mobile_visits[mobile_visitors], 0)</f>
        <v>0</v>
      </c>
      <c r="Q184" s="1">
        <v>44775</v>
      </c>
      <c r="R184">
        <v>8624</v>
      </c>
    </row>
    <row r="185" spans="1:18" x14ac:dyDescent="0.2">
      <c r="A185" s="1">
        <v>42919</v>
      </c>
      <c r="B185">
        <v>17656</v>
      </c>
      <c r="C185">
        <v>32203</v>
      </c>
      <c r="D185">
        <v>23606</v>
      </c>
      <c r="E185">
        <v>8976</v>
      </c>
      <c r="F185">
        <v>65</v>
      </c>
      <c r="G185" t="s">
        <v>20</v>
      </c>
      <c r="H185" t="str">
        <f>IF(Grammys[[#This Row],[date]] &gt;= DATE(2022, 2, 1), "Grammys", "Grammys + TRA")</f>
        <v>Grammys + TRA</v>
      </c>
      <c r="I185">
        <f>_xlfn.XLOOKUP(Grammys[[#This Row],[date]], mobile_visits[date], mobile_visits[mobile_visitors], 0)</f>
        <v>0</v>
      </c>
      <c r="Q185" s="1">
        <v>44776</v>
      </c>
      <c r="R185">
        <v>8557</v>
      </c>
    </row>
    <row r="186" spans="1:18" x14ac:dyDescent="0.2">
      <c r="A186" s="1">
        <v>42920</v>
      </c>
      <c r="B186">
        <v>15108</v>
      </c>
      <c r="C186">
        <v>24464</v>
      </c>
      <c r="D186">
        <v>18655</v>
      </c>
      <c r="E186">
        <v>9020</v>
      </c>
      <c r="F186">
        <v>56</v>
      </c>
      <c r="G186" t="s">
        <v>20</v>
      </c>
      <c r="H186" t="str">
        <f>IF(Grammys[[#This Row],[date]] &gt;= DATE(2022, 2, 1), "Grammys", "Grammys + TRA")</f>
        <v>Grammys + TRA</v>
      </c>
      <c r="I186">
        <f>_xlfn.XLOOKUP(Grammys[[#This Row],[date]], mobile_visits[date], mobile_visits[mobile_visitors], 0)</f>
        <v>0</v>
      </c>
      <c r="Q186" s="1">
        <v>44777</v>
      </c>
      <c r="R186">
        <v>8857</v>
      </c>
    </row>
    <row r="187" spans="1:18" x14ac:dyDescent="0.2">
      <c r="A187" s="1">
        <v>42921</v>
      </c>
      <c r="B187">
        <v>6976</v>
      </c>
      <c r="C187">
        <v>11251</v>
      </c>
      <c r="D187">
        <v>7676</v>
      </c>
      <c r="E187">
        <v>3904</v>
      </c>
      <c r="F187">
        <v>69</v>
      </c>
      <c r="G187" t="s">
        <v>20</v>
      </c>
      <c r="H187" t="str">
        <f>IF(Grammys[[#This Row],[date]] &gt;= DATE(2022, 2, 1), "Grammys", "Grammys + TRA")</f>
        <v>Grammys + TRA</v>
      </c>
      <c r="I187">
        <f>_xlfn.XLOOKUP(Grammys[[#This Row],[date]], mobile_visits[date], mobile_visits[mobile_visitors], 0)</f>
        <v>0</v>
      </c>
      <c r="Q187" s="1">
        <v>44778</v>
      </c>
      <c r="R187">
        <v>9058</v>
      </c>
    </row>
    <row r="188" spans="1:18" x14ac:dyDescent="0.2">
      <c r="A188" s="1">
        <v>42922</v>
      </c>
      <c r="B188">
        <v>6162</v>
      </c>
      <c r="C188">
        <v>9883</v>
      </c>
      <c r="D188">
        <v>6635</v>
      </c>
      <c r="E188">
        <v>3524</v>
      </c>
      <c r="F188">
        <v>77</v>
      </c>
      <c r="G188" t="s">
        <v>20</v>
      </c>
      <c r="H188" t="str">
        <f>IF(Grammys[[#This Row],[date]] &gt;= DATE(2022, 2, 1), "Grammys", "Grammys + TRA")</f>
        <v>Grammys + TRA</v>
      </c>
      <c r="I188">
        <f>_xlfn.XLOOKUP(Grammys[[#This Row],[date]], mobile_visits[date], mobile_visits[mobile_visitors], 0)</f>
        <v>0</v>
      </c>
      <c r="Q188" s="1">
        <v>44779</v>
      </c>
      <c r="R188">
        <v>9409</v>
      </c>
    </row>
    <row r="189" spans="1:18" x14ac:dyDescent="0.2">
      <c r="A189" s="1">
        <v>42923</v>
      </c>
      <c r="B189">
        <v>5866</v>
      </c>
      <c r="C189">
        <v>9138</v>
      </c>
      <c r="D189">
        <v>6285</v>
      </c>
      <c r="E189">
        <v>3469</v>
      </c>
      <c r="F189">
        <v>80</v>
      </c>
      <c r="G189" t="s">
        <v>20</v>
      </c>
      <c r="H189" t="str">
        <f>IF(Grammys[[#This Row],[date]] &gt;= DATE(2022, 2, 1), "Grammys", "Grammys + TRA")</f>
        <v>Grammys + TRA</v>
      </c>
      <c r="I189">
        <f>_xlfn.XLOOKUP(Grammys[[#This Row],[date]], mobile_visits[date], mobile_visits[mobile_visitors], 0)</f>
        <v>0</v>
      </c>
      <c r="Q189" s="1">
        <v>44780</v>
      </c>
      <c r="R189">
        <v>10702</v>
      </c>
    </row>
    <row r="190" spans="1:18" x14ac:dyDescent="0.2">
      <c r="A190" s="1">
        <v>42924</v>
      </c>
      <c r="B190">
        <v>5802</v>
      </c>
      <c r="C190">
        <v>8911</v>
      </c>
      <c r="D190">
        <v>6149</v>
      </c>
      <c r="E190">
        <v>3355</v>
      </c>
      <c r="F190">
        <v>69</v>
      </c>
      <c r="G190" t="s">
        <v>20</v>
      </c>
      <c r="H190" t="str">
        <f>IF(Grammys[[#This Row],[date]] &gt;= DATE(2022, 2, 1), "Grammys", "Grammys + TRA")</f>
        <v>Grammys + TRA</v>
      </c>
      <c r="I190">
        <f>_xlfn.XLOOKUP(Grammys[[#This Row],[date]], mobile_visits[date], mobile_visits[mobile_visitors], 0)</f>
        <v>0</v>
      </c>
      <c r="Q190" s="1">
        <v>44781</v>
      </c>
      <c r="R190">
        <v>10088</v>
      </c>
    </row>
    <row r="191" spans="1:18" x14ac:dyDescent="0.2">
      <c r="A191" s="1">
        <v>42925</v>
      </c>
      <c r="B191">
        <v>5786</v>
      </c>
      <c r="C191">
        <v>9016</v>
      </c>
      <c r="D191">
        <v>6131</v>
      </c>
      <c r="E191">
        <v>3266</v>
      </c>
      <c r="F191">
        <v>76</v>
      </c>
      <c r="G191" t="s">
        <v>20</v>
      </c>
      <c r="H191" t="str">
        <f>IF(Grammys[[#This Row],[date]] &gt;= DATE(2022, 2, 1), "Grammys", "Grammys + TRA")</f>
        <v>Grammys + TRA</v>
      </c>
      <c r="I191">
        <f>_xlfn.XLOOKUP(Grammys[[#This Row],[date]], mobile_visits[date], mobile_visits[mobile_visitors], 0)</f>
        <v>0</v>
      </c>
      <c r="Q191" s="1">
        <v>44782</v>
      </c>
      <c r="R191">
        <v>10171</v>
      </c>
    </row>
    <row r="192" spans="1:18" x14ac:dyDescent="0.2">
      <c r="A192" s="1">
        <v>42926</v>
      </c>
      <c r="B192">
        <v>5573</v>
      </c>
      <c r="C192">
        <v>8960</v>
      </c>
      <c r="D192">
        <v>5958</v>
      </c>
      <c r="E192">
        <v>3136</v>
      </c>
      <c r="F192">
        <v>81</v>
      </c>
      <c r="G192" t="s">
        <v>20</v>
      </c>
      <c r="H192" t="str">
        <f>IF(Grammys[[#This Row],[date]] &gt;= DATE(2022, 2, 1), "Grammys", "Grammys + TRA")</f>
        <v>Grammys + TRA</v>
      </c>
      <c r="I192">
        <f>_xlfn.XLOOKUP(Grammys[[#This Row],[date]], mobile_visits[date], mobile_visits[mobile_visitors], 0)</f>
        <v>0</v>
      </c>
      <c r="Q192" s="1">
        <v>44783</v>
      </c>
      <c r="R192">
        <v>7844</v>
      </c>
    </row>
    <row r="193" spans="1:18" x14ac:dyDescent="0.2">
      <c r="A193" s="1">
        <v>42927</v>
      </c>
      <c r="B193">
        <v>5949</v>
      </c>
      <c r="C193">
        <v>9433</v>
      </c>
      <c r="D193">
        <v>6286</v>
      </c>
      <c r="E193">
        <v>3284</v>
      </c>
      <c r="F193">
        <v>83</v>
      </c>
      <c r="G193" t="s">
        <v>20</v>
      </c>
      <c r="H193" t="str">
        <f>IF(Grammys[[#This Row],[date]] &gt;= DATE(2022, 2, 1), "Grammys", "Grammys + TRA")</f>
        <v>Grammys + TRA</v>
      </c>
      <c r="I193">
        <f>_xlfn.XLOOKUP(Grammys[[#This Row],[date]], mobile_visits[date], mobile_visits[mobile_visitors], 0)</f>
        <v>0</v>
      </c>
      <c r="Q193" s="1">
        <v>44784</v>
      </c>
      <c r="R193">
        <v>8586</v>
      </c>
    </row>
    <row r="194" spans="1:18" x14ac:dyDescent="0.2">
      <c r="A194" s="1">
        <v>42928</v>
      </c>
      <c r="B194">
        <v>6848</v>
      </c>
      <c r="C194">
        <v>10583</v>
      </c>
      <c r="D194">
        <v>7201</v>
      </c>
      <c r="E194">
        <v>4246</v>
      </c>
      <c r="F194">
        <v>72</v>
      </c>
      <c r="G194" t="s">
        <v>20</v>
      </c>
      <c r="H194" t="str">
        <f>IF(Grammys[[#This Row],[date]] &gt;= DATE(2022, 2, 1), "Grammys", "Grammys + TRA")</f>
        <v>Grammys + TRA</v>
      </c>
      <c r="I194">
        <f>_xlfn.XLOOKUP(Grammys[[#This Row],[date]], mobile_visits[date], mobile_visits[mobile_visitors], 0)</f>
        <v>0</v>
      </c>
      <c r="Q194" s="1">
        <v>44785</v>
      </c>
      <c r="R194">
        <v>12142</v>
      </c>
    </row>
    <row r="195" spans="1:18" x14ac:dyDescent="0.2">
      <c r="A195" s="1">
        <v>42929</v>
      </c>
      <c r="B195">
        <v>5618</v>
      </c>
      <c r="C195">
        <v>9053</v>
      </c>
      <c r="D195">
        <v>5967</v>
      </c>
      <c r="E195">
        <v>3174</v>
      </c>
      <c r="F195">
        <v>78</v>
      </c>
      <c r="G195" t="s">
        <v>20</v>
      </c>
      <c r="H195" t="str">
        <f>IF(Grammys[[#This Row],[date]] &gt;= DATE(2022, 2, 1), "Grammys", "Grammys + TRA")</f>
        <v>Grammys + TRA</v>
      </c>
      <c r="I195">
        <f>_xlfn.XLOOKUP(Grammys[[#This Row],[date]], mobile_visits[date], mobile_visits[mobile_visitors], 0)</f>
        <v>0</v>
      </c>
      <c r="Q195" s="1">
        <v>44786</v>
      </c>
      <c r="R195">
        <v>10824</v>
      </c>
    </row>
    <row r="196" spans="1:18" x14ac:dyDescent="0.2">
      <c r="A196" s="1">
        <v>42930</v>
      </c>
      <c r="B196">
        <v>6162</v>
      </c>
      <c r="C196">
        <v>9682</v>
      </c>
      <c r="D196">
        <v>6542</v>
      </c>
      <c r="E196">
        <v>3200</v>
      </c>
      <c r="F196">
        <v>82</v>
      </c>
      <c r="G196" t="s">
        <v>20</v>
      </c>
      <c r="H196" t="str">
        <f>IF(Grammys[[#This Row],[date]] &gt;= DATE(2022, 2, 1), "Grammys", "Grammys + TRA")</f>
        <v>Grammys + TRA</v>
      </c>
      <c r="I196">
        <f>_xlfn.XLOOKUP(Grammys[[#This Row],[date]], mobile_visits[date], mobile_visits[mobile_visitors], 0)</f>
        <v>0</v>
      </c>
      <c r="Q196" s="1">
        <v>44787</v>
      </c>
      <c r="R196">
        <v>10521</v>
      </c>
    </row>
    <row r="197" spans="1:18" x14ac:dyDescent="0.2">
      <c r="A197" s="1">
        <v>42931</v>
      </c>
      <c r="B197">
        <v>6425</v>
      </c>
      <c r="C197">
        <v>9757</v>
      </c>
      <c r="D197">
        <v>6726</v>
      </c>
      <c r="E197">
        <v>3370</v>
      </c>
      <c r="F197">
        <v>82</v>
      </c>
      <c r="G197" t="s">
        <v>20</v>
      </c>
      <c r="H197" t="str">
        <f>IF(Grammys[[#This Row],[date]] &gt;= DATE(2022, 2, 1), "Grammys", "Grammys + TRA")</f>
        <v>Grammys + TRA</v>
      </c>
      <c r="I197">
        <f>_xlfn.XLOOKUP(Grammys[[#This Row],[date]], mobile_visits[date], mobile_visits[mobile_visitors], 0)</f>
        <v>0</v>
      </c>
      <c r="Q197" s="1">
        <v>44788</v>
      </c>
      <c r="R197">
        <v>14312</v>
      </c>
    </row>
    <row r="198" spans="1:18" x14ac:dyDescent="0.2">
      <c r="A198" s="1">
        <v>42932</v>
      </c>
      <c r="B198">
        <v>5923</v>
      </c>
      <c r="C198">
        <v>9198</v>
      </c>
      <c r="D198">
        <v>6236</v>
      </c>
      <c r="E198">
        <v>3281</v>
      </c>
      <c r="F198">
        <v>76</v>
      </c>
      <c r="G198" t="s">
        <v>20</v>
      </c>
      <c r="H198" t="str">
        <f>IF(Grammys[[#This Row],[date]] &gt;= DATE(2022, 2, 1), "Grammys", "Grammys + TRA")</f>
        <v>Grammys + TRA</v>
      </c>
      <c r="I198">
        <f>_xlfn.XLOOKUP(Grammys[[#This Row],[date]], mobile_visits[date], mobile_visits[mobile_visitors], 0)</f>
        <v>0</v>
      </c>
      <c r="Q198" s="1">
        <v>44789</v>
      </c>
      <c r="R198">
        <v>10770</v>
      </c>
    </row>
    <row r="199" spans="1:18" x14ac:dyDescent="0.2">
      <c r="A199" s="1">
        <v>42933</v>
      </c>
      <c r="B199">
        <v>6098</v>
      </c>
      <c r="C199">
        <v>9840</v>
      </c>
      <c r="D199">
        <v>6509</v>
      </c>
      <c r="E199">
        <v>3340</v>
      </c>
      <c r="F199">
        <v>86</v>
      </c>
      <c r="G199" t="s">
        <v>20</v>
      </c>
      <c r="H199" t="str">
        <f>IF(Grammys[[#This Row],[date]] &gt;= DATE(2022, 2, 1), "Grammys", "Grammys + TRA")</f>
        <v>Grammys + TRA</v>
      </c>
      <c r="I199">
        <f>_xlfn.XLOOKUP(Grammys[[#This Row],[date]], mobile_visits[date], mobile_visits[mobile_visitors], 0)</f>
        <v>0</v>
      </c>
      <c r="Q199" s="1">
        <v>44790</v>
      </c>
      <c r="R199">
        <v>9347</v>
      </c>
    </row>
    <row r="200" spans="1:18" x14ac:dyDescent="0.2">
      <c r="A200" s="1">
        <v>42934</v>
      </c>
      <c r="B200">
        <v>5624</v>
      </c>
      <c r="C200">
        <v>9063</v>
      </c>
      <c r="D200">
        <v>5975</v>
      </c>
      <c r="E200">
        <v>3211</v>
      </c>
      <c r="F200">
        <v>81</v>
      </c>
      <c r="G200" t="s">
        <v>20</v>
      </c>
      <c r="H200" t="str">
        <f>IF(Grammys[[#This Row],[date]] &gt;= DATE(2022, 2, 1), "Grammys", "Grammys + TRA")</f>
        <v>Grammys + TRA</v>
      </c>
      <c r="I200">
        <f>_xlfn.XLOOKUP(Grammys[[#This Row],[date]], mobile_visits[date], mobile_visits[mobile_visitors], 0)</f>
        <v>0</v>
      </c>
      <c r="Q200" s="1">
        <v>44791</v>
      </c>
      <c r="R200">
        <v>9270</v>
      </c>
    </row>
    <row r="201" spans="1:18" x14ac:dyDescent="0.2">
      <c r="A201" s="1">
        <v>42935</v>
      </c>
      <c r="B201">
        <v>6170</v>
      </c>
      <c r="C201">
        <v>8922</v>
      </c>
      <c r="D201">
        <v>5872</v>
      </c>
      <c r="E201">
        <v>2909</v>
      </c>
      <c r="F201">
        <v>84</v>
      </c>
      <c r="G201" t="s">
        <v>20</v>
      </c>
      <c r="H201" t="str">
        <f>IF(Grammys[[#This Row],[date]] &gt;= DATE(2022, 2, 1), "Grammys", "Grammys + TRA")</f>
        <v>Grammys + TRA</v>
      </c>
      <c r="I201">
        <f>_xlfn.XLOOKUP(Grammys[[#This Row],[date]], mobile_visits[date], mobile_visits[mobile_visitors], 0)</f>
        <v>0</v>
      </c>
      <c r="Q201" s="1">
        <v>44792</v>
      </c>
      <c r="R201">
        <v>10770</v>
      </c>
    </row>
    <row r="202" spans="1:18" x14ac:dyDescent="0.2">
      <c r="A202" s="1">
        <v>42936</v>
      </c>
      <c r="B202">
        <v>6578</v>
      </c>
      <c r="C202">
        <v>10065</v>
      </c>
      <c r="D202">
        <v>6648</v>
      </c>
      <c r="E202">
        <v>3390</v>
      </c>
      <c r="F202">
        <v>79</v>
      </c>
      <c r="G202" t="s">
        <v>20</v>
      </c>
      <c r="H202" t="str">
        <f>IF(Grammys[[#This Row],[date]] &gt;= DATE(2022, 2, 1), "Grammys", "Grammys + TRA")</f>
        <v>Grammys + TRA</v>
      </c>
      <c r="I202">
        <f>_xlfn.XLOOKUP(Grammys[[#This Row],[date]], mobile_visits[date], mobile_visits[mobile_visitors], 0)</f>
        <v>0</v>
      </c>
      <c r="Q202" s="1">
        <v>44793</v>
      </c>
      <c r="R202">
        <v>10141</v>
      </c>
    </row>
    <row r="203" spans="1:18" x14ac:dyDescent="0.2">
      <c r="A203" s="1">
        <v>42937</v>
      </c>
      <c r="B203">
        <v>6650</v>
      </c>
      <c r="C203">
        <v>10223</v>
      </c>
      <c r="D203">
        <v>6981</v>
      </c>
      <c r="E203">
        <v>3742</v>
      </c>
      <c r="F203">
        <v>76</v>
      </c>
      <c r="G203" t="s">
        <v>20</v>
      </c>
      <c r="H203" t="str">
        <f>IF(Grammys[[#This Row],[date]] &gt;= DATE(2022, 2, 1), "Grammys", "Grammys + TRA")</f>
        <v>Grammys + TRA</v>
      </c>
      <c r="I203">
        <f>_xlfn.XLOOKUP(Grammys[[#This Row],[date]], mobile_visits[date], mobile_visits[mobile_visitors], 0)</f>
        <v>0</v>
      </c>
      <c r="Q203" s="1">
        <v>44794</v>
      </c>
      <c r="R203">
        <v>8996</v>
      </c>
    </row>
    <row r="204" spans="1:18" x14ac:dyDescent="0.2">
      <c r="A204" s="1">
        <v>42938</v>
      </c>
      <c r="B204">
        <v>5125</v>
      </c>
      <c r="C204">
        <v>7853</v>
      </c>
      <c r="D204">
        <v>5370</v>
      </c>
      <c r="E204">
        <v>3080</v>
      </c>
      <c r="F204">
        <v>71</v>
      </c>
      <c r="G204" t="s">
        <v>20</v>
      </c>
      <c r="H204" t="str">
        <f>IF(Grammys[[#This Row],[date]] &gt;= DATE(2022, 2, 1), "Grammys", "Grammys + TRA")</f>
        <v>Grammys + TRA</v>
      </c>
      <c r="I204">
        <f>_xlfn.XLOOKUP(Grammys[[#This Row],[date]], mobile_visits[date], mobile_visits[mobile_visitors], 0)</f>
        <v>0</v>
      </c>
      <c r="Q204" s="1">
        <v>44795</v>
      </c>
      <c r="R204">
        <v>8941</v>
      </c>
    </row>
    <row r="205" spans="1:18" x14ac:dyDescent="0.2">
      <c r="A205" s="1">
        <v>42939</v>
      </c>
      <c r="B205">
        <v>5381</v>
      </c>
      <c r="C205">
        <v>8514</v>
      </c>
      <c r="D205">
        <v>5647</v>
      </c>
      <c r="E205">
        <v>3084</v>
      </c>
      <c r="F205">
        <v>76</v>
      </c>
      <c r="G205" t="s">
        <v>20</v>
      </c>
      <c r="H205" t="str">
        <f>IF(Grammys[[#This Row],[date]] &gt;= DATE(2022, 2, 1), "Grammys", "Grammys + TRA")</f>
        <v>Grammys + TRA</v>
      </c>
      <c r="I205">
        <f>_xlfn.XLOOKUP(Grammys[[#This Row],[date]], mobile_visits[date], mobile_visits[mobile_visitors], 0)</f>
        <v>0</v>
      </c>
      <c r="Q205" s="1">
        <v>44796</v>
      </c>
      <c r="R205">
        <v>8600</v>
      </c>
    </row>
    <row r="206" spans="1:18" x14ac:dyDescent="0.2">
      <c r="A206" s="1">
        <v>42940</v>
      </c>
      <c r="B206">
        <v>5381</v>
      </c>
      <c r="C206">
        <v>8742</v>
      </c>
      <c r="D206">
        <v>5699</v>
      </c>
      <c r="E206">
        <v>3200</v>
      </c>
      <c r="F206">
        <v>87</v>
      </c>
      <c r="G206" t="s">
        <v>20</v>
      </c>
      <c r="H206" t="str">
        <f>IF(Grammys[[#This Row],[date]] &gt;= DATE(2022, 2, 1), "Grammys", "Grammys + TRA")</f>
        <v>Grammys + TRA</v>
      </c>
      <c r="I206">
        <f>_xlfn.XLOOKUP(Grammys[[#This Row],[date]], mobile_visits[date], mobile_visits[mobile_visitors], 0)</f>
        <v>0</v>
      </c>
      <c r="Q206" s="1">
        <v>44797</v>
      </c>
      <c r="R206">
        <v>16935</v>
      </c>
    </row>
    <row r="207" spans="1:18" x14ac:dyDescent="0.2">
      <c r="A207" s="1">
        <v>42941</v>
      </c>
      <c r="B207">
        <v>5481</v>
      </c>
      <c r="C207">
        <v>8973</v>
      </c>
      <c r="D207">
        <v>5845</v>
      </c>
      <c r="E207">
        <v>3572</v>
      </c>
      <c r="F207">
        <v>80</v>
      </c>
      <c r="G207" t="s">
        <v>20</v>
      </c>
      <c r="H207" t="str">
        <f>IF(Grammys[[#This Row],[date]] &gt;= DATE(2022, 2, 1), "Grammys", "Grammys + TRA")</f>
        <v>Grammys + TRA</v>
      </c>
      <c r="I207">
        <f>_xlfn.XLOOKUP(Grammys[[#This Row],[date]], mobile_visits[date], mobile_visits[mobile_visitors], 0)</f>
        <v>0</v>
      </c>
      <c r="Q207" s="1">
        <v>44798</v>
      </c>
      <c r="R207">
        <v>13291</v>
      </c>
    </row>
    <row r="208" spans="1:18" x14ac:dyDescent="0.2">
      <c r="A208" s="1">
        <v>42942</v>
      </c>
      <c r="B208">
        <v>5468</v>
      </c>
      <c r="C208">
        <v>9092</v>
      </c>
      <c r="D208">
        <v>5851</v>
      </c>
      <c r="E208">
        <v>4079</v>
      </c>
      <c r="F208">
        <v>78</v>
      </c>
      <c r="G208" t="s">
        <v>20</v>
      </c>
      <c r="H208" t="str">
        <f>IF(Grammys[[#This Row],[date]] &gt;= DATE(2022, 2, 1), "Grammys", "Grammys + TRA")</f>
        <v>Grammys + TRA</v>
      </c>
      <c r="I208">
        <f>_xlfn.XLOOKUP(Grammys[[#This Row],[date]], mobile_visits[date], mobile_visits[mobile_visitors], 0)</f>
        <v>0</v>
      </c>
      <c r="Q208" s="1">
        <v>44799</v>
      </c>
      <c r="R208">
        <v>12975</v>
      </c>
    </row>
    <row r="209" spans="1:18" x14ac:dyDescent="0.2">
      <c r="A209" s="1">
        <v>42943</v>
      </c>
      <c r="B209">
        <v>5519</v>
      </c>
      <c r="C209">
        <v>9154</v>
      </c>
      <c r="D209">
        <v>5810</v>
      </c>
      <c r="E209">
        <v>4087</v>
      </c>
      <c r="F209">
        <v>69</v>
      </c>
      <c r="G209" t="s">
        <v>20</v>
      </c>
      <c r="H209" t="str">
        <f>IF(Grammys[[#This Row],[date]] &gt;= DATE(2022, 2, 1), "Grammys", "Grammys + TRA")</f>
        <v>Grammys + TRA</v>
      </c>
      <c r="I209">
        <f>_xlfn.XLOOKUP(Grammys[[#This Row],[date]], mobile_visits[date], mobile_visits[mobile_visitors], 0)</f>
        <v>0</v>
      </c>
      <c r="Q209" s="1">
        <v>44800</v>
      </c>
      <c r="R209">
        <v>12040</v>
      </c>
    </row>
    <row r="210" spans="1:18" x14ac:dyDescent="0.2">
      <c r="A210" s="1">
        <v>42944</v>
      </c>
      <c r="B210">
        <v>5274</v>
      </c>
      <c r="C210">
        <v>8907</v>
      </c>
      <c r="D210">
        <v>5552</v>
      </c>
      <c r="E210">
        <v>3806</v>
      </c>
      <c r="F210">
        <v>77</v>
      </c>
      <c r="G210" t="s">
        <v>20</v>
      </c>
      <c r="H210" t="str">
        <f>IF(Grammys[[#This Row],[date]] &gt;= DATE(2022, 2, 1), "Grammys", "Grammys + TRA")</f>
        <v>Grammys + TRA</v>
      </c>
      <c r="I210">
        <f>_xlfn.XLOOKUP(Grammys[[#This Row],[date]], mobile_visits[date], mobile_visits[mobile_visitors], 0)</f>
        <v>0</v>
      </c>
      <c r="Q210" s="1">
        <v>44801</v>
      </c>
      <c r="R210">
        <v>14455</v>
      </c>
    </row>
    <row r="211" spans="1:18" x14ac:dyDescent="0.2">
      <c r="A211" s="1">
        <v>42945</v>
      </c>
      <c r="B211">
        <v>9232</v>
      </c>
      <c r="C211">
        <v>15138</v>
      </c>
      <c r="D211">
        <v>10018</v>
      </c>
      <c r="E211">
        <v>7018</v>
      </c>
      <c r="F211">
        <v>60</v>
      </c>
      <c r="G211" t="s">
        <v>20</v>
      </c>
      <c r="H211" t="str">
        <f>IF(Grammys[[#This Row],[date]] &gt;= DATE(2022, 2, 1), "Grammys", "Grammys + TRA")</f>
        <v>Grammys + TRA</v>
      </c>
      <c r="I211">
        <f>_xlfn.XLOOKUP(Grammys[[#This Row],[date]], mobile_visits[date], mobile_visits[mobile_visitors], 0)</f>
        <v>0</v>
      </c>
      <c r="Q211" s="1">
        <v>44802</v>
      </c>
      <c r="R211">
        <v>12556</v>
      </c>
    </row>
    <row r="212" spans="1:18" x14ac:dyDescent="0.2">
      <c r="A212" s="1">
        <v>42946</v>
      </c>
      <c r="B212">
        <v>7637</v>
      </c>
      <c r="C212">
        <v>12684</v>
      </c>
      <c r="D212">
        <v>8190</v>
      </c>
      <c r="E212">
        <v>5829</v>
      </c>
      <c r="F212">
        <v>60</v>
      </c>
      <c r="G212" t="s">
        <v>20</v>
      </c>
      <c r="H212" t="str">
        <f>IF(Grammys[[#This Row],[date]] &gt;= DATE(2022, 2, 1), "Grammys", "Grammys + TRA")</f>
        <v>Grammys + TRA</v>
      </c>
      <c r="I212">
        <f>_xlfn.XLOOKUP(Grammys[[#This Row],[date]], mobile_visits[date], mobile_visits[mobile_visitors], 0)</f>
        <v>0</v>
      </c>
      <c r="Q212" s="1">
        <v>44803</v>
      </c>
      <c r="R212">
        <v>10963</v>
      </c>
    </row>
    <row r="213" spans="1:18" x14ac:dyDescent="0.2">
      <c r="A213" s="1">
        <v>42947</v>
      </c>
      <c r="B213">
        <v>5929</v>
      </c>
      <c r="C213">
        <v>10088</v>
      </c>
      <c r="D213">
        <v>6300</v>
      </c>
      <c r="E213">
        <v>4380</v>
      </c>
      <c r="F213">
        <v>77</v>
      </c>
      <c r="G213" t="s">
        <v>20</v>
      </c>
      <c r="H213" t="str">
        <f>IF(Grammys[[#This Row],[date]] &gt;= DATE(2022, 2, 1), "Grammys", "Grammys + TRA")</f>
        <v>Grammys + TRA</v>
      </c>
      <c r="I213">
        <f>_xlfn.XLOOKUP(Grammys[[#This Row],[date]], mobile_visits[date], mobile_visits[mobile_visitors], 0)</f>
        <v>0</v>
      </c>
      <c r="Q213" s="1">
        <v>44804</v>
      </c>
      <c r="R213">
        <v>9804</v>
      </c>
    </row>
    <row r="214" spans="1:18" x14ac:dyDescent="0.2">
      <c r="A214" s="1">
        <v>42948</v>
      </c>
      <c r="B214">
        <v>5822</v>
      </c>
      <c r="C214">
        <v>9805</v>
      </c>
      <c r="D214">
        <v>6188</v>
      </c>
      <c r="E214">
        <v>4351</v>
      </c>
      <c r="F214">
        <v>80</v>
      </c>
      <c r="G214" t="s">
        <v>20</v>
      </c>
      <c r="H214" t="str">
        <f>IF(Grammys[[#This Row],[date]] &gt;= DATE(2022, 2, 1), "Grammys", "Grammys + TRA")</f>
        <v>Grammys + TRA</v>
      </c>
      <c r="I214">
        <f>_xlfn.XLOOKUP(Grammys[[#This Row],[date]], mobile_visits[date], mobile_visits[mobile_visitors], 0)</f>
        <v>0</v>
      </c>
      <c r="Q214" s="1">
        <v>44805</v>
      </c>
      <c r="R214">
        <v>9398</v>
      </c>
    </row>
    <row r="215" spans="1:18" x14ac:dyDescent="0.2">
      <c r="A215" s="1">
        <v>42949</v>
      </c>
      <c r="B215">
        <v>6357</v>
      </c>
      <c r="C215">
        <v>11135</v>
      </c>
      <c r="D215">
        <v>6832</v>
      </c>
      <c r="E215">
        <v>3701</v>
      </c>
      <c r="F215">
        <v>97</v>
      </c>
      <c r="G215" t="s">
        <v>20</v>
      </c>
      <c r="H215" t="str">
        <f>IF(Grammys[[#This Row],[date]] &gt;= DATE(2022, 2, 1), "Grammys", "Grammys + TRA")</f>
        <v>Grammys + TRA</v>
      </c>
      <c r="I215">
        <f>_xlfn.XLOOKUP(Grammys[[#This Row],[date]], mobile_visits[date], mobile_visits[mobile_visitors], 0)</f>
        <v>0</v>
      </c>
      <c r="Q215" s="1">
        <v>44806</v>
      </c>
      <c r="R215">
        <v>9469</v>
      </c>
    </row>
    <row r="216" spans="1:18" x14ac:dyDescent="0.2">
      <c r="A216" s="1">
        <v>42950</v>
      </c>
      <c r="B216">
        <v>5559</v>
      </c>
      <c r="C216">
        <v>9464</v>
      </c>
      <c r="D216">
        <v>5962</v>
      </c>
      <c r="E216">
        <v>3287</v>
      </c>
      <c r="F216">
        <v>98</v>
      </c>
      <c r="G216" t="s">
        <v>20</v>
      </c>
      <c r="H216" t="str">
        <f>IF(Grammys[[#This Row],[date]] &gt;= DATE(2022, 2, 1), "Grammys", "Grammys + TRA")</f>
        <v>Grammys + TRA</v>
      </c>
      <c r="I216">
        <f>_xlfn.XLOOKUP(Grammys[[#This Row],[date]], mobile_visits[date], mobile_visits[mobile_visitors], 0)</f>
        <v>0</v>
      </c>
      <c r="Q216" s="1">
        <v>44807</v>
      </c>
      <c r="R216">
        <v>9615</v>
      </c>
    </row>
    <row r="217" spans="1:18" x14ac:dyDescent="0.2">
      <c r="A217" s="1">
        <v>42951</v>
      </c>
      <c r="B217">
        <v>5429</v>
      </c>
      <c r="C217">
        <v>9176</v>
      </c>
      <c r="D217">
        <v>5776</v>
      </c>
      <c r="E217">
        <v>3177</v>
      </c>
      <c r="F217">
        <v>97</v>
      </c>
      <c r="G217" t="s">
        <v>20</v>
      </c>
      <c r="H217" t="str">
        <f>IF(Grammys[[#This Row],[date]] &gt;= DATE(2022, 2, 1), "Grammys", "Grammys + TRA")</f>
        <v>Grammys + TRA</v>
      </c>
      <c r="I217">
        <f>_xlfn.XLOOKUP(Grammys[[#This Row],[date]], mobile_visits[date], mobile_visits[mobile_visitors], 0)</f>
        <v>0</v>
      </c>
      <c r="Q217" s="1">
        <v>44808</v>
      </c>
      <c r="R217">
        <v>12314</v>
      </c>
    </row>
    <row r="218" spans="1:18" x14ac:dyDescent="0.2">
      <c r="A218" s="1">
        <v>42952</v>
      </c>
      <c r="B218">
        <v>5053</v>
      </c>
      <c r="C218">
        <v>8344</v>
      </c>
      <c r="D218">
        <v>5320</v>
      </c>
      <c r="E218">
        <v>2849</v>
      </c>
      <c r="F218">
        <v>87</v>
      </c>
      <c r="G218" t="s">
        <v>20</v>
      </c>
      <c r="H218" t="str">
        <f>IF(Grammys[[#This Row],[date]] &gt;= DATE(2022, 2, 1), "Grammys", "Grammys + TRA")</f>
        <v>Grammys + TRA</v>
      </c>
      <c r="I218">
        <f>_xlfn.XLOOKUP(Grammys[[#This Row],[date]], mobile_visits[date], mobile_visits[mobile_visitors], 0)</f>
        <v>0</v>
      </c>
      <c r="Q218" s="1">
        <v>44809</v>
      </c>
      <c r="R218">
        <v>10552</v>
      </c>
    </row>
    <row r="219" spans="1:18" x14ac:dyDescent="0.2">
      <c r="A219" s="1">
        <v>42953</v>
      </c>
      <c r="B219">
        <v>5281</v>
      </c>
      <c r="C219">
        <v>8486</v>
      </c>
      <c r="D219">
        <v>5611</v>
      </c>
      <c r="E219">
        <v>2955</v>
      </c>
      <c r="F219">
        <v>86</v>
      </c>
      <c r="G219" t="s">
        <v>20</v>
      </c>
      <c r="H219" t="str">
        <f>IF(Grammys[[#This Row],[date]] &gt;= DATE(2022, 2, 1), "Grammys", "Grammys + TRA")</f>
        <v>Grammys + TRA</v>
      </c>
      <c r="I219">
        <f>_xlfn.XLOOKUP(Grammys[[#This Row],[date]], mobile_visits[date], mobile_visits[mobile_visitors], 0)</f>
        <v>0</v>
      </c>
      <c r="Q219" s="1">
        <v>44810</v>
      </c>
      <c r="R219">
        <v>7878</v>
      </c>
    </row>
    <row r="220" spans="1:18" x14ac:dyDescent="0.2">
      <c r="A220" s="1">
        <v>42954</v>
      </c>
      <c r="B220">
        <v>5671</v>
      </c>
      <c r="C220">
        <v>9509</v>
      </c>
      <c r="D220">
        <v>6047</v>
      </c>
      <c r="E220">
        <v>3366</v>
      </c>
      <c r="F220">
        <v>86</v>
      </c>
      <c r="G220" t="s">
        <v>20</v>
      </c>
      <c r="H220" t="str">
        <f>IF(Grammys[[#This Row],[date]] &gt;= DATE(2022, 2, 1), "Grammys", "Grammys + TRA")</f>
        <v>Grammys + TRA</v>
      </c>
      <c r="I220">
        <f>_xlfn.XLOOKUP(Grammys[[#This Row],[date]], mobile_visits[date], mobile_visits[mobile_visitors], 0)</f>
        <v>0</v>
      </c>
      <c r="Q220" s="1">
        <v>44811</v>
      </c>
      <c r="R220">
        <v>8822</v>
      </c>
    </row>
    <row r="221" spans="1:18" x14ac:dyDescent="0.2">
      <c r="A221" s="1">
        <v>42955</v>
      </c>
      <c r="B221">
        <v>5832</v>
      </c>
      <c r="C221">
        <v>9782</v>
      </c>
      <c r="D221">
        <v>6230</v>
      </c>
      <c r="E221">
        <v>3380</v>
      </c>
      <c r="F221">
        <v>90</v>
      </c>
      <c r="G221" t="s">
        <v>20</v>
      </c>
      <c r="H221" t="str">
        <f>IF(Grammys[[#This Row],[date]] &gt;= DATE(2022, 2, 1), "Grammys", "Grammys + TRA")</f>
        <v>Grammys + TRA</v>
      </c>
      <c r="I221">
        <f>_xlfn.XLOOKUP(Grammys[[#This Row],[date]], mobile_visits[date], mobile_visits[mobile_visitors], 0)</f>
        <v>0</v>
      </c>
      <c r="Q221" s="1">
        <v>44812</v>
      </c>
      <c r="R221">
        <v>8182</v>
      </c>
    </row>
    <row r="222" spans="1:18" x14ac:dyDescent="0.2">
      <c r="A222" s="1">
        <v>42956</v>
      </c>
      <c r="B222">
        <v>5987</v>
      </c>
      <c r="C222">
        <v>9949</v>
      </c>
      <c r="D222">
        <v>6384</v>
      </c>
      <c r="E222">
        <v>3464</v>
      </c>
      <c r="F222">
        <v>95</v>
      </c>
      <c r="G222" t="s">
        <v>20</v>
      </c>
      <c r="H222" t="str">
        <f>IF(Grammys[[#This Row],[date]] &gt;= DATE(2022, 2, 1), "Grammys", "Grammys + TRA")</f>
        <v>Grammys + TRA</v>
      </c>
      <c r="I222">
        <f>_xlfn.XLOOKUP(Grammys[[#This Row],[date]], mobile_visits[date], mobile_visits[mobile_visitors], 0)</f>
        <v>0</v>
      </c>
      <c r="Q222" s="1">
        <v>44813</v>
      </c>
      <c r="R222">
        <v>8529</v>
      </c>
    </row>
    <row r="223" spans="1:18" x14ac:dyDescent="0.2">
      <c r="A223" s="1">
        <v>42957</v>
      </c>
      <c r="B223">
        <v>5720</v>
      </c>
      <c r="C223">
        <v>9061</v>
      </c>
      <c r="D223">
        <v>6109</v>
      </c>
      <c r="E223">
        <v>3566</v>
      </c>
      <c r="F223">
        <v>77</v>
      </c>
      <c r="G223" t="s">
        <v>20</v>
      </c>
      <c r="H223" t="str">
        <f>IF(Grammys[[#This Row],[date]] &gt;= DATE(2022, 2, 1), "Grammys", "Grammys + TRA")</f>
        <v>Grammys + TRA</v>
      </c>
      <c r="I223">
        <f>_xlfn.XLOOKUP(Grammys[[#This Row],[date]], mobile_visits[date], mobile_visits[mobile_visitors], 0)</f>
        <v>0</v>
      </c>
      <c r="Q223" s="1">
        <v>44814</v>
      </c>
      <c r="R223">
        <v>9648</v>
      </c>
    </row>
    <row r="224" spans="1:18" x14ac:dyDescent="0.2">
      <c r="A224" s="1">
        <v>42958</v>
      </c>
      <c r="B224">
        <v>5245</v>
      </c>
      <c r="C224">
        <v>8404</v>
      </c>
      <c r="D224">
        <v>5533</v>
      </c>
      <c r="E224">
        <v>3107</v>
      </c>
      <c r="F224">
        <v>81</v>
      </c>
      <c r="G224" t="s">
        <v>20</v>
      </c>
      <c r="H224" t="str">
        <f>IF(Grammys[[#This Row],[date]] &gt;= DATE(2022, 2, 1), "Grammys", "Grammys + TRA")</f>
        <v>Grammys + TRA</v>
      </c>
      <c r="I224">
        <f>_xlfn.XLOOKUP(Grammys[[#This Row],[date]], mobile_visits[date], mobile_visits[mobile_visitors], 0)</f>
        <v>0</v>
      </c>
      <c r="Q224" s="1">
        <v>44815</v>
      </c>
      <c r="R224">
        <v>8152</v>
      </c>
    </row>
    <row r="225" spans="1:18" x14ac:dyDescent="0.2">
      <c r="A225" s="1">
        <v>42959</v>
      </c>
      <c r="B225">
        <v>4619</v>
      </c>
      <c r="C225">
        <v>7360</v>
      </c>
      <c r="D225">
        <v>4860</v>
      </c>
      <c r="E225">
        <v>2761</v>
      </c>
      <c r="F225">
        <v>69</v>
      </c>
      <c r="G225" t="s">
        <v>20</v>
      </c>
      <c r="H225" t="str">
        <f>IF(Grammys[[#This Row],[date]] &gt;= DATE(2022, 2, 1), "Grammys", "Grammys + TRA")</f>
        <v>Grammys + TRA</v>
      </c>
      <c r="I225">
        <f>_xlfn.XLOOKUP(Grammys[[#This Row],[date]], mobile_visits[date], mobile_visits[mobile_visitors], 0)</f>
        <v>0</v>
      </c>
      <c r="Q225" s="1">
        <v>44816</v>
      </c>
      <c r="R225">
        <v>9604</v>
      </c>
    </row>
    <row r="226" spans="1:18" x14ac:dyDescent="0.2">
      <c r="A226" s="1">
        <v>42960</v>
      </c>
      <c r="B226">
        <v>4727</v>
      </c>
      <c r="C226">
        <v>7524</v>
      </c>
      <c r="D226">
        <v>4972</v>
      </c>
      <c r="E226">
        <v>2825</v>
      </c>
      <c r="F226">
        <v>74</v>
      </c>
      <c r="G226" t="s">
        <v>20</v>
      </c>
      <c r="H226" t="str">
        <f>IF(Grammys[[#This Row],[date]] &gt;= DATE(2022, 2, 1), "Grammys", "Grammys + TRA")</f>
        <v>Grammys + TRA</v>
      </c>
      <c r="I226">
        <f>_xlfn.XLOOKUP(Grammys[[#This Row],[date]], mobile_visits[date], mobile_visits[mobile_visitors], 0)</f>
        <v>0</v>
      </c>
      <c r="Q226" s="1">
        <v>44817</v>
      </c>
      <c r="R226">
        <v>10922</v>
      </c>
    </row>
    <row r="227" spans="1:18" x14ac:dyDescent="0.2">
      <c r="A227" s="1">
        <v>42961</v>
      </c>
      <c r="B227">
        <v>5412</v>
      </c>
      <c r="C227">
        <v>8659</v>
      </c>
      <c r="D227">
        <v>5704</v>
      </c>
      <c r="E227">
        <v>3145</v>
      </c>
      <c r="F227">
        <v>85</v>
      </c>
      <c r="G227" t="s">
        <v>20</v>
      </c>
      <c r="H227" t="str">
        <f>IF(Grammys[[#This Row],[date]] &gt;= DATE(2022, 2, 1), "Grammys", "Grammys + TRA")</f>
        <v>Grammys + TRA</v>
      </c>
      <c r="I227">
        <f>_xlfn.XLOOKUP(Grammys[[#This Row],[date]], mobile_visits[date], mobile_visits[mobile_visitors], 0)</f>
        <v>0</v>
      </c>
      <c r="Q227" s="1">
        <v>44818</v>
      </c>
      <c r="R227">
        <v>8701</v>
      </c>
    </row>
    <row r="228" spans="1:18" x14ac:dyDescent="0.2">
      <c r="A228" s="1">
        <v>42962</v>
      </c>
      <c r="B228">
        <v>6186</v>
      </c>
      <c r="C228">
        <v>9708</v>
      </c>
      <c r="D228">
        <v>6495</v>
      </c>
      <c r="E228">
        <v>3927</v>
      </c>
      <c r="F228">
        <v>75</v>
      </c>
      <c r="G228" t="s">
        <v>20</v>
      </c>
      <c r="H228" t="str">
        <f>IF(Grammys[[#This Row],[date]] &gt;= DATE(2022, 2, 1), "Grammys", "Grammys + TRA")</f>
        <v>Grammys + TRA</v>
      </c>
      <c r="I228">
        <f>_xlfn.XLOOKUP(Grammys[[#This Row],[date]], mobile_visits[date], mobile_visits[mobile_visitors], 0)</f>
        <v>0</v>
      </c>
      <c r="Q228" s="1">
        <v>44819</v>
      </c>
      <c r="R228">
        <v>9365</v>
      </c>
    </row>
    <row r="229" spans="1:18" x14ac:dyDescent="0.2">
      <c r="A229" s="1">
        <v>42963</v>
      </c>
      <c r="B229">
        <v>5455</v>
      </c>
      <c r="C229">
        <v>8786</v>
      </c>
      <c r="D229">
        <v>5764</v>
      </c>
      <c r="E229">
        <v>3250</v>
      </c>
      <c r="F229">
        <v>79</v>
      </c>
      <c r="G229" t="s">
        <v>20</v>
      </c>
      <c r="H229" t="str">
        <f>IF(Grammys[[#This Row],[date]] &gt;= DATE(2022, 2, 1), "Grammys", "Grammys + TRA")</f>
        <v>Grammys + TRA</v>
      </c>
      <c r="I229">
        <f>_xlfn.XLOOKUP(Grammys[[#This Row],[date]], mobile_visits[date], mobile_visits[mobile_visitors], 0)</f>
        <v>0</v>
      </c>
      <c r="Q229" s="1">
        <v>44820</v>
      </c>
      <c r="R229">
        <v>9416</v>
      </c>
    </row>
    <row r="230" spans="1:18" x14ac:dyDescent="0.2">
      <c r="A230" s="1">
        <v>42964</v>
      </c>
      <c r="B230">
        <v>5718</v>
      </c>
      <c r="C230">
        <v>9480</v>
      </c>
      <c r="D230">
        <v>6084</v>
      </c>
      <c r="E230">
        <v>3487</v>
      </c>
      <c r="F230">
        <v>82</v>
      </c>
      <c r="G230" t="s">
        <v>20</v>
      </c>
      <c r="H230" t="str">
        <f>IF(Grammys[[#This Row],[date]] &gt;= DATE(2022, 2, 1), "Grammys", "Grammys + TRA")</f>
        <v>Grammys + TRA</v>
      </c>
      <c r="I230">
        <f>_xlfn.XLOOKUP(Grammys[[#This Row],[date]], mobile_visits[date], mobile_visits[mobile_visitors], 0)</f>
        <v>0</v>
      </c>
      <c r="Q230" s="1">
        <v>44821</v>
      </c>
      <c r="R230">
        <v>9792</v>
      </c>
    </row>
    <row r="231" spans="1:18" x14ac:dyDescent="0.2">
      <c r="A231" s="1">
        <v>42965</v>
      </c>
      <c r="B231">
        <v>6087</v>
      </c>
      <c r="C231">
        <v>9980</v>
      </c>
      <c r="D231">
        <v>6405</v>
      </c>
      <c r="E231">
        <v>3551</v>
      </c>
      <c r="F231">
        <v>83</v>
      </c>
      <c r="G231" t="s">
        <v>20</v>
      </c>
      <c r="H231" t="str">
        <f>IF(Grammys[[#This Row],[date]] &gt;= DATE(2022, 2, 1), "Grammys", "Grammys + TRA")</f>
        <v>Grammys + TRA</v>
      </c>
      <c r="I231">
        <f>_xlfn.XLOOKUP(Grammys[[#This Row],[date]], mobile_visits[date], mobile_visits[mobile_visitors], 0)</f>
        <v>0</v>
      </c>
      <c r="Q231" s="1">
        <v>44822</v>
      </c>
      <c r="R231">
        <v>9434</v>
      </c>
    </row>
    <row r="232" spans="1:18" x14ac:dyDescent="0.2">
      <c r="A232" s="1">
        <v>42966</v>
      </c>
      <c r="B232">
        <v>5568</v>
      </c>
      <c r="C232">
        <v>9131</v>
      </c>
      <c r="D232">
        <v>5898</v>
      </c>
      <c r="E232">
        <v>3159</v>
      </c>
      <c r="F232">
        <v>87</v>
      </c>
      <c r="G232" t="s">
        <v>20</v>
      </c>
      <c r="H232" t="str">
        <f>IF(Grammys[[#This Row],[date]] &gt;= DATE(2022, 2, 1), "Grammys", "Grammys + TRA")</f>
        <v>Grammys + TRA</v>
      </c>
      <c r="I232">
        <f>_xlfn.XLOOKUP(Grammys[[#This Row],[date]], mobile_visits[date], mobile_visits[mobile_visitors], 0)</f>
        <v>0</v>
      </c>
      <c r="Q232" s="1">
        <v>44823</v>
      </c>
      <c r="R232">
        <v>10224</v>
      </c>
    </row>
    <row r="233" spans="1:18" x14ac:dyDescent="0.2">
      <c r="A233" s="1">
        <v>42967</v>
      </c>
      <c r="B233">
        <v>4899</v>
      </c>
      <c r="C233">
        <v>8030</v>
      </c>
      <c r="D233">
        <v>5152</v>
      </c>
      <c r="E233">
        <v>2872</v>
      </c>
      <c r="F233">
        <v>81</v>
      </c>
      <c r="G233" t="s">
        <v>20</v>
      </c>
      <c r="H233" t="str">
        <f>IF(Grammys[[#This Row],[date]] &gt;= DATE(2022, 2, 1), "Grammys", "Grammys + TRA")</f>
        <v>Grammys + TRA</v>
      </c>
      <c r="I233">
        <f>_xlfn.XLOOKUP(Grammys[[#This Row],[date]], mobile_visits[date], mobile_visits[mobile_visitors], 0)</f>
        <v>0</v>
      </c>
      <c r="Q233" s="1">
        <v>44824</v>
      </c>
      <c r="R233">
        <v>20136</v>
      </c>
    </row>
    <row r="234" spans="1:18" x14ac:dyDescent="0.2">
      <c r="A234" s="1">
        <v>42968</v>
      </c>
      <c r="B234">
        <v>4888</v>
      </c>
      <c r="C234">
        <v>8049</v>
      </c>
      <c r="D234">
        <v>5141</v>
      </c>
      <c r="E234">
        <v>2874</v>
      </c>
      <c r="F234">
        <v>91</v>
      </c>
      <c r="G234" t="s">
        <v>20</v>
      </c>
      <c r="H234" t="str">
        <f>IF(Grammys[[#This Row],[date]] &gt;= DATE(2022, 2, 1), "Grammys", "Grammys + TRA")</f>
        <v>Grammys + TRA</v>
      </c>
      <c r="I234">
        <f>_xlfn.XLOOKUP(Grammys[[#This Row],[date]], mobile_visits[date], mobile_visits[mobile_visitors], 0)</f>
        <v>0</v>
      </c>
      <c r="Q234" s="1">
        <v>44825</v>
      </c>
      <c r="R234">
        <v>15984</v>
      </c>
    </row>
    <row r="235" spans="1:18" x14ac:dyDescent="0.2">
      <c r="A235" s="1">
        <v>42969</v>
      </c>
      <c r="B235">
        <v>5395</v>
      </c>
      <c r="C235">
        <v>8969</v>
      </c>
      <c r="D235">
        <v>5719</v>
      </c>
      <c r="E235">
        <v>3253</v>
      </c>
      <c r="F235">
        <v>83</v>
      </c>
      <c r="G235" t="s">
        <v>20</v>
      </c>
      <c r="H235" t="str">
        <f>IF(Grammys[[#This Row],[date]] &gt;= DATE(2022, 2, 1), "Grammys", "Grammys + TRA")</f>
        <v>Grammys + TRA</v>
      </c>
      <c r="I235">
        <f>_xlfn.XLOOKUP(Grammys[[#This Row],[date]], mobile_visits[date], mobile_visits[mobile_visitors], 0)</f>
        <v>0</v>
      </c>
      <c r="Q235" s="1">
        <v>44826</v>
      </c>
      <c r="R235">
        <v>11225</v>
      </c>
    </row>
    <row r="236" spans="1:18" x14ac:dyDescent="0.2">
      <c r="A236" s="1">
        <v>42970</v>
      </c>
      <c r="B236">
        <v>5723</v>
      </c>
      <c r="C236">
        <v>9378</v>
      </c>
      <c r="D236">
        <v>6079</v>
      </c>
      <c r="E236">
        <v>3397</v>
      </c>
      <c r="F236">
        <v>76</v>
      </c>
      <c r="G236" t="s">
        <v>20</v>
      </c>
      <c r="H236" t="str">
        <f>IF(Grammys[[#This Row],[date]] &gt;= DATE(2022, 2, 1), "Grammys", "Grammys + TRA")</f>
        <v>Grammys + TRA</v>
      </c>
      <c r="I236">
        <f>_xlfn.XLOOKUP(Grammys[[#This Row],[date]], mobile_visits[date], mobile_visits[mobile_visitors], 0)</f>
        <v>0</v>
      </c>
      <c r="Q236" s="1">
        <v>44827</v>
      </c>
      <c r="R236">
        <v>10328</v>
      </c>
    </row>
    <row r="237" spans="1:18" x14ac:dyDescent="0.2">
      <c r="A237" s="1">
        <v>42971</v>
      </c>
      <c r="B237">
        <v>7602</v>
      </c>
      <c r="C237">
        <v>11502</v>
      </c>
      <c r="D237">
        <v>8051</v>
      </c>
      <c r="E237">
        <v>4367</v>
      </c>
      <c r="F237">
        <v>67</v>
      </c>
      <c r="G237" t="s">
        <v>20</v>
      </c>
      <c r="H237" t="str">
        <f>IF(Grammys[[#This Row],[date]] &gt;= DATE(2022, 2, 1), "Grammys", "Grammys + TRA")</f>
        <v>Grammys + TRA</v>
      </c>
      <c r="I237">
        <f>_xlfn.XLOOKUP(Grammys[[#This Row],[date]], mobile_visits[date], mobile_visits[mobile_visitors], 0)</f>
        <v>0</v>
      </c>
      <c r="Q237" s="1">
        <v>44828</v>
      </c>
      <c r="R237">
        <v>14799</v>
      </c>
    </row>
    <row r="238" spans="1:18" x14ac:dyDescent="0.2">
      <c r="A238" s="1">
        <v>42972</v>
      </c>
      <c r="B238">
        <v>5282</v>
      </c>
      <c r="C238">
        <v>8318</v>
      </c>
      <c r="D238">
        <v>5537</v>
      </c>
      <c r="E238">
        <v>3250</v>
      </c>
      <c r="F238">
        <v>83</v>
      </c>
      <c r="G238" t="s">
        <v>20</v>
      </c>
      <c r="H238" t="str">
        <f>IF(Grammys[[#This Row],[date]] &gt;= DATE(2022, 2, 1), "Grammys", "Grammys + TRA")</f>
        <v>Grammys + TRA</v>
      </c>
      <c r="I238">
        <f>_xlfn.XLOOKUP(Grammys[[#This Row],[date]], mobile_visits[date], mobile_visits[mobile_visitors], 0)</f>
        <v>0</v>
      </c>
      <c r="Q238" s="1">
        <v>44829</v>
      </c>
      <c r="R238">
        <v>17766</v>
      </c>
    </row>
    <row r="239" spans="1:18" x14ac:dyDescent="0.2">
      <c r="A239" s="1">
        <v>42973</v>
      </c>
      <c r="B239">
        <v>4382</v>
      </c>
      <c r="C239">
        <v>7030</v>
      </c>
      <c r="D239">
        <v>4586</v>
      </c>
      <c r="E239">
        <v>2666</v>
      </c>
      <c r="F239">
        <v>87</v>
      </c>
      <c r="G239" t="s">
        <v>20</v>
      </c>
      <c r="H239" t="str">
        <f>IF(Grammys[[#This Row],[date]] &gt;= DATE(2022, 2, 1), "Grammys", "Grammys + TRA")</f>
        <v>Grammys + TRA</v>
      </c>
      <c r="I239">
        <f>_xlfn.XLOOKUP(Grammys[[#This Row],[date]], mobile_visits[date], mobile_visits[mobile_visitors], 0)</f>
        <v>0</v>
      </c>
      <c r="Q239" s="1">
        <v>44830</v>
      </c>
      <c r="R239">
        <v>16404</v>
      </c>
    </row>
    <row r="240" spans="1:18" x14ac:dyDescent="0.2">
      <c r="A240" s="1">
        <v>42974</v>
      </c>
      <c r="B240">
        <v>5706</v>
      </c>
      <c r="C240">
        <v>8975</v>
      </c>
      <c r="D240">
        <v>6006</v>
      </c>
      <c r="E240">
        <v>3355</v>
      </c>
      <c r="F240">
        <v>81</v>
      </c>
      <c r="G240" t="s">
        <v>20</v>
      </c>
      <c r="H240" t="str">
        <f>IF(Grammys[[#This Row],[date]] &gt;= DATE(2022, 2, 1), "Grammys", "Grammys + TRA")</f>
        <v>Grammys + TRA</v>
      </c>
      <c r="I240">
        <f>_xlfn.XLOOKUP(Grammys[[#This Row],[date]], mobile_visits[date], mobile_visits[mobile_visitors], 0)</f>
        <v>0</v>
      </c>
      <c r="Q240" s="1">
        <v>44831</v>
      </c>
      <c r="R240">
        <v>13765</v>
      </c>
    </row>
    <row r="241" spans="1:18" x14ac:dyDescent="0.2">
      <c r="A241" s="1">
        <v>42975</v>
      </c>
      <c r="B241">
        <v>6778</v>
      </c>
      <c r="C241">
        <v>11016</v>
      </c>
      <c r="D241">
        <v>7183</v>
      </c>
      <c r="E241">
        <v>4012</v>
      </c>
      <c r="F241">
        <v>80</v>
      </c>
      <c r="G241" t="s">
        <v>20</v>
      </c>
      <c r="H241" t="str">
        <f>IF(Grammys[[#This Row],[date]] &gt;= DATE(2022, 2, 1), "Grammys", "Grammys + TRA")</f>
        <v>Grammys + TRA</v>
      </c>
      <c r="I241">
        <f>_xlfn.XLOOKUP(Grammys[[#This Row],[date]], mobile_visits[date], mobile_visits[mobile_visitors], 0)</f>
        <v>0</v>
      </c>
      <c r="Q241" s="1">
        <v>44832</v>
      </c>
      <c r="R241">
        <v>11078</v>
      </c>
    </row>
    <row r="242" spans="1:18" x14ac:dyDescent="0.2">
      <c r="A242" s="1">
        <v>42976</v>
      </c>
      <c r="B242">
        <v>6446</v>
      </c>
      <c r="C242">
        <v>10640</v>
      </c>
      <c r="D242">
        <v>6870</v>
      </c>
      <c r="E242">
        <v>3787</v>
      </c>
      <c r="F242">
        <v>84</v>
      </c>
      <c r="G242" t="s">
        <v>20</v>
      </c>
      <c r="H242" t="str">
        <f>IF(Grammys[[#This Row],[date]] &gt;= DATE(2022, 2, 1), "Grammys", "Grammys + TRA")</f>
        <v>Grammys + TRA</v>
      </c>
      <c r="I242">
        <f>_xlfn.XLOOKUP(Grammys[[#This Row],[date]], mobile_visits[date], mobile_visits[mobile_visitors], 0)</f>
        <v>0</v>
      </c>
      <c r="Q242" s="1">
        <v>44833</v>
      </c>
      <c r="R242">
        <v>10707</v>
      </c>
    </row>
    <row r="243" spans="1:18" x14ac:dyDescent="0.2">
      <c r="A243" s="1">
        <v>42977</v>
      </c>
      <c r="B243">
        <v>8170</v>
      </c>
      <c r="C243">
        <v>12859</v>
      </c>
      <c r="D243">
        <v>8490</v>
      </c>
      <c r="E243">
        <v>4752</v>
      </c>
      <c r="F243">
        <v>87</v>
      </c>
      <c r="G243" t="s">
        <v>20</v>
      </c>
      <c r="H243" t="str">
        <f>IF(Grammys[[#This Row],[date]] &gt;= DATE(2022, 2, 1), "Grammys", "Grammys + TRA")</f>
        <v>Grammys + TRA</v>
      </c>
      <c r="I243">
        <f>_xlfn.XLOOKUP(Grammys[[#This Row],[date]], mobile_visits[date], mobile_visits[mobile_visitors], 0)</f>
        <v>0</v>
      </c>
      <c r="Q243" s="1">
        <v>44834</v>
      </c>
      <c r="R243">
        <v>9724</v>
      </c>
    </row>
    <row r="244" spans="1:18" x14ac:dyDescent="0.2">
      <c r="A244" s="1">
        <v>42978</v>
      </c>
      <c r="B244">
        <v>14405</v>
      </c>
      <c r="C244">
        <v>23969</v>
      </c>
      <c r="D244">
        <v>16607</v>
      </c>
      <c r="E244">
        <v>5056</v>
      </c>
      <c r="F244">
        <v>81</v>
      </c>
      <c r="G244" t="s">
        <v>20</v>
      </c>
      <c r="H244" t="str">
        <f>IF(Grammys[[#This Row],[date]] &gt;= DATE(2022, 2, 1), "Grammys", "Grammys + TRA")</f>
        <v>Grammys + TRA</v>
      </c>
      <c r="I244">
        <f>_xlfn.XLOOKUP(Grammys[[#This Row],[date]], mobile_visits[date], mobile_visits[mobile_visitors], 0)</f>
        <v>0</v>
      </c>
      <c r="Q244" s="1">
        <v>44835</v>
      </c>
      <c r="R244">
        <v>10555</v>
      </c>
    </row>
    <row r="245" spans="1:18" x14ac:dyDescent="0.2">
      <c r="A245" s="1">
        <v>42979</v>
      </c>
      <c r="B245">
        <v>7778</v>
      </c>
      <c r="C245">
        <v>12236</v>
      </c>
      <c r="D245">
        <v>8290</v>
      </c>
      <c r="E245">
        <v>3807</v>
      </c>
      <c r="F245">
        <v>89</v>
      </c>
      <c r="G245" t="s">
        <v>20</v>
      </c>
      <c r="H245" t="str">
        <f>IF(Grammys[[#This Row],[date]] &gt;= DATE(2022, 2, 1), "Grammys", "Grammys + TRA")</f>
        <v>Grammys + TRA</v>
      </c>
      <c r="I245">
        <f>_xlfn.XLOOKUP(Grammys[[#This Row],[date]], mobile_visits[date], mobile_visits[mobile_visitors], 0)</f>
        <v>0</v>
      </c>
      <c r="Q245" s="1">
        <v>44836</v>
      </c>
      <c r="R245">
        <v>12155</v>
      </c>
    </row>
    <row r="246" spans="1:18" x14ac:dyDescent="0.2">
      <c r="A246" s="1">
        <v>42980</v>
      </c>
      <c r="B246">
        <v>9566</v>
      </c>
      <c r="C246">
        <v>14989</v>
      </c>
      <c r="D246">
        <v>10327</v>
      </c>
      <c r="E246">
        <v>4489</v>
      </c>
      <c r="F246">
        <v>101</v>
      </c>
      <c r="G246" t="s">
        <v>20</v>
      </c>
      <c r="H246" t="str">
        <f>IF(Grammys[[#This Row],[date]] &gt;= DATE(2022, 2, 1), "Grammys", "Grammys + TRA")</f>
        <v>Grammys + TRA</v>
      </c>
      <c r="I246">
        <f>_xlfn.XLOOKUP(Grammys[[#This Row],[date]], mobile_visits[date], mobile_visits[mobile_visitors], 0)</f>
        <v>0</v>
      </c>
      <c r="Q246" s="1">
        <v>44837</v>
      </c>
      <c r="R246">
        <v>9310</v>
      </c>
    </row>
    <row r="247" spans="1:18" x14ac:dyDescent="0.2">
      <c r="A247" s="1">
        <v>42981</v>
      </c>
      <c r="B247">
        <v>6866</v>
      </c>
      <c r="C247">
        <v>10915</v>
      </c>
      <c r="D247">
        <v>7273</v>
      </c>
      <c r="E247">
        <v>3964</v>
      </c>
      <c r="F247">
        <v>76</v>
      </c>
      <c r="G247" t="s">
        <v>20</v>
      </c>
      <c r="H247" t="str">
        <f>IF(Grammys[[#This Row],[date]] &gt;= DATE(2022, 2, 1), "Grammys", "Grammys + TRA")</f>
        <v>Grammys + TRA</v>
      </c>
      <c r="I247">
        <f>_xlfn.XLOOKUP(Grammys[[#This Row],[date]], mobile_visits[date], mobile_visits[mobile_visitors], 0)</f>
        <v>0</v>
      </c>
      <c r="Q247" s="1">
        <v>44838</v>
      </c>
      <c r="R247">
        <v>10402</v>
      </c>
    </row>
    <row r="248" spans="1:18" x14ac:dyDescent="0.2">
      <c r="A248" s="1">
        <v>42982</v>
      </c>
      <c r="B248">
        <v>6103</v>
      </c>
      <c r="C248">
        <v>10127</v>
      </c>
      <c r="D248">
        <v>6529</v>
      </c>
      <c r="E248">
        <v>3482</v>
      </c>
      <c r="F248">
        <v>83</v>
      </c>
      <c r="G248" t="s">
        <v>20</v>
      </c>
      <c r="H248" t="str">
        <f>IF(Grammys[[#This Row],[date]] &gt;= DATE(2022, 2, 1), "Grammys", "Grammys + TRA")</f>
        <v>Grammys + TRA</v>
      </c>
      <c r="I248">
        <f>_xlfn.XLOOKUP(Grammys[[#This Row],[date]], mobile_visits[date], mobile_visits[mobile_visitors], 0)</f>
        <v>0</v>
      </c>
      <c r="Q248" s="1">
        <v>44839</v>
      </c>
      <c r="R248">
        <v>10434</v>
      </c>
    </row>
    <row r="249" spans="1:18" x14ac:dyDescent="0.2">
      <c r="A249" s="1">
        <v>42983</v>
      </c>
      <c r="B249">
        <v>5872</v>
      </c>
      <c r="C249">
        <v>9460</v>
      </c>
      <c r="D249">
        <v>6193</v>
      </c>
      <c r="E249">
        <v>3506</v>
      </c>
      <c r="F249">
        <v>89</v>
      </c>
      <c r="G249" t="s">
        <v>20</v>
      </c>
      <c r="H249" t="str">
        <f>IF(Grammys[[#This Row],[date]] &gt;= DATE(2022, 2, 1), "Grammys", "Grammys + TRA")</f>
        <v>Grammys + TRA</v>
      </c>
      <c r="I249">
        <f>_xlfn.XLOOKUP(Grammys[[#This Row],[date]], mobile_visits[date], mobile_visits[mobile_visitors], 0)</f>
        <v>0</v>
      </c>
      <c r="Q249" s="1">
        <v>44840</v>
      </c>
      <c r="R249">
        <v>17845</v>
      </c>
    </row>
    <row r="250" spans="1:18" x14ac:dyDescent="0.2">
      <c r="A250" s="1">
        <v>42984</v>
      </c>
      <c r="B250">
        <v>6691</v>
      </c>
      <c r="C250">
        <v>10706</v>
      </c>
      <c r="D250">
        <v>7050</v>
      </c>
      <c r="E250">
        <v>3772</v>
      </c>
      <c r="F250">
        <v>90</v>
      </c>
      <c r="G250" t="s">
        <v>20</v>
      </c>
      <c r="H250" t="str">
        <f>IF(Grammys[[#This Row],[date]] &gt;= DATE(2022, 2, 1), "Grammys", "Grammys + TRA")</f>
        <v>Grammys + TRA</v>
      </c>
      <c r="I250">
        <f>_xlfn.XLOOKUP(Grammys[[#This Row],[date]], mobile_visits[date], mobile_visits[mobile_visitors], 0)</f>
        <v>0</v>
      </c>
      <c r="Q250" s="1">
        <v>44841</v>
      </c>
      <c r="R250">
        <v>14651</v>
      </c>
    </row>
    <row r="251" spans="1:18" x14ac:dyDescent="0.2">
      <c r="A251" s="1">
        <v>42985</v>
      </c>
      <c r="B251">
        <v>6152</v>
      </c>
      <c r="C251">
        <v>10516</v>
      </c>
      <c r="D251">
        <v>6529</v>
      </c>
      <c r="E251">
        <v>3719</v>
      </c>
      <c r="F251">
        <v>96</v>
      </c>
      <c r="G251" t="s">
        <v>20</v>
      </c>
      <c r="H251" t="str">
        <f>IF(Grammys[[#This Row],[date]] &gt;= DATE(2022, 2, 1), "Grammys", "Grammys + TRA")</f>
        <v>Grammys + TRA</v>
      </c>
      <c r="I251">
        <f>_xlfn.XLOOKUP(Grammys[[#This Row],[date]], mobile_visits[date], mobile_visits[mobile_visitors], 0)</f>
        <v>0</v>
      </c>
      <c r="Q251" s="1">
        <v>44842</v>
      </c>
      <c r="R251">
        <v>14275</v>
      </c>
    </row>
    <row r="252" spans="1:18" x14ac:dyDescent="0.2">
      <c r="A252" s="1">
        <v>42986</v>
      </c>
      <c r="B252">
        <v>5709</v>
      </c>
      <c r="C252">
        <v>9391</v>
      </c>
      <c r="D252">
        <v>5984</v>
      </c>
      <c r="E252">
        <v>3453</v>
      </c>
      <c r="F252">
        <v>88</v>
      </c>
      <c r="G252" t="s">
        <v>20</v>
      </c>
      <c r="H252" t="str">
        <f>IF(Grammys[[#This Row],[date]] &gt;= DATE(2022, 2, 1), "Grammys", "Grammys + TRA")</f>
        <v>Grammys + TRA</v>
      </c>
      <c r="I252">
        <f>_xlfn.XLOOKUP(Grammys[[#This Row],[date]], mobile_visits[date], mobile_visits[mobile_visitors], 0)</f>
        <v>0</v>
      </c>
      <c r="Q252" s="1">
        <v>44843</v>
      </c>
      <c r="R252">
        <v>14935</v>
      </c>
    </row>
    <row r="253" spans="1:18" x14ac:dyDescent="0.2">
      <c r="A253" s="1">
        <v>42987</v>
      </c>
      <c r="B253">
        <v>5336</v>
      </c>
      <c r="C253">
        <v>8745</v>
      </c>
      <c r="D253">
        <v>5682</v>
      </c>
      <c r="E253">
        <v>3173</v>
      </c>
      <c r="F253">
        <v>87</v>
      </c>
      <c r="G253" t="s">
        <v>20</v>
      </c>
      <c r="H253" t="str">
        <f>IF(Grammys[[#This Row],[date]] &gt;= DATE(2022, 2, 1), "Grammys", "Grammys + TRA")</f>
        <v>Grammys + TRA</v>
      </c>
      <c r="I253">
        <f>_xlfn.XLOOKUP(Grammys[[#This Row],[date]], mobile_visits[date], mobile_visits[mobile_visitors], 0)</f>
        <v>0</v>
      </c>
      <c r="Q253" s="1">
        <v>44844</v>
      </c>
      <c r="R253">
        <v>14169</v>
      </c>
    </row>
    <row r="254" spans="1:18" x14ac:dyDescent="0.2">
      <c r="A254" s="1">
        <v>42988</v>
      </c>
      <c r="B254">
        <v>5072</v>
      </c>
      <c r="C254">
        <v>8731</v>
      </c>
      <c r="D254">
        <v>5363</v>
      </c>
      <c r="E254">
        <v>3004</v>
      </c>
      <c r="F254">
        <v>94</v>
      </c>
      <c r="G254" t="s">
        <v>20</v>
      </c>
      <c r="H254" t="str">
        <f>IF(Grammys[[#This Row],[date]] &gt;= DATE(2022, 2, 1), "Grammys", "Grammys + TRA")</f>
        <v>Grammys + TRA</v>
      </c>
      <c r="I254">
        <f>_xlfn.XLOOKUP(Grammys[[#This Row],[date]], mobile_visits[date], mobile_visits[mobile_visitors], 0)</f>
        <v>0</v>
      </c>
      <c r="Q254" s="1">
        <v>44845</v>
      </c>
      <c r="R254">
        <v>27234</v>
      </c>
    </row>
    <row r="255" spans="1:18" x14ac:dyDescent="0.2">
      <c r="A255" s="1">
        <v>42989</v>
      </c>
      <c r="B255">
        <v>5659</v>
      </c>
      <c r="C255">
        <v>9635</v>
      </c>
      <c r="D255">
        <v>5974</v>
      </c>
      <c r="E255">
        <v>3425</v>
      </c>
      <c r="F255">
        <v>97</v>
      </c>
      <c r="G255" t="s">
        <v>20</v>
      </c>
      <c r="H255" t="str">
        <f>IF(Grammys[[#This Row],[date]] &gt;= DATE(2022, 2, 1), "Grammys", "Grammys + TRA")</f>
        <v>Grammys + TRA</v>
      </c>
      <c r="I255">
        <f>_xlfn.XLOOKUP(Grammys[[#This Row],[date]], mobile_visits[date], mobile_visits[mobile_visitors], 0)</f>
        <v>0</v>
      </c>
      <c r="Q255" s="1">
        <v>44846</v>
      </c>
      <c r="R255">
        <v>18076</v>
      </c>
    </row>
    <row r="256" spans="1:18" x14ac:dyDescent="0.2">
      <c r="A256" s="1">
        <v>42990</v>
      </c>
      <c r="B256">
        <v>8168</v>
      </c>
      <c r="C256">
        <v>12415</v>
      </c>
      <c r="D256">
        <v>8574</v>
      </c>
      <c r="E256">
        <v>4649</v>
      </c>
      <c r="F256">
        <v>76</v>
      </c>
      <c r="G256" t="s">
        <v>20</v>
      </c>
      <c r="H256" t="str">
        <f>IF(Grammys[[#This Row],[date]] &gt;= DATE(2022, 2, 1), "Grammys", "Grammys + TRA")</f>
        <v>Grammys + TRA</v>
      </c>
      <c r="I256">
        <f>_xlfn.XLOOKUP(Grammys[[#This Row],[date]], mobile_visits[date], mobile_visits[mobile_visitors], 0)</f>
        <v>0</v>
      </c>
      <c r="Q256" s="1">
        <v>44847</v>
      </c>
      <c r="R256">
        <v>42179</v>
      </c>
    </row>
    <row r="257" spans="1:18" x14ac:dyDescent="0.2">
      <c r="A257" s="1">
        <v>42991</v>
      </c>
      <c r="B257">
        <v>11927</v>
      </c>
      <c r="C257">
        <v>17765</v>
      </c>
      <c r="D257">
        <v>13596</v>
      </c>
      <c r="E257">
        <v>5696</v>
      </c>
      <c r="F257">
        <v>71</v>
      </c>
      <c r="G257" t="s">
        <v>20</v>
      </c>
      <c r="H257" t="str">
        <f>IF(Grammys[[#This Row],[date]] &gt;= DATE(2022, 2, 1), "Grammys", "Grammys + TRA")</f>
        <v>Grammys + TRA</v>
      </c>
      <c r="I257">
        <f>_xlfn.XLOOKUP(Grammys[[#This Row],[date]], mobile_visits[date], mobile_visits[mobile_visitors], 0)</f>
        <v>0</v>
      </c>
      <c r="Q257" s="1">
        <v>44848</v>
      </c>
      <c r="R257">
        <v>40045</v>
      </c>
    </row>
    <row r="258" spans="1:18" x14ac:dyDescent="0.2">
      <c r="A258" s="1">
        <v>42992</v>
      </c>
      <c r="B258">
        <v>9411</v>
      </c>
      <c r="C258">
        <v>14138</v>
      </c>
      <c r="D258">
        <v>10376</v>
      </c>
      <c r="E258">
        <v>4925</v>
      </c>
      <c r="F258">
        <v>72</v>
      </c>
      <c r="G258" t="s">
        <v>20</v>
      </c>
      <c r="H258" t="str">
        <f>IF(Grammys[[#This Row],[date]] &gt;= DATE(2022, 2, 1), "Grammys", "Grammys + TRA")</f>
        <v>Grammys + TRA</v>
      </c>
      <c r="I258">
        <f>_xlfn.XLOOKUP(Grammys[[#This Row],[date]], mobile_visits[date], mobile_visits[mobile_visitors], 0)</f>
        <v>0</v>
      </c>
      <c r="Q258" s="1">
        <v>44849</v>
      </c>
      <c r="R258">
        <v>19155</v>
      </c>
    </row>
    <row r="259" spans="1:18" x14ac:dyDescent="0.2">
      <c r="A259" s="1">
        <v>42993</v>
      </c>
      <c r="B259">
        <v>7285</v>
      </c>
      <c r="C259">
        <v>11905</v>
      </c>
      <c r="D259">
        <v>7861</v>
      </c>
      <c r="E259">
        <v>4238</v>
      </c>
      <c r="F259">
        <v>84</v>
      </c>
      <c r="G259" t="s">
        <v>20</v>
      </c>
      <c r="H259" t="str">
        <f>IF(Grammys[[#This Row],[date]] &gt;= DATE(2022, 2, 1), "Grammys", "Grammys + TRA")</f>
        <v>Grammys + TRA</v>
      </c>
      <c r="I259">
        <f>_xlfn.XLOOKUP(Grammys[[#This Row],[date]], mobile_visits[date], mobile_visits[mobile_visitors], 0)</f>
        <v>0</v>
      </c>
      <c r="Q259" s="1">
        <v>44850</v>
      </c>
      <c r="R259">
        <v>14896</v>
      </c>
    </row>
    <row r="260" spans="1:18" x14ac:dyDescent="0.2">
      <c r="A260" s="1">
        <v>42994</v>
      </c>
      <c r="B260">
        <v>6909</v>
      </c>
      <c r="C260">
        <v>11067</v>
      </c>
      <c r="D260">
        <v>7454</v>
      </c>
      <c r="E260">
        <v>3800</v>
      </c>
      <c r="F260">
        <v>77</v>
      </c>
      <c r="G260" t="s">
        <v>20</v>
      </c>
      <c r="H260" t="str">
        <f>IF(Grammys[[#This Row],[date]] &gt;= DATE(2022, 2, 1), "Grammys", "Grammys + TRA")</f>
        <v>Grammys + TRA</v>
      </c>
      <c r="I260">
        <f>_xlfn.XLOOKUP(Grammys[[#This Row],[date]], mobile_visits[date], mobile_visits[mobile_visitors], 0)</f>
        <v>0</v>
      </c>
      <c r="Q260" s="1">
        <v>44851</v>
      </c>
      <c r="R260">
        <v>15400</v>
      </c>
    </row>
    <row r="261" spans="1:18" x14ac:dyDescent="0.2">
      <c r="A261" s="1">
        <v>42995</v>
      </c>
      <c r="B261">
        <v>8802</v>
      </c>
      <c r="C261">
        <v>14027</v>
      </c>
      <c r="D261">
        <v>9378</v>
      </c>
      <c r="E261">
        <v>4935</v>
      </c>
      <c r="F261">
        <v>77</v>
      </c>
      <c r="G261" t="s">
        <v>20</v>
      </c>
      <c r="H261" t="str">
        <f>IF(Grammys[[#This Row],[date]] &gt;= DATE(2022, 2, 1), "Grammys", "Grammys + TRA")</f>
        <v>Grammys + TRA</v>
      </c>
      <c r="I261">
        <f>_xlfn.XLOOKUP(Grammys[[#This Row],[date]], mobile_visits[date], mobile_visits[mobile_visitors], 0)</f>
        <v>0</v>
      </c>
      <c r="Q261" s="1">
        <v>44852</v>
      </c>
      <c r="R261">
        <v>14205</v>
      </c>
    </row>
    <row r="262" spans="1:18" x14ac:dyDescent="0.2">
      <c r="A262" s="1">
        <v>42996</v>
      </c>
      <c r="B262">
        <v>9052</v>
      </c>
      <c r="C262">
        <v>14818</v>
      </c>
      <c r="D262">
        <v>9587</v>
      </c>
      <c r="E262">
        <v>5133</v>
      </c>
      <c r="F262">
        <v>82</v>
      </c>
      <c r="G262" t="s">
        <v>20</v>
      </c>
      <c r="H262" t="str">
        <f>IF(Grammys[[#This Row],[date]] &gt;= DATE(2022, 2, 1), "Grammys", "Grammys + TRA")</f>
        <v>Grammys + TRA</v>
      </c>
      <c r="I262">
        <f>_xlfn.XLOOKUP(Grammys[[#This Row],[date]], mobile_visits[date], mobile_visits[mobile_visitors], 0)</f>
        <v>0</v>
      </c>
      <c r="Q262" s="1">
        <v>44853</v>
      </c>
      <c r="R262">
        <v>13357</v>
      </c>
    </row>
    <row r="263" spans="1:18" x14ac:dyDescent="0.2">
      <c r="A263" s="1">
        <v>42997</v>
      </c>
      <c r="B263">
        <v>9180</v>
      </c>
      <c r="C263">
        <v>16371</v>
      </c>
      <c r="D263">
        <v>9803</v>
      </c>
      <c r="E263">
        <v>5451</v>
      </c>
      <c r="F263">
        <v>83</v>
      </c>
      <c r="G263" t="s">
        <v>20</v>
      </c>
      <c r="H263" t="str">
        <f>IF(Grammys[[#This Row],[date]] &gt;= DATE(2022, 2, 1), "Grammys", "Grammys + TRA")</f>
        <v>Grammys + TRA</v>
      </c>
      <c r="I263">
        <f>_xlfn.XLOOKUP(Grammys[[#This Row],[date]], mobile_visits[date], mobile_visits[mobile_visitors], 0)</f>
        <v>0</v>
      </c>
      <c r="Q263" s="1">
        <v>44854</v>
      </c>
      <c r="R263">
        <v>12704</v>
      </c>
    </row>
    <row r="264" spans="1:18" x14ac:dyDescent="0.2">
      <c r="A264" s="1">
        <v>42998</v>
      </c>
      <c r="B264">
        <v>7399</v>
      </c>
      <c r="C264">
        <v>12125</v>
      </c>
      <c r="D264">
        <v>7840</v>
      </c>
      <c r="E264">
        <v>4342</v>
      </c>
      <c r="F264">
        <v>84</v>
      </c>
      <c r="G264" t="s">
        <v>20</v>
      </c>
      <c r="H264" t="str">
        <f>IF(Grammys[[#This Row],[date]] &gt;= DATE(2022, 2, 1), "Grammys", "Grammys + TRA")</f>
        <v>Grammys + TRA</v>
      </c>
      <c r="I264">
        <f>_xlfn.XLOOKUP(Grammys[[#This Row],[date]], mobile_visits[date], mobile_visits[mobile_visitors], 0)</f>
        <v>0</v>
      </c>
      <c r="Q264" s="1">
        <v>44855</v>
      </c>
      <c r="R264">
        <v>13614</v>
      </c>
    </row>
    <row r="265" spans="1:18" x14ac:dyDescent="0.2">
      <c r="A265" s="1">
        <v>42999</v>
      </c>
      <c r="B265">
        <v>11407</v>
      </c>
      <c r="C265">
        <v>18665</v>
      </c>
      <c r="D265">
        <v>13165</v>
      </c>
      <c r="E265">
        <v>6009</v>
      </c>
      <c r="F265">
        <v>98</v>
      </c>
      <c r="G265" t="s">
        <v>20</v>
      </c>
      <c r="H265" t="str">
        <f>IF(Grammys[[#This Row],[date]] &gt;= DATE(2022, 2, 1), "Grammys", "Grammys + TRA")</f>
        <v>Grammys + TRA</v>
      </c>
      <c r="I265">
        <f>_xlfn.XLOOKUP(Grammys[[#This Row],[date]], mobile_visits[date], mobile_visits[mobile_visitors], 0)</f>
        <v>0</v>
      </c>
      <c r="Q265" s="1">
        <v>44856</v>
      </c>
      <c r="R265">
        <v>14062</v>
      </c>
    </row>
    <row r="266" spans="1:18" x14ac:dyDescent="0.2">
      <c r="A266" s="1">
        <v>43000</v>
      </c>
      <c r="B266">
        <v>6924</v>
      </c>
      <c r="C266">
        <v>15042</v>
      </c>
      <c r="D266">
        <v>7387</v>
      </c>
      <c r="E266">
        <v>2739</v>
      </c>
      <c r="F266">
        <v>79</v>
      </c>
      <c r="G266" t="s">
        <v>20</v>
      </c>
      <c r="H266" t="str">
        <f>IF(Grammys[[#This Row],[date]] &gt;= DATE(2022, 2, 1), "Grammys", "Grammys + TRA")</f>
        <v>Grammys + TRA</v>
      </c>
      <c r="I266">
        <f>_xlfn.XLOOKUP(Grammys[[#This Row],[date]], mobile_visits[date], mobile_visits[mobile_visitors], 0)</f>
        <v>0</v>
      </c>
      <c r="Q266" s="1">
        <v>44857</v>
      </c>
      <c r="R266">
        <v>15449</v>
      </c>
    </row>
    <row r="267" spans="1:18" x14ac:dyDescent="0.2">
      <c r="A267" s="1">
        <v>43001</v>
      </c>
      <c r="B267">
        <v>5928</v>
      </c>
      <c r="C267">
        <v>12882</v>
      </c>
      <c r="D267">
        <v>6266</v>
      </c>
      <c r="E267">
        <v>2328</v>
      </c>
      <c r="F267">
        <v>84</v>
      </c>
      <c r="G267" t="s">
        <v>20</v>
      </c>
      <c r="H267" t="str">
        <f>IF(Grammys[[#This Row],[date]] &gt;= DATE(2022, 2, 1), "Grammys", "Grammys + TRA")</f>
        <v>Grammys + TRA</v>
      </c>
      <c r="I267">
        <f>_xlfn.XLOOKUP(Grammys[[#This Row],[date]], mobile_visits[date], mobile_visits[mobile_visitors], 0)</f>
        <v>0</v>
      </c>
      <c r="Q267" s="1">
        <v>44858</v>
      </c>
      <c r="R267">
        <v>12948</v>
      </c>
    </row>
    <row r="268" spans="1:18" x14ac:dyDescent="0.2">
      <c r="A268" s="1">
        <v>43002</v>
      </c>
      <c r="B268">
        <v>6314</v>
      </c>
      <c r="C268">
        <v>14187</v>
      </c>
      <c r="D268">
        <v>6671</v>
      </c>
      <c r="E268">
        <v>2139</v>
      </c>
      <c r="F268">
        <v>82</v>
      </c>
      <c r="G268" t="s">
        <v>20</v>
      </c>
      <c r="H268" t="str">
        <f>IF(Grammys[[#This Row],[date]] &gt;= DATE(2022, 2, 1), "Grammys", "Grammys + TRA")</f>
        <v>Grammys + TRA</v>
      </c>
      <c r="I268">
        <f>_xlfn.XLOOKUP(Grammys[[#This Row],[date]], mobile_visits[date], mobile_visits[mobile_visitors], 0)</f>
        <v>0</v>
      </c>
      <c r="Q268" s="1">
        <v>44859</v>
      </c>
      <c r="R268">
        <v>13150</v>
      </c>
    </row>
    <row r="269" spans="1:18" x14ac:dyDescent="0.2">
      <c r="A269" s="1">
        <v>43003</v>
      </c>
      <c r="B269">
        <v>8801</v>
      </c>
      <c r="C269">
        <v>19678</v>
      </c>
      <c r="D269">
        <v>9717</v>
      </c>
      <c r="E269">
        <v>2513</v>
      </c>
      <c r="F269">
        <v>84</v>
      </c>
      <c r="G269" t="s">
        <v>20</v>
      </c>
      <c r="H269" t="str">
        <f>IF(Grammys[[#This Row],[date]] &gt;= DATE(2022, 2, 1), "Grammys", "Grammys + TRA")</f>
        <v>Grammys + TRA</v>
      </c>
      <c r="I269">
        <f>_xlfn.XLOOKUP(Grammys[[#This Row],[date]], mobile_visits[date], mobile_visits[mobile_visitors], 0)</f>
        <v>0</v>
      </c>
      <c r="Q269" s="1">
        <v>44860</v>
      </c>
      <c r="R269">
        <v>12604</v>
      </c>
    </row>
    <row r="270" spans="1:18" x14ac:dyDescent="0.2">
      <c r="A270" s="1">
        <v>43004</v>
      </c>
      <c r="B270">
        <v>10965</v>
      </c>
      <c r="C270">
        <v>25433</v>
      </c>
      <c r="D270">
        <v>11990</v>
      </c>
      <c r="E270">
        <v>3303</v>
      </c>
      <c r="F270">
        <v>91</v>
      </c>
      <c r="G270" t="s">
        <v>20</v>
      </c>
      <c r="H270" t="str">
        <f>IF(Grammys[[#This Row],[date]] &gt;= DATE(2022, 2, 1), "Grammys", "Grammys + TRA")</f>
        <v>Grammys + TRA</v>
      </c>
      <c r="I270">
        <f>_xlfn.XLOOKUP(Grammys[[#This Row],[date]], mobile_visits[date], mobile_visits[mobile_visitors], 0)</f>
        <v>0</v>
      </c>
      <c r="Q270" s="1">
        <v>44861</v>
      </c>
      <c r="R270">
        <v>13231</v>
      </c>
    </row>
    <row r="271" spans="1:18" x14ac:dyDescent="0.2">
      <c r="A271" s="1">
        <v>43005</v>
      </c>
      <c r="B271">
        <v>9788</v>
      </c>
      <c r="C271">
        <v>22289</v>
      </c>
      <c r="D271">
        <v>10700</v>
      </c>
      <c r="E271">
        <v>2883</v>
      </c>
      <c r="F271">
        <v>81</v>
      </c>
      <c r="G271" t="s">
        <v>20</v>
      </c>
      <c r="H271" t="str">
        <f>IF(Grammys[[#This Row],[date]] &gt;= DATE(2022, 2, 1), "Grammys", "Grammys + TRA")</f>
        <v>Grammys + TRA</v>
      </c>
      <c r="I271">
        <f>_xlfn.XLOOKUP(Grammys[[#This Row],[date]], mobile_visits[date], mobile_visits[mobile_visitors], 0)</f>
        <v>0</v>
      </c>
      <c r="Q271" s="1">
        <v>44862</v>
      </c>
      <c r="R271">
        <v>11091</v>
      </c>
    </row>
    <row r="272" spans="1:18" x14ac:dyDescent="0.2">
      <c r="A272" s="1">
        <v>43006</v>
      </c>
      <c r="B272">
        <v>9407</v>
      </c>
      <c r="C272">
        <v>21335</v>
      </c>
      <c r="D272">
        <v>10009</v>
      </c>
      <c r="E272">
        <v>2708</v>
      </c>
      <c r="F272">
        <v>82</v>
      </c>
      <c r="G272" t="s">
        <v>20</v>
      </c>
      <c r="H272" t="str">
        <f>IF(Grammys[[#This Row],[date]] &gt;= DATE(2022, 2, 1), "Grammys", "Grammys + TRA")</f>
        <v>Grammys + TRA</v>
      </c>
      <c r="I272">
        <f>_xlfn.XLOOKUP(Grammys[[#This Row],[date]], mobile_visits[date], mobile_visits[mobile_visitors], 0)</f>
        <v>0</v>
      </c>
      <c r="Q272" s="1">
        <v>44863</v>
      </c>
      <c r="R272">
        <v>10246</v>
      </c>
    </row>
    <row r="273" spans="1:18" x14ac:dyDescent="0.2">
      <c r="A273" s="1">
        <v>43007</v>
      </c>
      <c r="B273">
        <v>7889</v>
      </c>
      <c r="C273">
        <v>17578</v>
      </c>
      <c r="D273">
        <v>8401</v>
      </c>
      <c r="E273">
        <v>2584</v>
      </c>
      <c r="F273">
        <v>89</v>
      </c>
      <c r="G273" t="s">
        <v>20</v>
      </c>
      <c r="H273" t="str">
        <f>IF(Grammys[[#This Row],[date]] &gt;= DATE(2022, 2, 1), "Grammys", "Grammys + TRA")</f>
        <v>Grammys + TRA</v>
      </c>
      <c r="I273">
        <f>_xlfn.XLOOKUP(Grammys[[#This Row],[date]], mobile_visits[date], mobile_visits[mobile_visitors], 0)</f>
        <v>0</v>
      </c>
      <c r="Q273" s="1">
        <v>44864</v>
      </c>
      <c r="R273">
        <v>9248</v>
      </c>
    </row>
    <row r="274" spans="1:18" x14ac:dyDescent="0.2">
      <c r="A274" s="1">
        <v>43008</v>
      </c>
      <c r="B274">
        <v>8455</v>
      </c>
      <c r="C274">
        <v>19058</v>
      </c>
      <c r="D274">
        <v>8988</v>
      </c>
      <c r="E274">
        <v>2439</v>
      </c>
      <c r="F274">
        <v>86</v>
      </c>
      <c r="G274" t="s">
        <v>20</v>
      </c>
      <c r="H274" t="str">
        <f>IF(Grammys[[#This Row],[date]] &gt;= DATE(2022, 2, 1), "Grammys", "Grammys + TRA")</f>
        <v>Grammys + TRA</v>
      </c>
      <c r="I274">
        <f>_xlfn.XLOOKUP(Grammys[[#This Row],[date]], mobile_visits[date], mobile_visits[mobile_visitors], 0)</f>
        <v>0</v>
      </c>
      <c r="Q274" s="1">
        <v>44865</v>
      </c>
      <c r="R274">
        <v>8802</v>
      </c>
    </row>
    <row r="275" spans="1:18" x14ac:dyDescent="0.2">
      <c r="A275" s="1">
        <v>43009</v>
      </c>
      <c r="B275">
        <v>7768</v>
      </c>
      <c r="C275">
        <v>16586</v>
      </c>
      <c r="D275">
        <v>8196</v>
      </c>
      <c r="E275">
        <v>3270</v>
      </c>
      <c r="F275">
        <v>82</v>
      </c>
      <c r="G275" t="s">
        <v>20</v>
      </c>
      <c r="H275" t="str">
        <f>IF(Grammys[[#This Row],[date]] &gt;= DATE(2022, 2, 1), "Grammys", "Grammys + TRA")</f>
        <v>Grammys + TRA</v>
      </c>
      <c r="I275">
        <f>_xlfn.XLOOKUP(Grammys[[#This Row],[date]], mobile_visits[date], mobile_visits[mobile_visitors], 0)</f>
        <v>0</v>
      </c>
      <c r="Q275" s="1">
        <v>44866</v>
      </c>
      <c r="R275">
        <v>11610</v>
      </c>
    </row>
    <row r="276" spans="1:18" x14ac:dyDescent="0.2">
      <c r="A276" s="1">
        <v>43010</v>
      </c>
      <c r="B276">
        <v>8447</v>
      </c>
      <c r="C276">
        <v>18685</v>
      </c>
      <c r="D276">
        <v>8908</v>
      </c>
      <c r="E276">
        <v>3067</v>
      </c>
      <c r="F276">
        <v>81</v>
      </c>
      <c r="G276" t="s">
        <v>20</v>
      </c>
      <c r="H276" t="str">
        <f>IF(Grammys[[#This Row],[date]] &gt;= DATE(2022, 2, 1), "Grammys", "Grammys + TRA")</f>
        <v>Grammys + TRA</v>
      </c>
      <c r="I276">
        <f>_xlfn.XLOOKUP(Grammys[[#This Row],[date]], mobile_visits[date], mobile_visits[mobile_visitors], 0)</f>
        <v>0</v>
      </c>
      <c r="Q276" s="1">
        <v>44867</v>
      </c>
      <c r="R276">
        <v>12274</v>
      </c>
    </row>
    <row r="277" spans="1:18" x14ac:dyDescent="0.2">
      <c r="A277" s="1">
        <v>43011</v>
      </c>
      <c r="B277">
        <v>24449</v>
      </c>
      <c r="C277">
        <v>60005</v>
      </c>
      <c r="D277">
        <v>26587</v>
      </c>
      <c r="E277">
        <v>3558</v>
      </c>
      <c r="F277">
        <v>77</v>
      </c>
      <c r="G277" t="s">
        <v>20</v>
      </c>
      <c r="H277" t="str">
        <f>IF(Grammys[[#This Row],[date]] &gt;= DATE(2022, 2, 1), "Grammys", "Grammys + TRA")</f>
        <v>Grammys + TRA</v>
      </c>
      <c r="I277">
        <f>_xlfn.XLOOKUP(Grammys[[#This Row],[date]], mobile_visits[date], mobile_visits[mobile_visitors], 0)</f>
        <v>0</v>
      </c>
      <c r="Q277" s="1">
        <v>44868</v>
      </c>
      <c r="R277">
        <v>10907</v>
      </c>
    </row>
    <row r="278" spans="1:18" x14ac:dyDescent="0.2">
      <c r="A278" s="1">
        <v>43012</v>
      </c>
      <c r="B278">
        <v>66639</v>
      </c>
      <c r="C278">
        <v>159403</v>
      </c>
      <c r="D278">
        <v>71386</v>
      </c>
      <c r="E278">
        <v>6175</v>
      </c>
      <c r="F278">
        <v>70</v>
      </c>
      <c r="G278" t="s">
        <v>20</v>
      </c>
      <c r="H278" t="str">
        <f>IF(Grammys[[#This Row],[date]] &gt;= DATE(2022, 2, 1), "Grammys", "Grammys + TRA")</f>
        <v>Grammys + TRA</v>
      </c>
      <c r="I278">
        <f>_xlfn.XLOOKUP(Grammys[[#This Row],[date]], mobile_visits[date], mobile_visits[mobile_visitors], 0)</f>
        <v>0</v>
      </c>
      <c r="Q278" s="1">
        <v>44869</v>
      </c>
      <c r="R278">
        <v>15681</v>
      </c>
    </row>
    <row r="279" spans="1:18" x14ac:dyDescent="0.2">
      <c r="A279" s="1">
        <v>43013</v>
      </c>
      <c r="B279">
        <v>18708</v>
      </c>
      <c r="C279">
        <v>28073</v>
      </c>
      <c r="D279">
        <v>19550</v>
      </c>
      <c r="E279">
        <v>9734</v>
      </c>
      <c r="F279">
        <v>72</v>
      </c>
      <c r="G279" t="s">
        <v>20</v>
      </c>
      <c r="H279" t="str">
        <f>IF(Grammys[[#This Row],[date]] &gt;= DATE(2022, 2, 1), "Grammys", "Grammys + TRA")</f>
        <v>Grammys + TRA</v>
      </c>
      <c r="I279">
        <f>_xlfn.XLOOKUP(Grammys[[#This Row],[date]], mobile_visits[date], mobile_visits[mobile_visitors], 0)</f>
        <v>0</v>
      </c>
      <c r="Q279" s="1">
        <v>44870</v>
      </c>
      <c r="R279">
        <v>16239</v>
      </c>
    </row>
    <row r="280" spans="1:18" x14ac:dyDescent="0.2">
      <c r="A280" s="1">
        <v>43014</v>
      </c>
      <c r="B280">
        <v>11225</v>
      </c>
      <c r="C280">
        <v>17398</v>
      </c>
      <c r="D280">
        <v>11956</v>
      </c>
      <c r="E280">
        <v>6328</v>
      </c>
      <c r="F280">
        <v>75</v>
      </c>
      <c r="G280" t="s">
        <v>20</v>
      </c>
      <c r="H280" t="str">
        <f>IF(Grammys[[#This Row],[date]] &gt;= DATE(2022, 2, 1), "Grammys", "Grammys + TRA")</f>
        <v>Grammys + TRA</v>
      </c>
      <c r="I280">
        <f>_xlfn.XLOOKUP(Grammys[[#This Row],[date]], mobile_visits[date], mobile_visits[mobile_visitors], 0)</f>
        <v>0</v>
      </c>
      <c r="Q280" s="1">
        <v>44871</v>
      </c>
      <c r="R280">
        <v>11938</v>
      </c>
    </row>
    <row r="281" spans="1:18" x14ac:dyDescent="0.2">
      <c r="A281" s="1">
        <v>43015</v>
      </c>
      <c r="B281">
        <v>11678</v>
      </c>
      <c r="C281">
        <v>19278</v>
      </c>
      <c r="D281">
        <v>12488</v>
      </c>
      <c r="E281">
        <v>6241</v>
      </c>
      <c r="F281">
        <v>80</v>
      </c>
      <c r="G281" t="s">
        <v>20</v>
      </c>
      <c r="H281" t="str">
        <f>IF(Grammys[[#This Row],[date]] &gt;= DATE(2022, 2, 1), "Grammys", "Grammys + TRA")</f>
        <v>Grammys + TRA</v>
      </c>
      <c r="I281">
        <f>_xlfn.XLOOKUP(Grammys[[#This Row],[date]], mobile_visits[date], mobile_visits[mobile_visitors], 0)</f>
        <v>0</v>
      </c>
      <c r="Q281" s="1">
        <v>44872</v>
      </c>
      <c r="R281">
        <v>9322</v>
      </c>
    </row>
    <row r="282" spans="1:18" x14ac:dyDescent="0.2">
      <c r="A282" s="1">
        <v>43016</v>
      </c>
      <c r="B282">
        <v>11632</v>
      </c>
      <c r="C282">
        <v>18643</v>
      </c>
      <c r="D282">
        <v>12397</v>
      </c>
      <c r="E282">
        <v>6411</v>
      </c>
      <c r="F282">
        <v>79</v>
      </c>
      <c r="G282" t="s">
        <v>20</v>
      </c>
      <c r="H282" t="str">
        <f>IF(Grammys[[#This Row],[date]] &gt;= DATE(2022, 2, 1), "Grammys", "Grammys + TRA")</f>
        <v>Grammys + TRA</v>
      </c>
      <c r="I282">
        <f>_xlfn.XLOOKUP(Grammys[[#This Row],[date]], mobile_visits[date], mobile_visits[mobile_visitors], 0)</f>
        <v>0</v>
      </c>
      <c r="Q282" s="1">
        <v>44873</v>
      </c>
      <c r="R282">
        <v>11597</v>
      </c>
    </row>
    <row r="283" spans="1:18" x14ac:dyDescent="0.2">
      <c r="A283" s="1">
        <v>43017</v>
      </c>
      <c r="B283">
        <v>11285</v>
      </c>
      <c r="C283">
        <v>17693</v>
      </c>
      <c r="D283">
        <v>11810</v>
      </c>
      <c r="E283">
        <v>6396</v>
      </c>
      <c r="F283">
        <v>84</v>
      </c>
      <c r="G283" t="s">
        <v>20</v>
      </c>
      <c r="H283" t="str">
        <f>IF(Grammys[[#This Row],[date]] &gt;= DATE(2022, 2, 1), "Grammys", "Grammys + TRA")</f>
        <v>Grammys + TRA</v>
      </c>
      <c r="I283">
        <f>_xlfn.XLOOKUP(Grammys[[#This Row],[date]], mobile_visits[date], mobile_visits[mobile_visitors], 0)</f>
        <v>0</v>
      </c>
      <c r="Q283" s="1">
        <v>44874</v>
      </c>
      <c r="R283">
        <v>12722</v>
      </c>
    </row>
    <row r="284" spans="1:18" x14ac:dyDescent="0.2">
      <c r="A284" s="1">
        <v>43018</v>
      </c>
      <c r="B284">
        <v>18833</v>
      </c>
      <c r="C284">
        <v>31075</v>
      </c>
      <c r="D284">
        <v>21732</v>
      </c>
      <c r="E284">
        <v>10210</v>
      </c>
      <c r="F284">
        <v>93</v>
      </c>
      <c r="G284" t="s">
        <v>20</v>
      </c>
      <c r="H284" t="str">
        <f>IF(Grammys[[#This Row],[date]] &gt;= DATE(2022, 2, 1), "Grammys", "Grammys + TRA")</f>
        <v>Grammys + TRA</v>
      </c>
      <c r="I284">
        <f>_xlfn.XLOOKUP(Grammys[[#This Row],[date]], mobile_visits[date], mobile_visits[mobile_visitors], 0)</f>
        <v>0</v>
      </c>
      <c r="Q284" s="1">
        <v>44875</v>
      </c>
      <c r="R284">
        <v>15013</v>
      </c>
    </row>
    <row r="285" spans="1:18" x14ac:dyDescent="0.2">
      <c r="A285" s="1">
        <v>43019</v>
      </c>
      <c r="B285">
        <v>19938</v>
      </c>
      <c r="C285">
        <v>28488</v>
      </c>
      <c r="D285">
        <v>21118</v>
      </c>
      <c r="E285">
        <v>10648</v>
      </c>
      <c r="F285">
        <v>79</v>
      </c>
      <c r="G285" t="s">
        <v>20</v>
      </c>
      <c r="H285" t="str">
        <f>IF(Grammys[[#This Row],[date]] &gt;= DATE(2022, 2, 1), "Grammys", "Grammys + TRA")</f>
        <v>Grammys + TRA</v>
      </c>
      <c r="I285">
        <f>_xlfn.XLOOKUP(Grammys[[#This Row],[date]], mobile_visits[date], mobile_visits[mobile_visitors], 0)</f>
        <v>0</v>
      </c>
      <c r="Q285" s="1">
        <v>44876</v>
      </c>
      <c r="R285">
        <v>13750</v>
      </c>
    </row>
    <row r="286" spans="1:18" x14ac:dyDescent="0.2">
      <c r="A286" s="1">
        <v>43020</v>
      </c>
      <c r="B286">
        <v>13867</v>
      </c>
      <c r="C286">
        <v>20706</v>
      </c>
      <c r="D286">
        <v>14557</v>
      </c>
      <c r="E286">
        <v>7889</v>
      </c>
      <c r="F286">
        <v>84</v>
      </c>
      <c r="G286" t="s">
        <v>20</v>
      </c>
      <c r="H286" t="str">
        <f>IF(Grammys[[#This Row],[date]] &gt;= DATE(2022, 2, 1), "Grammys", "Grammys + TRA")</f>
        <v>Grammys + TRA</v>
      </c>
      <c r="I286">
        <f>_xlfn.XLOOKUP(Grammys[[#This Row],[date]], mobile_visits[date], mobile_visits[mobile_visitors], 0)</f>
        <v>0</v>
      </c>
      <c r="Q286" s="1">
        <v>44877</v>
      </c>
      <c r="R286">
        <v>13294</v>
      </c>
    </row>
    <row r="287" spans="1:18" x14ac:dyDescent="0.2">
      <c r="A287" s="1">
        <v>43021</v>
      </c>
      <c r="B287">
        <v>10560</v>
      </c>
      <c r="C287">
        <v>17176</v>
      </c>
      <c r="D287">
        <v>11429</v>
      </c>
      <c r="E287">
        <v>6120</v>
      </c>
      <c r="F287">
        <v>89</v>
      </c>
      <c r="G287" t="s">
        <v>20</v>
      </c>
      <c r="H287" t="str">
        <f>IF(Grammys[[#This Row],[date]] &gt;= DATE(2022, 2, 1), "Grammys", "Grammys + TRA")</f>
        <v>Grammys + TRA</v>
      </c>
      <c r="I287">
        <f>_xlfn.XLOOKUP(Grammys[[#This Row],[date]], mobile_visits[date], mobile_visits[mobile_visitors], 0)</f>
        <v>0</v>
      </c>
      <c r="Q287" s="1">
        <v>44878</v>
      </c>
      <c r="R287">
        <v>12952</v>
      </c>
    </row>
    <row r="288" spans="1:18" x14ac:dyDescent="0.2">
      <c r="A288" s="1">
        <v>43022</v>
      </c>
      <c r="B288">
        <v>7963</v>
      </c>
      <c r="C288">
        <v>12832</v>
      </c>
      <c r="D288">
        <v>8544</v>
      </c>
      <c r="E288">
        <v>4772</v>
      </c>
      <c r="F288">
        <v>81</v>
      </c>
      <c r="G288" t="s">
        <v>20</v>
      </c>
      <c r="H288" t="str">
        <f>IF(Grammys[[#This Row],[date]] &gt;= DATE(2022, 2, 1), "Grammys", "Grammys + TRA")</f>
        <v>Grammys + TRA</v>
      </c>
      <c r="I288">
        <f>_xlfn.XLOOKUP(Grammys[[#This Row],[date]], mobile_visits[date], mobile_visits[mobile_visitors], 0)</f>
        <v>0</v>
      </c>
      <c r="Q288" s="1">
        <v>44879</v>
      </c>
      <c r="R288">
        <v>21007</v>
      </c>
    </row>
    <row r="289" spans="1:18" x14ac:dyDescent="0.2">
      <c r="A289" s="1">
        <v>43023</v>
      </c>
      <c r="B289">
        <v>7745</v>
      </c>
      <c r="C289">
        <v>12935</v>
      </c>
      <c r="D289">
        <v>8294</v>
      </c>
      <c r="E289">
        <v>4681</v>
      </c>
      <c r="F289">
        <v>92</v>
      </c>
      <c r="G289" t="s">
        <v>20</v>
      </c>
      <c r="H289" t="str">
        <f>IF(Grammys[[#This Row],[date]] &gt;= DATE(2022, 2, 1), "Grammys", "Grammys + TRA")</f>
        <v>Grammys + TRA</v>
      </c>
      <c r="I289">
        <f>_xlfn.XLOOKUP(Grammys[[#This Row],[date]], mobile_visits[date], mobile_visits[mobile_visitors], 0)</f>
        <v>0</v>
      </c>
      <c r="Q289" s="1">
        <v>44880</v>
      </c>
      <c r="R289">
        <v>550739</v>
      </c>
    </row>
    <row r="290" spans="1:18" x14ac:dyDescent="0.2">
      <c r="A290" s="1">
        <v>43024</v>
      </c>
      <c r="B290">
        <v>9728</v>
      </c>
      <c r="C290">
        <v>17110</v>
      </c>
      <c r="D290">
        <v>10348</v>
      </c>
      <c r="E290">
        <v>5606</v>
      </c>
      <c r="F290">
        <v>94</v>
      </c>
      <c r="G290" t="s">
        <v>20</v>
      </c>
      <c r="H290" t="str">
        <f>IF(Grammys[[#This Row],[date]] &gt;= DATE(2022, 2, 1), "Grammys", "Grammys + TRA")</f>
        <v>Grammys + TRA</v>
      </c>
      <c r="I290">
        <f>_xlfn.XLOOKUP(Grammys[[#This Row],[date]], mobile_visits[date], mobile_visits[mobile_visitors], 0)</f>
        <v>0</v>
      </c>
      <c r="Q290" s="1">
        <v>44881</v>
      </c>
      <c r="R290">
        <v>228369</v>
      </c>
    </row>
    <row r="291" spans="1:18" x14ac:dyDescent="0.2">
      <c r="A291" s="1">
        <v>43025</v>
      </c>
      <c r="B291">
        <v>14227</v>
      </c>
      <c r="C291">
        <v>23347</v>
      </c>
      <c r="D291">
        <v>15085</v>
      </c>
      <c r="E291">
        <v>7012</v>
      </c>
      <c r="F291">
        <v>96</v>
      </c>
      <c r="G291" t="s">
        <v>20</v>
      </c>
      <c r="H291" t="str">
        <f>IF(Grammys[[#This Row],[date]] &gt;= DATE(2022, 2, 1), "Grammys", "Grammys + TRA")</f>
        <v>Grammys + TRA</v>
      </c>
      <c r="I291">
        <f>_xlfn.XLOOKUP(Grammys[[#This Row],[date]], mobile_visits[date], mobile_visits[mobile_visitors], 0)</f>
        <v>0</v>
      </c>
      <c r="Q291" s="1">
        <v>44882</v>
      </c>
      <c r="R291">
        <v>147980</v>
      </c>
    </row>
    <row r="292" spans="1:18" x14ac:dyDescent="0.2">
      <c r="A292" s="1">
        <v>43026</v>
      </c>
      <c r="B292">
        <v>11958</v>
      </c>
      <c r="C292">
        <v>19512</v>
      </c>
      <c r="D292">
        <v>12498</v>
      </c>
      <c r="E292">
        <v>6267</v>
      </c>
      <c r="F292">
        <v>89</v>
      </c>
      <c r="G292" t="s">
        <v>20</v>
      </c>
      <c r="H292" t="str">
        <f>IF(Grammys[[#This Row],[date]] &gt;= DATE(2022, 2, 1), "Grammys", "Grammys + TRA")</f>
        <v>Grammys + TRA</v>
      </c>
      <c r="I292">
        <f>_xlfn.XLOOKUP(Grammys[[#This Row],[date]], mobile_visits[date], mobile_visits[mobile_visitors], 0)</f>
        <v>0</v>
      </c>
      <c r="Q292" s="1">
        <v>44883</v>
      </c>
      <c r="R292">
        <v>119867</v>
      </c>
    </row>
    <row r="293" spans="1:18" x14ac:dyDescent="0.2">
      <c r="A293" s="1">
        <v>43027</v>
      </c>
      <c r="B293">
        <v>10365</v>
      </c>
      <c r="C293">
        <v>17425</v>
      </c>
      <c r="D293">
        <v>11061</v>
      </c>
      <c r="E293">
        <v>6002</v>
      </c>
      <c r="F293">
        <v>80</v>
      </c>
      <c r="G293" t="s">
        <v>20</v>
      </c>
      <c r="H293" t="str">
        <f>IF(Grammys[[#This Row],[date]] &gt;= DATE(2022, 2, 1), "Grammys", "Grammys + TRA")</f>
        <v>Grammys + TRA</v>
      </c>
      <c r="I293">
        <f>_xlfn.XLOOKUP(Grammys[[#This Row],[date]], mobile_visits[date], mobile_visits[mobile_visitors], 0)</f>
        <v>0</v>
      </c>
      <c r="Q293" s="1">
        <v>44884</v>
      </c>
      <c r="R293">
        <v>69168</v>
      </c>
    </row>
    <row r="294" spans="1:18" x14ac:dyDescent="0.2">
      <c r="A294" s="1">
        <v>43028</v>
      </c>
      <c r="B294">
        <v>21571</v>
      </c>
      <c r="C294">
        <v>30482</v>
      </c>
      <c r="D294">
        <v>22605</v>
      </c>
      <c r="E294">
        <v>7494</v>
      </c>
      <c r="F294">
        <v>70</v>
      </c>
      <c r="G294" t="s">
        <v>20</v>
      </c>
      <c r="H294" t="str">
        <f>IF(Grammys[[#This Row],[date]] &gt;= DATE(2022, 2, 1), "Grammys", "Grammys + TRA")</f>
        <v>Grammys + TRA</v>
      </c>
      <c r="I294">
        <f>_xlfn.XLOOKUP(Grammys[[#This Row],[date]], mobile_visits[date], mobile_visits[mobile_visitors], 0)</f>
        <v>0</v>
      </c>
      <c r="Q294" s="1">
        <v>44885</v>
      </c>
      <c r="R294">
        <v>55455</v>
      </c>
    </row>
    <row r="295" spans="1:18" x14ac:dyDescent="0.2">
      <c r="A295" s="1">
        <v>43029</v>
      </c>
      <c r="B295">
        <v>15468</v>
      </c>
      <c r="C295">
        <v>25629</v>
      </c>
      <c r="D295">
        <v>16531</v>
      </c>
      <c r="E295">
        <v>3938</v>
      </c>
      <c r="F295">
        <v>78</v>
      </c>
      <c r="G295" t="s">
        <v>20</v>
      </c>
      <c r="H295" t="str">
        <f>IF(Grammys[[#This Row],[date]] &gt;= DATE(2022, 2, 1), "Grammys", "Grammys + TRA")</f>
        <v>Grammys + TRA</v>
      </c>
      <c r="I295">
        <f>_xlfn.XLOOKUP(Grammys[[#This Row],[date]], mobile_visits[date], mobile_visits[mobile_visitors], 0)</f>
        <v>0</v>
      </c>
      <c r="Q295" s="1">
        <v>44886</v>
      </c>
      <c r="R295">
        <v>40944</v>
      </c>
    </row>
    <row r="296" spans="1:18" x14ac:dyDescent="0.2">
      <c r="A296" s="1">
        <v>43030</v>
      </c>
      <c r="B296">
        <v>12146</v>
      </c>
      <c r="C296">
        <v>20556</v>
      </c>
      <c r="D296">
        <v>12851</v>
      </c>
      <c r="E296">
        <v>3808</v>
      </c>
      <c r="F296">
        <v>81</v>
      </c>
      <c r="G296" t="s">
        <v>20</v>
      </c>
      <c r="H296" t="str">
        <f>IF(Grammys[[#This Row],[date]] &gt;= DATE(2022, 2, 1), "Grammys", "Grammys + TRA")</f>
        <v>Grammys + TRA</v>
      </c>
      <c r="I296">
        <f>_xlfn.XLOOKUP(Grammys[[#This Row],[date]], mobile_visits[date], mobile_visits[mobile_visitors], 0)</f>
        <v>0</v>
      </c>
      <c r="Q296" s="1">
        <v>44887</v>
      </c>
      <c r="R296">
        <v>28165</v>
      </c>
    </row>
    <row r="297" spans="1:18" x14ac:dyDescent="0.2">
      <c r="A297" s="1">
        <v>43031</v>
      </c>
      <c r="B297">
        <v>11156</v>
      </c>
      <c r="C297">
        <v>19346</v>
      </c>
      <c r="D297">
        <v>11927</v>
      </c>
      <c r="E297">
        <v>3914</v>
      </c>
      <c r="F297">
        <v>85</v>
      </c>
      <c r="G297" t="s">
        <v>20</v>
      </c>
      <c r="H297" t="str">
        <f>IF(Grammys[[#This Row],[date]] &gt;= DATE(2022, 2, 1), "Grammys", "Grammys + TRA")</f>
        <v>Grammys + TRA</v>
      </c>
      <c r="I297">
        <f>_xlfn.XLOOKUP(Grammys[[#This Row],[date]], mobile_visits[date], mobile_visits[mobile_visitors], 0)</f>
        <v>0</v>
      </c>
      <c r="Q297" s="1">
        <v>44888</v>
      </c>
      <c r="R297">
        <v>23489</v>
      </c>
    </row>
    <row r="298" spans="1:18" x14ac:dyDescent="0.2">
      <c r="A298" s="1">
        <v>43032</v>
      </c>
      <c r="B298">
        <v>10320</v>
      </c>
      <c r="C298">
        <v>17702</v>
      </c>
      <c r="D298">
        <v>10962</v>
      </c>
      <c r="E298">
        <v>3838</v>
      </c>
      <c r="F298">
        <v>87</v>
      </c>
      <c r="G298" t="s">
        <v>20</v>
      </c>
      <c r="H298" t="str">
        <f>IF(Grammys[[#This Row],[date]] &gt;= DATE(2022, 2, 1), "Grammys", "Grammys + TRA")</f>
        <v>Grammys + TRA</v>
      </c>
      <c r="I298">
        <f>_xlfn.XLOOKUP(Grammys[[#This Row],[date]], mobile_visits[date], mobile_visits[mobile_visitors], 0)</f>
        <v>0</v>
      </c>
      <c r="Q298" s="1">
        <v>44889</v>
      </c>
      <c r="R298">
        <v>22061</v>
      </c>
    </row>
    <row r="299" spans="1:18" x14ac:dyDescent="0.2">
      <c r="A299" s="1">
        <v>43033</v>
      </c>
      <c r="B299">
        <v>11122</v>
      </c>
      <c r="C299">
        <v>19449</v>
      </c>
      <c r="D299">
        <v>11764</v>
      </c>
      <c r="E299">
        <v>3834</v>
      </c>
      <c r="F299">
        <v>83</v>
      </c>
      <c r="G299" t="s">
        <v>20</v>
      </c>
      <c r="H299" t="str">
        <f>IF(Grammys[[#This Row],[date]] &gt;= DATE(2022, 2, 1), "Grammys", "Grammys + TRA")</f>
        <v>Grammys + TRA</v>
      </c>
      <c r="I299">
        <f>_xlfn.XLOOKUP(Grammys[[#This Row],[date]], mobile_visits[date], mobile_visits[mobile_visitors], 0)</f>
        <v>0</v>
      </c>
      <c r="Q299" s="1">
        <v>44890</v>
      </c>
      <c r="R299">
        <v>18639</v>
      </c>
    </row>
    <row r="300" spans="1:18" x14ac:dyDescent="0.2">
      <c r="A300" s="1">
        <v>43034</v>
      </c>
      <c r="B300">
        <v>10887</v>
      </c>
      <c r="C300">
        <v>18188</v>
      </c>
      <c r="D300">
        <v>11510</v>
      </c>
      <c r="E300">
        <v>3494</v>
      </c>
      <c r="F300">
        <v>85</v>
      </c>
      <c r="G300" t="s">
        <v>20</v>
      </c>
      <c r="H300" t="str">
        <f>IF(Grammys[[#This Row],[date]] &gt;= DATE(2022, 2, 1), "Grammys", "Grammys + TRA")</f>
        <v>Grammys + TRA</v>
      </c>
      <c r="I300">
        <f>_xlfn.XLOOKUP(Grammys[[#This Row],[date]], mobile_visits[date], mobile_visits[mobile_visitors], 0)</f>
        <v>0</v>
      </c>
      <c r="Q300" s="1">
        <v>44891</v>
      </c>
      <c r="R300">
        <v>17591</v>
      </c>
    </row>
    <row r="301" spans="1:18" x14ac:dyDescent="0.2">
      <c r="A301" s="1">
        <v>43035</v>
      </c>
      <c r="B301">
        <v>9273</v>
      </c>
      <c r="C301">
        <v>15493</v>
      </c>
      <c r="D301">
        <v>9850</v>
      </c>
      <c r="E301">
        <v>3356</v>
      </c>
      <c r="F301">
        <v>84</v>
      </c>
      <c r="G301" t="s">
        <v>20</v>
      </c>
      <c r="H301" t="str">
        <f>IF(Grammys[[#This Row],[date]] &gt;= DATE(2022, 2, 1), "Grammys", "Grammys + TRA")</f>
        <v>Grammys + TRA</v>
      </c>
      <c r="I301">
        <f>_xlfn.XLOOKUP(Grammys[[#This Row],[date]], mobile_visits[date], mobile_visits[mobile_visitors], 0)</f>
        <v>0</v>
      </c>
      <c r="Q301" s="1">
        <v>44892</v>
      </c>
      <c r="R301">
        <v>16694</v>
      </c>
    </row>
    <row r="302" spans="1:18" x14ac:dyDescent="0.2">
      <c r="A302" s="1">
        <v>43036</v>
      </c>
      <c r="B302">
        <v>7669</v>
      </c>
      <c r="C302">
        <v>13627</v>
      </c>
      <c r="D302">
        <v>8149</v>
      </c>
      <c r="E302">
        <v>4522</v>
      </c>
      <c r="F302">
        <v>87</v>
      </c>
      <c r="G302" t="s">
        <v>20</v>
      </c>
      <c r="H302" t="str">
        <f>IF(Grammys[[#This Row],[date]] &gt;= DATE(2022, 2, 1), "Grammys", "Grammys + TRA")</f>
        <v>Grammys + TRA</v>
      </c>
      <c r="I302">
        <f>_xlfn.XLOOKUP(Grammys[[#This Row],[date]], mobile_visits[date], mobile_visits[mobile_visitors], 0)</f>
        <v>0</v>
      </c>
      <c r="Q302" s="1">
        <v>44893</v>
      </c>
      <c r="R302">
        <v>13610</v>
      </c>
    </row>
    <row r="303" spans="1:18" x14ac:dyDescent="0.2">
      <c r="A303" s="1">
        <v>43037</v>
      </c>
      <c r="B303">
        <v>8507</v>
      </c>
      <c r="C303">
        <v>15074</v>
      </c>
      <c r="D303">
        <v>9065</v>
      </c>
      <c r="E303">
        <v>5012</v>
      </c>
      <c r="F303">
        <v>91</v>
      </c>
      <c r="G303" t="s">
        <v>20</v>
      </c>
      <c r="H303" t="str">
        <f>IF(Grammys[[#This Row],[date]] &gt;= DATE(2022, 2, 1), "Grammys", "Grammys + TRA")</f>
        <v>Grammys + TRA</v>
      </c>
      <c r="I303">
        <f>_xlfn.XLOOKUP(Grammys[[#This Row],[date]], mobile_visits[date], mobile_visits[mobile_visitors], 0)</f>
        <v>0</v>
      </c>
      <c r="Q303" s="1">
        <v>44894</v>
      </c>
      <c r="R303">
        <v>12966</v>
      </c>
    </row>
    <row r="304" spans="1:18" x14ac:dyDescent="0.2">
      <c r="A304" s="1">
        <v>43038</v>
      </c>
      <c r="B304">
        <v>9801</v>
      </c>
      <c r="C304">
        <v>16841</v>
      </c>
      <c r="D304">
        <v>10331</v>
      </c>
      <c r="E304">
        <v>5687</v>
      </c>
      <c r="F304">
        <v>83</v>
      </c>
      <c r="G304" t="s">
        <v>20</v>
      </c>
      <c r="H304" t="str">
        <f>IF(Grammys[[#This Row],[date]] &gt;= DATE(2022, 2, 1), "Grammys", "Grammys + TRA")</f>
        <v>Grammys + TRA</v>
      </c>
      <c r="I304">
        <f>_xlfn.XLOOKUP(Grammys[[#This Row],[date]], mobile_visits[date], mobile_visits[mobile_visitors], 0)</f>
        <v>0</v>
      </c>
      <c r="Q304" s="1">
        <v>44895</v>
      </c>
      <c r="R304">
        <v>15082</v>
      </c>
    </row>
    <row r="305" spans="1:18" x14ac:dyDescent="0.2">
      <c r="A305" s="1">
        <v>43039</v>
      </c>
      <c r="B305">
        <v>13702</v>
      </c>
      <c r="C305">
        <v>20442</v>
      </c>
      <c r="D305">
        <v>14434</v>
      </c>
      <c r="E305">
        <v>8629</v>
      </c>
      <c r="F305">
        <v>66</v>
      </c>
      <c r="G305" t="s">
        <v>20</v>
      </c>
      <c r="H305" t="str">
        <f>IF(Grammys[[#This Row],[date]] &gt;= DATE(2022, 2, 1), "Grammys", "Grammys + TRA")</f>
        <v>Grammys + TRA</v>
      </c>
      <c r="I305">
        <f>_xlfn.XLOOKUP(Grammys[[#This Row],[date]], mobile_visits[date], mobile_visits[mobile_visitors], 0)</f>
        <v>0</v>
      </c>
      <c r="Q305" s="1">
        <v>44896</v>
      </c>
      <c r="R305">
        <v>14070</v>
      </c>
    </row>
    <row r="306" spans="1:18" x14ac:dyDescent="0.2">
      <c r="A306" s="1">
        <v>43040</v>
      </c>
      <c r="B306">
        <v>9577</v>
      </c>
      <c r="C306">
        <v>16012</v>
      </c>
      <c r="D306">
        <v>10136</v>
      </c>
      <c r="E306">
        <v>5959</v>
      </c>
      <c r="F306">
        <v>81</v>
      </c>
      <c r="G306" t="s">
        <v>20</v>
      </c>
      <c r="H306" t="str">
        <f>IF(Grammys[[#This Row],[date]] &gt;= DATE(2022, 2, 1), "Grammys", "Grammys + TRA")</f>
        <v>Grammys + TRA</v>
      </c>
      <c r="I306">
        <f>_xlfn.XLOOKUP(Grammys[[#This Row],[date]], mobile_visits[date], mobile_visits[mobile_visitors], 0)</f>
        <v>0</v>
      </c>
      <c r="Q306" s="1">
        <v>44897</v>
      </c>
      <c r="R306">
        <v>16404</v>
      </c>
    </row>
    <row r="307" spans="1:18" x14ac:dyDescent="0.2">
      <c r="A307" s="1">
        <v>43041</v>
      </c>
      <c r="B307">
        <v>9264</v>
      </c>
      <c r="C307">
        <v>15316</v>
      </c>
      <c r="D307">
        <v>9775</v>
      </c>
      <c r="E307">
        <v>5620</v>
      </c>
      <c r="F307">
        <v>86</v>
      </c>
      <c r="G307" t="s">
        <v>20</v>
      </c>
      <c r="H307" t="str">
        <f>IF(Grammys[[#This Row],[date]] &gt;= DATE(2022, 2, 1), "Grammys", "Grammys + TRA")</f>
        <v>Grammys + TRA</v>
      </c>
      <c r="I307">
        <f>_xlfn.XLOOKUP(Grammys[[#This Row],[date]], mobile_visits[date], mobile_visits[mobile_visitors], 0)</f>
        <v>0</v>
      </c>
      <c r="Q307" s="1">
        <v>44898</v>
      </c>
      <c r="R307">
        <v>15255</v>
      </c>
    </row>
    <row r="308" spans="1:18" x14ac:dyDescent="0.2">
      <c r="A308" s="1">
        <v>43042</v>
      </c>
      <c r="B308">
        <v>14951</v>
      </c>
      <c r="C308">
        <v>21692</v>
      </c>
      <c r="D308">
        <v>15654</v>
      </c>
      <c r="E308">
        <v>8720</v>
      </c>
      <c r="F308">
        <v>76</v>
      </c>
      <c r="G308" t="s">
        <v>20</v>
      </c>
      <c r="H308" t="str">
        <f>IF(Grammys[[#This Row],[date]] &gt;= DATE(2022, 2, 1), "Grammys", "Grammys + TRA")</f>
        <v>Grammys + TRA</v>
      </c>
      <c r="I308">
        <f>_xlfn.XLOOKUP(Grammys[[#This Row],[date]], mobile_visits[date], mobile_visits[mobile_visitors], 0)</f>
        <v>0</v>
      </c>
      <c r="Q308" s="1">
        <v>44899</v>
      </c>
      <c r="R308">
        <v>14872</v>
      </c>
    </row>
    <row r="309" spans="1:18" x14ac:dyDescent="0.2">
      <c r="A309" s="1">
        <v>43043</v>
      </c>
      <c r="B309">
        <v>8603</v>
      </c>
      <c r="C309">
        <v>13874</v>
      </c>
      <c r="D309">
        <v>9067</v>
      </c>
      <c r="E309">
        <v>5077</v>
      </c>
      <c r="F309">
        <v>79</v>
      </c>
      <c r="G309" t="s">
        <v>20</v>
      </c>
      <c r="H309" t="str">
        <f>IF(Grammys[[#This Row],[date]] &gt;= DATE(2022, 2, 1), "Grammys", "Grammys + TRA")</f>
        <v>Grammys + TRA</v>
      </c>
      <c r="I309">
        <f>_xlfn.XLOOKUP(Grammys[[#This Row],[date]], mobile_visits[date], mobile_visits[mobile_visitors], 0)</f>
        <v>0</v>
      </c>
      <c r="Q309" s="1">
        <v>44900</v>
      </c>
      <c r="R309">
        <v>15098</v>
      </c>
    </row>
    <row r="310" spans="1:18" x14ac:dyDescent="0.2">
      <c r="A310" s="1">
        <v>43044</v>
      </c>
      <c r="B310">
        <v>10050</v>
      </c>
      <c r="C310">
        <v>16605</v>
      </c>
      <c r="D310">
        <v>10761</v>
      </c>
      <c r="E310">
        <v>5763</v>
      </c>
      <c r="F310">
        <v>89</v>
      </c>
      <c r="G310" t="s">
        <v>20</v>
      </c>
      <c r="H310" t="str">
        <f>IF(Grammys[[#This Row],[date]] &gt;= DATE(2022, 2, 1), "Grammys", "Grammys + TRA")</f>
        <v>Grammys + TRA</v>
      </c>
      <c r="I310">
        <f>_xlfn.XLOOKUP(Grammys[[#This Row],[date]], mobile_visits[date], mobile_visits[mobile_visitors], 0)</f>
        <v>0</v>
      </c>
      <c r="Q310" s="1">
        <v>44901</v>
      </c>
      <c r="R310">
        <v>14280</v>
      </c>
    </row>
    <row r="311" spans="1:18" x14ac:dyDescent="0.2">
      <c r="A311" s="1">
        <v>43045</v>
      </c>
      <c r="B311">
        <v>9826</v>
      </c>
      <c r="C311">
        <v>16315</v>
      </c>
      <c r="D311">
        <v>10258</v>
      </c>
      <c r="E311">
        <v>5856</v>
      </c>
      <c r="F311">
        <v>83</v>
      </c>
      <c r="G311" t="s">
        <v>20</v>
      </c>
      <c r="H311" t="str">
        <f>IF(Grammys[[#This Row],[date]] &gt;= DATE(2022, 2, 1), "Grammys", "Grammys + TRA")</f>
        <v>Grammys + TRA</v>
      </c>
      <c r="I311">
        <f>_xlfn.XLOOKUP(Grammys[[#This Row],[date]], mobile_visits[date], mobile_visits[mobile_visitors], 0)</f>
        <v>0</v>
      </c>
      <c r="Q311" s="1">
        <v>44902</v>
      </c>
      <c r="R311">
        <v>12162</v>
      </c>
    </row>
    <row r="312" spans="1:18" x14ac:dyDescent="0.2">
      <c r="A312" s="1">
        <v>43046</v>
      </c>
      <c r="B312">
        <v>9852</v>
      </c>
      <c r="C312">
        <v>17199</v>
      </c>
      <c r="D312">
        <v>10464</v>
      </c>
      <c r="E312">
        <v>5877</v>
      </c>
      <c r="F312">
        <v>99</v>
      </c>
      <c r="G312" t="s">
        <v>20</v>
      </c>
      <c r="H312" t="str">
        <f>IF(Grammys[[#This Row],[date]] &gt;= DATE(2022, 2, 1), "Grammys", "Grammys + TRA")</f>
        <v>Grammys + TRA</v>
      </c>
      <c r="I312">
        <f>_xlfn.XLOOKUP(Grammys[[#This Row],[date]], mobile_visits[date], mobile_visits[mobile_visitors], 0)</f>
        <v>0</v>
      </c>
      <c r="Q312" s="1">
        <v>44903</v>
      </c>
      <c r="R312">
        <v>13295</v>
      </c>
    </row>
    <row r="313" spans="1:18" x14ac:dyDescent="0.2">
      <c r="A313" s="1">
        <v>43047</v>
      </c>
      <c r="B313">
        <v>11223</v>
      </c>
      <c r="C313">
        <v>18215</v>
      </c>
      <c r="D313">
        <v>11982</v>
      </c>
      <c r="E313">
        <v>6788</v>
      </c>
      <c r="F313">
        <v>78</v>
      </c>
      <c r="G313" t="s">
        <v>20</v>
      </c>
      <c r="H313" t="str">
        <f>IF(Grammys[[#This Row],[date]] &gt;= DATE(2022, 2, 1), "Grammys", "Grammys + TRA")</f>
        <v>Grammys + TRA</v>
      </c>
      <c r="I313">
        <f>_xlfn.XLOOKUP(Grammys[[#This Row],[date]], mobile_visits[date], mobile_visits[mobile_visitors], 0)</f>
        <v>0</v>
      </c>
      <c r="Q313" s="1">
        <v>44904</v>
      </c>
      <c r="R313">
        <v>13171</v>
      </c>
    </row>
    <row r="314" spans="1:18" x14ac:dyDescent="0.2">
      <c r="A314" s="1">
        <v>43048</v>
      </c>
      <c r="B314">
        <v>10185</v>
      </c>
      <c r="C314">
        <v>16576</v>
      </c>
      <c r="D314">
        <v>10741</v>
      </c>
      <c r="E314">
        <v>6183</v>
      </c>
      <c r="F314">
        <v>81</v>
      </c>
      <c r="G314" t="s">
        <v>20</v>
      </c>
      <c r="H314" t="str">
        <f>IF(Grammys[[#This Row],[date]] &gt;= DATE(2022, 2, 1), "Grammys", "Grammys + TRA")</f>
        <v>Grammys + TRA</v>
      </c>
      <c r="I314">
        <f>_xlfn.XLOOKUP(Grammys[[#This Row],[date]], mobile_visits[date], mobile_visits[mobile_visitors], 0)</f>
        <v>0</v>
      </c>
      <c r="Q314" s="1">
        <v>44905</v>
      </c>
      <c r="R314">
        <v>13681</v>
      </c>
    </row>
    <row r="315" spans="1:18" x14ac:dyDescent="0.2">
      <c r="A315" s="1">
        <v>43049</v>
      </c>
      <c r="B315">
        <v>20194</v>
      </c>
      <c r="C315">
        <v>53728</v>
      </c>
      <c r="D315">
        <v>25540</v>
      </c>
      <c r="E315">
        <v>13039</v>
      </c>
      <c r="F315">
        <v>125</v>
      </c>
      <c r="G315" t="s">
        <v>20</v>
      </c>
      <c r="H315" t="str">
        <f>IF(Grammys[[#This Row],[date]] &gt;= DATE(2022, 2, 1), "Grammys", "Grammys + TRA")</f>
        <v>Grammys + TRA</v>
      </c>
      <c r="I315">
        <f>_xlfn.XLOOKUP(Grammys[[#This Row],[date]], mobile_visits[date], mobile_visits[mobile_visitors], 0)</f>
        <v>0</v>
      </c>
      <c r="Q315" s="1">
        <v>44906</v>
      </c>
      <c r="R315">
        <v>12380</v>
      </c>
    </row>
    <row r="316" spans="1:18" x14ac:dyDescent="0.2">
      <c r="A316" s="1">
        <v>43050</v>
      </c>
      <c r="B316">
        <v>15318</v>
      </c>
      <c r="C316">
        <v>30605</v>
      </c>
      <c r="D316">
        <v>17480</v>
      </c>
      <c r="E316">
        <v>9772</v>
      </c>
      <c r="F316">
        <v>86</v>
      </c>
      <c r="G316" t="s">
        <v>20</v>
      </c>
      <c r="H316" t="str">
        <f>IF(Grammys[[#This Row],[date]] &gt;= DATE(2022, 2, 1), "Grammys", "Grammys + TRA")</f>
        <v>Grammys + TRA</v>
      </c>
      <c r="I316">
        <f>_xlfn.XLOOKUP(Grammys[[#This Row],[date]], mobile_visits[date], mobile_visits[mobile_visitors], 0)</f>
        <v>0</v>
      </c>
      <c r="Q316" s="1">
        <v>44907</v>
      </c>
      <c r="R316">
        <v>12124</v>
      </c>
    </row>
    <row r="317" spans="1:18" x14ac:dyDescent="0.2">
      <c r="A317" s="1">
        <v>43051</v>
      </c>
      <c r="B317">
        <v>11899</v>
      </c>
      <c r="C317">
        <v>21547</v>
      </c>
      <c r="D317">
        <v>12730</v>
      </c>
      <c r="E317">
        <v>6927</v>
      </c>
      <c r="F317">
        <v>89</v>
      </c>
      <c r="G317" t="s">
        <v>20</v>
      </c>
      <c r="H317" t="str">
        <f>IF(Grammys[[#This Row],[date]] &gt;= DATE(2022, 2, 1), "Grammys", "Grammys + TRA")</f>
        <v>Grammys + TRA</v>
      </c>
      <c r="I317">
        <f>_xlfn.XLOOKUP(Grammys[[#This Row],[date]], mobile_visits[date], mobile_visits[mobile_visitors], 0)</f>
        <v>0</v>
      </c>
      <c r="Q317" s="1">
        <v>44908</v>
      </c>
      <c r="R317">
        <v>11919</v>
      </c>
    </row>
    <row r="318" spans="1:18" x14ac:dyDescent="0.2">
      <c r="A318" s="1">
        <v>43052</v>
      </c>
      <c r="B318">
        <v>12323</v>
      </c>
      <c r="C318">
        <v>20598</v>
      </c>
      <c r="D318">
        <v>12971</v>
      </c>
      <c r="E318">
        <v>7145</v>
      </c>
      <c r="F318">
        <v>86</v>
      </c>
      <c r="G318" t="s">
        <v>20</v>
      </c>
      <c r="H318" t="str">
        <f>IF(Grammys[[#This Row],[date]] &gt;= DATE(2022, 2, 1), "Grammys", "Grammys + TRA")</f>
        <v>Grammys + TRA</v>
      </c>
      <c r="I318">
        <f>_xlfn.XLOOKUP(Grammys[[#This Row],[date]], mobile_visits[date], mobile_visits[mobile_visitors], 0)</f>
        <v>0</v>
      </c>
      <c r="Q318" s="1">
        <v>44909</v>
      </c>
      <c r="R318">
        <v>13610</v>
      </c>
    </row>
    <row r="319" spans="1:18" x14ac:dyDescent="0.2">
      <c r="A319" s="1">
        <v>43053</v>
      </c>
      <c r="B319">
        <v>14072</v>
      </c>
      <c r="C319">
        <v>22197</v>
      </c>
      <c r="D319">
        <v>14916</v>
      </c>
      <c r="E319">
        <v>8339</v>
      </c>
      <c r="F319">
        <v>74</v>
      </c>
      <c r="G319" t="s">
        <v>20</v>
      </c>
      <c r="H319" t="str">
        <f>IF(Grammys[[#This Row],[date]] &gt;= DATE(2022, 2, 1), "Grammys", "Grammys + TRA")</f>
        <v>Grammys + TRA</v>
      </c>
      <c r="I319">
        <f>_xlfn.XLOOKUP(Grammys[[#This Row],[date]], mobile_visits[date], mobile_visits[mobile_visitors], 0)</f>
        <v>0</v>
      </c>
      <c r="Q319" s="1">
        <v>44910</v>
      </c>
      <c r="R319">
        <v>12841</v>
      </c>
    </row>
    <row r="320" spans="1:18" x14ac:dyDescent="0.2">
      <c r="A320" s="1">
        <v>43054</v>
      </c>
      <c r="B320">
        <v>23359</v>
      </c>
      <c r="C320">
        <v>33055</v>
      </c>
      <c r="D320">
        <v>24581</v>
      </c>
      <c r="E320">
        <v>13237</v>
      </c>
      <c r="F320">
        <v>64</v>
      </c>
      <c r="G320" t="s">
        <v>20</v>
      </c>
      <c r="H320" t="str">
        <f>IF(Grammys[[#This Row],[date]] &gt;= DATE(2022, 2, 1), "Grammys", "Grammys + TRA")</f>
        <v>Grammys + TRA</v>
      </c>
      <c r="I320">
        <f>_xlfn.XLOOKUP(Grammys[[#This Row],[date]], mobile_visits[date], mobile_visits[mobile_visitors], 0)</f>
        <v>0</v>
      </c>
      <c r="Q320" s="1">
        <v>44911</v>
      </c>
      <c r="R320">
        <v>12311</v>
      </c>
    </row>
    <row r="321" spans="1:18" x14ac:dyDescent="0.2">
      <c r="A321" s="1">
        <v>43055</v>
      </c>
      <c r="B321">
        <v>28059</v>
      </c>
      <c r="C321">
        <v>41746</v>
      </c>
      <c r="D321">
        <v>29447</v>
      </c>
      <c r="E321">
        <v>15145</v>
      </c>
      <c r="F321">
        <v>78</v>
      </c>
      <c r="G321" t="s">
        <v>20</v>
      </c>
      <c r="H321" t="str">
        <f>IF(Grammys[[#This Row],[date]] &gt;= DATE(2022, 2, 1), "Grammys", "Grammys + TRA")</f>
        <v>Grammys + TRA</v>
      </c>
      <c r="I321">
        <f>_xlfn.XLOOKUP(Grammys[[#This Row],[date]], mobile_visits[date], mobile_visits[mobile_visitors], 0)</f>
        <v>0</v>
      </c>
      <c r="Q321" s="1">
        <v>44912</v>
      </c>
      <c r="R321">
        <v>12843</v>
      </c>
    </row>
    <row r="322" spans="1:18" x14ac:dyDescent="0.2">
      <c r="A322" s="1">
        <v>43056</v>
      </c>
      <c r="B322">
        <v>19892</v>
      </c>
      <c r="C322">
        <v>31248</v>
      </c>
      <c r="D322">
        <v>21184</v>
      </c>
      <c r="E322">
        <v>11190</v>
      </c>
      <c r="F322">
        <v>80</v>
      </c>
      <c r="G322" t="s">
        <v>20</v>
      </c>
      <c r="H322" t="str">
        <f>IF(Grammys[[#This Row],[date]] &gt;= DATE(2022, 2, 1), "Grammys", "Grammys + TRA")</f>
        <v>Grammys + TRA</v>
      </c>
      <c r="I322">
        <f>_xlfn.XLOOKUP(Grammys[[#This Row],[date]], mobile_visits[date], mobile_visits[mobile_visitors], 0)</f>
        <v>0</v>
      </c>
      <c r="Q322" s="1">
        <v>44913</v>
      </c>
      <c r="R322">
        <v>12762</v>
      </c>
    </row>
    <row r="323" spans="1:18" x14ac:dyDescent="0.2">
      <c r="A323" s="1">
        <v>43057</v>
      </c>
      <c r="B323">
        <v>12230</v>
      </c>
      <c r="C323">
        <v>19518</v>
      </c>
      <c r="D323">
        <v>12918</v>
      </c>
      <c r="E323">
        <v>7134</v>
      </c>
      <c r="F323">
        <v>78</v>
      </c>
      <c r="G323" t="s">
        <v>20</v>
      </c>
      <c r="H323" t="str">
        <f>IF(Grammys[[#This Row],[date]] &gt;= DATE(2022, 2, 1), "Grammys", "Grammys + TRA")</f>
        <v>Grammys + TRA</v>
      </c>
      <c r="I323">
        <f>_xlfn.XLOOKUP(Grammys[[#This Row],[date]], mobile_visits[date], mobile_visits[mobile_visitors], 0)</f>
        <v>0</v>
      </c>
      <c r="Q323" s="1">
        <v>44914</v>
      </c>
      <c r="R323">
        <v>11460</v>
      </c>
    </row>
    <row r="324" spans="1:18" x14ac:dyDescent="0.2">
      <c r="A324" s="1">
        <v>43058</v>
      </c>
      <c r="B324">
        <v>14662</v>
      </c>
      <c r="C324">
        <v>24267</v>
      </c>
      <c r="D324">
        <v>15558</v>
      </c>
      <c r="E324">
        <v>8783</v>
      </c>
      <c r="F324">
        <v>80</v>
      </c>
      <c r="G324" t="s">
        <v>20</v>
      </c>
      <c r="H324" t="str">
        <f>IF(Grammys[[#This Row],[date]] &gt;= DATE(2022, 2, 1), "Grammys", "Grammys + TRA")</f>
        <v>Grammys + TRA</v>
      </c>
      <c r="I324">
        <f>_xlfn.XLOOKUP(Grammys[[#This Row],[date]], mobile_visits[date], mobile_visits[mobile_visitors], 0)</f>
        <v>0</v>
      </c>
      <c r="Q324" s="1">
        <v>44915</v>
      </c>
      <c r="R324">
        <v>12291</v>
      </c>
    </row>
    <row r="325" spans="1:18" x14ac:dyDescent="0.2">
      <c r="A325" s="1">
        <v>43059</v>
      </c>
      <c r="B325">
        <v>14931</v>
      </c>
      <c r="C325">
        <v>25053</v>
      </c>
      <c r="D325">
        <v>15967</v>
      </c>
      <c r="E325">
        <v>9094</v>
      </c>
      <c r="F325">
        <v>79</v>
      </c>
      <c r="G325" t="s">
        <v>20</v>
      </c>
      <c r="H325" t="str">
        <f>IF(Grammys[[#This Row],[date]] &gt;= DATE(2022, 2, 1), "Grammys", "Grammys + TRA")</f>
        <v>Grammys + TRA</v>
      </c>
      <c r="I325">
        <f>_xlfn.XLOOKUP(Grammys[[#This Row],[date]], mobile_visits[date], mobile_visits[mobile_visitors], 0)</f>
        <v>0</v>
      </c>
      <c r="Q325" s="1">
        <v>44916</v>
      </c>
      <c r="R325">
        <v>25316</v>
      </c>
    </row>
    <row r="326" spans="1:18" x14ac:dyDescent="0.2">
      <c r="A326" s="1">
        <v>43060</v>
      </c>
      <c r="B326">
        <v>12791</v>
      </c>
      <c r="C326">
        <v>21783</v>
      </c>
      <c r="D326">
        <v>13754</v>
      </c>
      <c r="E326">
        <v>7734</v>
      </c>
      <c r="F326">
        <v>82</v>
      </c>
      <c r="G326" t="s">
        <v>20</v>
      </c>
      <c r="H326" t="str">
        <f>IF(Grammys[[#This Row],[date]] &gt;= DATE(2022, 2, 1), "Grammys", "Grammys + TRA")</f>
        <v>Grammys + TRA</v>
      </c>
      <c r="I326">
        <f>_xlfn.XLOOKUP(Grammys[[#This Row],[date]], mobile_visits[date], mobile_visits[mobile_visitors], 0)</f>
        <v>0</v>
      </c>
      <c r="Q326" s="1">
        <v>44917</v>
      </c>
      <c r="R326">
        <v>19208</v>
      </c>
    </row>
    <row r="327" spans="1:18" x14ac:dyDescent="0.2">
      <c r="A327" s="1">
        <v>43061</v>
      </c>
      <c r="B327">
        <v>12236</v>
      </c>
      <c r="C327">
        <v>20360</v>
      </c>
      <c r="D327">
        <v>13002</v>
      </c>
      <c r="E327">
        <v>7301</v>
      </c>
      <c r="F327">
        <v>79</v>
      </c>
      <c r="G327" t="s">
        <v>20</v>
      </c>
      <c r="H327" t="str">
        <f>IF(Grammys[[#This Row],[date]] &gt;= DATE(2022, 2, 1), "Grammys", "Grammys + TRA")</f>
        <v>Grammys + TRA</v>
      </c>
      <c r="I327">
        <f>_xlfn.XLOOKUP(Grammys[[#This Row],[date]], mobile_visits[date], mobile_visits[mobile_visitors], 0)</f>
        <v>0</v>
      </c>
      <c r="Q327" s="1">
        <v>44918</v>
      </c>
      <c r="R327">
        <v>15919</v>
      </c>
    </row>
    <row r="328" spans="1:18" x14ac:dyDescent="0.2">
      <c r="A328" s="1">
        <v>43062</v>
      </c>
      <c r="B328">
        <v>10864</v>
      </c>
      <c r="C328">
        <v>18114</v>
      </c>
      <c r="D328">
        <v>11592</v>
      </c>
      <c r="E328">
        <v>6672</v>
      </c>
      <c r="F328">
        <v>77</v>
      </c>
      <c r="G328" t="s">
        <v>20</v>
      </c>
      <c r="H328" t="str">
        <f>IF(Grammys[[#This Row],[date]] &gt;= DATE(2022, 2, 1), "Grammys", "Grammys + TRA")</f>
        <v>Grammys + TRA</v>
      </c>
      <c r="I328">
        <f>_xlfn.XLOOKUP(Grammys[[#This Row],[date]], mobile_visits[date], mobile_visits[mobile_visitors], 0)</f>
        <v>0</v>
      </c>
      <c r="Q328" s="1">
        <v>44919</v>
      </c>
      <c r="R328">
        <v>13140</v>
      </c>
    </row>
    <row r="329" spans="1:18" x14ac:dyDescent="0.2">
      <c r="A329" s="1">
        <v>43063</v>
      </c>
      <c r="B329">
        <v>23292</v>
      </c>
      <c r="C329">
        <v>40067</v>
      </c>
      <c r="D329">
        <v>24849</v>
      </c>
      <c r="E329">
        <v>13981</v>
      </c>
      <c r="F329">
        <v>87</v>
      </c>
      <c r="G329" t="s">
        <v>20</v>
      </c>
      <c r="H329" t="str">
        <f>IF(Grammys[[#This Row],[date]] &gt;= DATE(2022, 2, 1), "Grammys", "Grammys + TRA")</f>
        <v>Grammys + TRA</v>
      </c>
      <c r="I329">
        <f>_xlfn.XLOOKUP(Grammys[[#This Row],[date]], mobile_visits[date], mobile_visits[mobile_visitors], 0)</f>
        <v>0</v>
      </c>
      <c r="Q329" s="1">
        <v>44920</v>
      </c>
      <c r="R329">
        <v>12408</v>
      </c>
    </row>
    <row r="330" spans="1:18" x14ac:dyDescent="0.2">
      <c r="A330" s="1">
        <v>43064</v>
      </c>
      <c r="B330">
        <v>18064</v>
      </c>
      <c r="C330">
        <v>31300</v>
      </c>
      <c r="D330">
        <v>19562</v>
      </c>
      <c r="E330">
        <v>11352</v>
      </c>
      <c r="F330">
        <v>81</v>
      </c>
      <c r="G330" t="s">
        <v>20</v>
      </c>
      <c r="H330" t="str">
        <f>IF(Grammys[[#This Row],[date]] &gt;= DATE(2022, 2, 1), "Grammys", "Grammys + TRA")</f>
        <v>Grammys + TRA</v>
      </c>
      <c r="I330">
        <f>_xlfn.XLOOKUP(Grammys[[#This Row],[date]], mobile_visits[date], mobile_visits[mobile_visitors], 0)</f>
        <v>0</v>
      </c>
      <c r="Q330" s="1">
        <v>44921</v>
      </c>
      <c r="R330">
        <v>12416</v>
      </c>
    </row>
    <row r="331" spans="1:18" x14ac:dyDescent="0.2">
      <c r="A331" s="1">
        <v>43065</v>
      </c>
      <c r="B331">
        <v>18299</v>
      </c>
      <c r="C331">
        <v>31854</v>
      </c>
      <c r="D331">
        <v>19972</v>
      </c>
      <c r="E331">
        <v>11526</v>
      </c>
      <c r="F331">
        <v>80</v>
      </c>
      <c r="G331" t="s">
        <v>20</v>
      </c>
      <c r="H331" t="str">
        <f>IF(Grammys[[#This Row],[date]] &gt;= DATE(2022, 2, 1), "Grammys", "Grammys + TRA")</f>
        <v>Grammys + TRA</v>
      </c>
      <c r="I331">
        <f>_xlfn.XLOOKUP(Grammys[[#This Row],[date]], mobile_visits[date], mobile_visits[mobile_visitors], 0)</f>
        <v>0</v>
      </c>
      <c r="Q331" s="1">
        <v>44922</v>
      </c>
      <c r="R331">
        <v>12283</v>
      </c>
    </row>
    <row r="332" spans="1:18" x14ac:dyDescent="0.2">
      <c r="A332" s="1">
        <v>43066</v>
      </c>
      <c r="B332">
        <v>33554</v>
      </c>
      <c r="C332">
        <v>59979</v>
      </c>
      <c r="D332">
        <v>37230</v>
      </c>
      <c r="E332">
        <v>21251</v>
      </c>
      <c r="F332">
        <v>82</v>
      </c>
      <c r="G332" t="s">
        <v>20</v>
      </c>
      <c r="H332" t="str">
        <f>IF(Grammys[[#This Row],[date]] &gt;= DATE(2022, 2, 1), "Grammys", "Grammys + TRA")</f>
        <v>Grammys + TRA</v>
      </c>
      <c r="I332">
        <f>_xlfn.XLOOKUP(Grammys[[#This Row],[date]], mobile_visits[date], mobile_visits[mobile_visitors], 0)</f>
        <v>0</v>
      </c>
      <c r="Q332" s="1">
        <v>44923</v>
      </c>
      <c r="R332">
        <v>15716</v>
      </c>
    </row>
    <row r="333" spans="1:18" x14ac:dyDescent="0.2">
      <c r="A333" s="1">
        <v>43067</v>
      </c>
      <c r="B333">
        <v>651685</v>
      </c>
      <c r="C333">
        <v>1356165</v>
      </c>
      <c r="D333">
        <v>736434</v>
      </c>
      <c r="E333">
        <v>393993</v>
      </c>
      <c r="F333">
        <v>103</v>
      </c>
      <c r="G333" t="s">
        <v>21</v>
      </c>
      <c r="H333" t="str">
        <f>IF(Grammys[[#This Row],[date]] &gt;= DATE(2022, 2, 1), "Grammys", "Grammys + TRA")</f>
        <v>Grammys + TRA</v>
      </c>
      <c r="I333">
        <f>_xlfn.XLOOKUP(Grammys[[#This Row],[date]], mobile_visits[date], mobile_visits[mobile_visitors], 0)</f>
        <v>0</v>
      </c>
      <c r="Q333" s="1">
        <v>44924</v>
      </c>
      <c r="R333">
        <v>15168</v>
      </c>
    </row>
    <row r="334" spans="1:18" x14ac:dyDescent="0.2">
      <c r="A334" s="1">
        <v>43068</v>
      </c>
      <c r="B334">
        <v>151892</v>
      </c>
      <c r="C334">
        <v>291230</v>
      </c>
      <c r="D334">
        <v>166307</v>
      </c>
      <c r="E334">
        <v>77766</v>
      </c>
      <c r="F334">
        <v>94</v>
      </c>
      <c r="G334" t="s">
        <v>20</v>
      </c>
      <c r="H334" t="str">
        <f>IF(Grammys[[#This Row],[date]] &gt;= DATE(2022, 2, 1), "Grammys", "Grammys + TRA")</f>
        <v>Grammys + TRA</v>
      </c>
      <c r="I334">
        <f>_xlfn.XLOOKUP(Grammys[[#This Row],[date]], mobile_visits[date], mobile_visits[mobile_visitors], 0)</f>
        <v>0</v>
      </c>
      <c r="Q334" s="1">
        <v>44925</v>
      </c>
      <c r="R334">
        <v>14673</v>
      </c>
    </row>
    <row r="335" spans="1:18" x14ac:dyDescent="0.2">
      <c r="A335" s="1">
        <v>43069</v>
      </c>
      <c r="B335">
        <v>69378</v>
      </c>
      <c r="C335">
        <v>130091</v>
      </c>
      <c r="D335">
        <v>75856</v>
      </c>
      <c r="E335">
        <v>35152</v>
      </c>
      <c r="F335">
        <v>95</v>
      </c>
      <c r="G335" t="s">
        <v>20</v>
      </c>
      <c r="H335" t="str">
        <f>IF(Grammys[[#This Row],[date]] &gt;= DATE(2022, 2, 1), "Grammys", "Grammys + TRA")</f>
        <v>Grammys + TRA</v>
      </c>
      <c r="I335">
        <f>_xlfn.XLOOKUP(Grammys[[#This Row],[date]], mobile_visits[date], mobile_visits[mobile_visitors], 0)</f>
        <v>0</v>
      </c>
      <c r="Q335" s="1">
        <v>44926</v>
      </c>
      <c r="R335">
        <v>22344</v>
      </c>
    </row>
    <row r="336" spans="1:18" x14ac:dyDescent="0.2">
      <c r="A336" s="1">
        <v>43070</v>
      </c>
      <c r="B336">
        <v>43886</v>
      </c>
      <c r="C336">
        <v>81894</v>
      </c>
      <c r="D336">
        <v>47014</v>
      </c>
      <c r="E336">
        <v>23037</v>
      </c>
      <c r="F336">
        <v>92</v>
      </c>
      <c r="G336" t="s">
        <v>20</v>
      </c>
      <c r="H336" t="str">
        <f>IF(Grammys[[#This Row],[date]] &gt;= DATE(2022, 2, 1), "Grammys", "Grammys + TRA")</f>
        <v>Grammys + TRA</v>
      </c>
      <c r="I336">
        <f>_xlfn.XLOOKUP(Grammys[[#This Row],[date]], mobile_visits[date], mobile_visits[mobile_visitors], 0)</f>
        <v>0</v>
      </c>
      <c r="Q336" s="1">
        <v>44927</v>
      </c>
      <c r="R336">
        <v>18542</v>
      </c>
    </row>
    <row r="337" spans="1:18" x14ac:dyDescent="0.2">
      <c r="A337" s="1">
        <v>43071</v>
      </c>
      <c r="B337">
        <v>33267</v>
      </c>
      <c r="C337">
        <v>64605</v>
      </c>
      <c r="D337">
        <v>36312</v>
      </c>
      <c r="E337">
        <v>17419</v>
      </c>
      <c r="F337">
        <v>94</v>
      </c>
      <c r="G337" t="s">
        <v>20</v>
      </c>
      <c r="H337" t="str">
        <f>IF(Grammys[[#This Row],[date]] &gt;= DATE(2022, 2, 1), "Grammys", "Grammys + TRA")</f>
        <v>Grammys + TRA</v>
      </c>
      <c r="I337">
        <f>_xlfn.XLOOKUP(Grammys[[#This Row],[date]], mobile_visits[date], mobile_visits[mobile_visitors], 0)</f>
        <v>0</v>
      </c>
      <c r="Q337" s="1">
        <v>44928</v>
      </c>
      <c r="R337">
        <v>16567</v>
      </c>
    </row>
    <row r="338" spans="1:18" x14ac:dyDescent="0.2">
      <c r="A338" s="1">
        <v>43072</v>
      </c>
      <c r="B338">
        <v>30193</v>
      </c>
      <c r="C338">
        <v>57946</v>
      </c>
      <c r="D338">
        <v>32674</v>
      </c>
      <c r="E338">
        <v>15599</v>
      </c>
      <c r="F338">
        <v>97</v>
      </c>
      <c r="G338" t="s">
        <v>20</v>
      </c>
      <c r="H338" t="str">
        <f>IF(Grammys[[#This Row],[date]] &gt;= DATE(2022, 2, 1), "Grammys", "Grammys + TRA")</f>
        <v>Grammys + TRA</v>
      </c>
      <c r="I338">
        <f>_xlfn.XLOOKUP(Grammys[[#This Row],[date]], mobile_visits[date], mobile_visits[mobile_visitors], 0)</f>
        <v>0</v>
      </c>
      <c r="Q338" s="1">
        <v>44929</v>
      </c>
      <c r="R338">
        <v>16684</v>
      </c>
    </row>
    <row r="339" spans="1:18" x14ac:dyDescent="0.2">
      <c r="A339" s="1">
        <v>43073</v>
      </c>
      <c r="B339">
        <v>32442</v>
      </c>
      <c r="C339">
        <v>57595</v>
      </c>
      <c r="D339">
        <v>34667</v>
      </c>
      <c r="E339">
        <v>16284</v>
      </c>
      <c r="F339">
        <v>95</v>
      </c>
      <c r="G339" t="s">
        <v>20</v>
      </c>
      <c r="H339" t="str">
        <f>IF(Grammys[[#This Row],[date]] &gt;= DATE(2022, 2, 1), "Grammys", "Grammys + TRA")</f>
        <v>Grammys + TRA</v>
      </c>
      <c r="I339">
        <f>_xlfn.XLOOKUP(Grammys[[#This Row],[date]], mobile_visits[date], mobile_visits[mobile_visitors], 0)</f>
        <v>0</v>
      </c>
      <c r="Q339" s="1">
        <v>44930</v>
      </c>
      <c r="R339">
        <v>19448</v>
      </c>
    </row>
    <row r="340" spans="1:18" x14ac:dyDescent="0.2">
      <c r="A340" s="1">
        <v>43074</v>
      </c>
      <c r="B340">
        <v>28658</v>
      </c>
      <c r="C340">
        <v>54728</v>
      </c>
      <c r="D340">
        <v>30829</v>
      </c>
      <c r="E340">
        <v>14484</v>
      </c>
      <c r="F340">
        <v>104</v>
      </c>
      <c r="G340" t="s">
        <v>20</v>
      </c>
      <c r="H340" t="str">
        <f>IF(Grammys[[#This Row],[date]] &gt;= DATE(2022, 2, 1), "Grammys", "Grammys + TRA")</f>
        <v>Grammys + TRA</v>
      </c>
      <c r="I340">
        <f>_xlfn.XLOOKUP(Grammys[[#This Row],[date]], mobile_visits[date], mobile_visits[mobile_visitors], 0)</f>
        <v>0</v>
      </c>
      <c r="Q340" s="1">
        <v>44931</v>
      </c>
      <c r="R340">
        <v>27265</v>
      </c>
    </row>
    <row r="341" spans="1:18" x14ac:dyDescent="0.2">
      <c r="A341" s="1">
        <v>43075</v>
      </c>
      <c r="B341">
        <v>23004</v>
      </c>
      <c r="C341">
        <v>44176</v>
      </c>
      <c r="D341">
        <v>24668</v>
      </c>
      <c r="E341">
        <v>12312</v>
      </c>
      <c r="F341">
        <v>99</v>
      </c>
      <c r="G341" t="s">
        <v>20</v>
      </c>
      <c r="H341" t="str">
        <f>IF(Grammys[[#This Row],[date]] &gt;= DATE(2022, 2, 1), "Grammys", "Grammys + TRA")</f>
        <v>Grammys + TRA</v>
      </c>
      <c r="I341">
        <f>_xlfn.XLOOKUP(Grammys[[#This Row],[date]], mobile_visits[date], mobile_visits[mobile_visitors], 0)</f>
        <v>0</v>
      </c>
      <c r="Q341" s="1">
        <v>44932</v>
      </c>
      <c r="R341">
        <v>19012</v>
      </c>
    </row>
    <row r="342" spans="1:18" x14ac:dyDescent="0.2">
      <c r="A342" s="1">
        <v>43076</v>
      </c>
      <c r="B342">
        <v>19854</v>
      </c>
      <c r="C342">
        <v>38197</v>
      </c>
      <c r="D342">
        <v>21405</v>
      </c>
      <c r="E342">
        <v>10720</v>
      </c>
      <c r="F342">
        <v>101</v>
      </c>
      <c r="G342" t="s">
        <v>20</v>
      </c>
      <c r="H342" t="str">
        <f>IF(Grammys[[#This Row],[date]] &gt;= DATE(2022, 2, 1), "Grammys", "Grammys + TRA")</f>
        <v>Grammys + TRA</v>
      </c>
      <c r="I342">
        <f>_xlfn.XLOOKUP(Grammys[[#This Row],[date]], mobile_visits[date], mobile_visits[mobile_visitors], 0)</f>
        <v>0</v>
      </c>
      <c r="Q342" s="1">
        <v>44933</v>
      </c>
      <c r="R342">
        <v>18131</v>
      </c>
    </row>
    <row r="343" spans="1:18" x14ac:dyDescent="0.2">
      <c r="A343" s="1">
        <v>43077</v>
      </c>
      <c r="B343">
        <v>18452</v>
      </c>
      <c r="C343">
        <v>35631</v>
      </c>
      <c r="D343">
        <v>19933</v>
      </c>
      <c r="E343">
        <v>9977</v>
      </c>
      <c r="F343">
        <v>94</v>
      </c>
      <c r="G343" t="s">
        <v>20</v>
      </c>
      <c r="H343" t="str">
        <f>IF(Grammys[[#This Row],[date]] &gt;= DATE(2022, 2, 1), "Grammys", "Grammys + TRA")</f>
        <v>Grammys + TRA</v>
      </c>
      <c r="I343">
        <f>_xlfn.XLOOKUP(Grammys[[#This Row],[date]], mobile_visits[date], mobile_visits[mobile_visitors], 0)</f>
        <v>0</v>
      </c>
      <c r="Q343" s="1">
        <v>44934</v>
      </c>
      <c r="R343">
        <v>18695</v>
      </c>
    </row>
    <row r="344" spans="1:18" x14ac:dyDescent="0.2">
      <c r="A344" s="1">
        <v>43078</v>
      </c>
      <c r="B344">
        <v>17505</v>
      </c>
      <c r="C344">
        <v>32535</v>
      </c>
      <c r="D344">
        <v>18859</v>
      </c>
      <c r="E344">
        <v>9285</v>
      </c>
      <c r="F344">
        <v>91</v>
      </c>
      <c r="G344" t="s">
        <v>20</v>
      </c>
      <c r="H344" t="str">
        <f>IF(Grammys[[#This Row],[date]] &gt;= DATE(2022, 2, 1), "Grammys", "Grammys + TRA")</f>
        <v>Grammys + TRA</v>
      </c>
      <c r="I344">
        <f>_xlfn.XLOOKUP(Grammys[[#This Row],[date]], mobile_visits[date], mobile_visits[mobile_visitors], 0)</f>
        <v>0</v>
      </c>
      <c r="Q344" s="1">
        <v>44935</v>
      </c>
      <c r="R344">
        <v>15812</v>
      </c>
    </row>
    <row r="345" spans="1:18" x14ac:dyDescent="0.2">
      <c r="A345" s="1">
        <v>43079</v>
      </c>
      <c r="B345">
        <v>17192</v>
      </c>
      <c r="C345">
        <v>31925</v>
      </c>
      <c r="D345">
        <v>18287</v>
      </c>
      <c r="E345">
        <v>9170</v>
      </c>
      <c r="F345">
        <v>95</v>
      </c>
      <c r="G345" t="s">
        <v>20</v>
      </c>
      <c r="H345" t="str">
        <f>IF(Grammys[[#This Row],[date]] &gt;= DATE(2022, 2, 1), "Grammys", "Grammys + TRA")</f>
        <v>Grammys + TRA</v>
      </c>
      <c r="I345">
        <f>_xlfn.XLOOKUP(Grammys[[#This Row],[date]], mobile_visits[date], mobile_visits[mobile_visitors], 0)</f>
        <v>0</v>
      </c>
      <c r="Q345" s="1">
        <v>44936</v>
      </c>
      <c r="R345">
        <v>19870</v>
      </c>
    </row>
    <row r="346" spans="1:18" x14ac:dyDescent="0.2">
      <c r="A346" s="1">
        <v>43080</v>
      </c>
      <c r="B346">
        <v>20143</v>
      </c>
      <c r="C346">
        <v>38096</v>
      </c>
      <c r="D346">
        <v>21751</v>
      </c>
      <c r="E346">
        <v>10650</v>
      </c>
      <c r="F346">
        <v>90</v>
      </c>
      <c r="G346" t="s">
        <v>20</v>
      </c>
      <c r="H346" t="str">
        <f>IF(Grammys[[#This Row],[date]] &gt;= DATE(2022, 2, 1), "Grammys", "Grammys + TRA")</f>
        <v>Grammys + TRA</v>
      </c>
      <c r="I346">
        <f>_xlfn.XLOOKUP(Grammys[[#This Row],[date]], mobile_visits[date], mobile_visits[mobile_visitors], 0)</f>
        <v>0</v>
      </c>
      <c r="Q346" s="1">
        <v>44937</v>
      </c>
      <c r="R346">
        <v>22150</v>
      </c>
    </row>
    <row r="347" spans="1:18" x14ac:dyDescent="0.2">
      <c r="A347" s="1">
        <v>43081</v>
      </c>
      <c r="B347">
        <v>19649</v>
      </c>
      <c r="C347">
        <v>35942</v>
      </c>
      <c r="D347">
        <v>21042</v>
      </c>
      <c r="E347">
        <v>10166</v>
      </c>
      <c r="F347">
        <v>94</v>
      </c>
      <c r="G347" t="s">
        <v>20</v>
      </c>
      <c r="H347" t="str">
        <f>IF(Grammys[[#This Row],[date]] &gt;= DATE(2022, 2, 1), "Grammys", "Grammys + TRA")</f>
        <v>Grammys + TRA</v>
      </c>
      <c r="I347">
        <f>_xlfn.XLOOKUP(Grammys[[#This Row],[date]], mobile_visits[date], mobile_visits[mobile_visitors], 0)</f>
        <v>0</v>
      </c>
      <c r="Q347" s="1">
        <v>44938</v>
      </c>
      <c r="R347">
        <v>19935</v>
      </c>
    </row>
    <row r="348" spans="1:18" x14ac:dyDescent="0.2">
      <c r="A348" s="1">
        <v>43082</v>
      </c>
      <c r="B348">
        <v>20747</v>
      </c>
      <c r="C348">
        <v>38030</v>
      </c>
      <c r="D348">
        <v>22322</v>
      </c>
      <c r="E348">
        <v>10599</v>
      </c>
      <c r="F348">
        <v>104</v>
      </c>
      <c r="G348" t="s">
        <v>20</v>
      </c>
      <c r="H348" t="str">
        <f>IF(Grammys[[#This Row],[date]] &gt;= DATE(2022, 2, 1), "Grammys", "Grammys + TRA")</f>
        <v>Grammys + TRA</v>
      </c>
      <c r="I348">
        <f>_xlfn.XLOOKUP(Grammys[[#This Row],[date]], mobile_visits[date], mobile_visits[mobile_visitors], 0)</f>
        <v>0</v>
      </c>
      <c r="Q348" s="1">
        <v>44939</v>
      </c>
      <c r="R348">
        <v>18744</v>
      </c>
    </row>
    <row r="349" spans="1:18" x14ac:dyDescent="0.2">
      <c r="A349" s="1">
        <v>43083</v>
      </c>
      <c r="B349">
        <v>17891</v>
      </c>
      <c r="C349">
        <v>31010</v>
      </c>
      <c r="D349">
        <v>19140</v>
      </c>
      <c r="E349">
        <v>9475</v>
      </c>
      <c r="F349">
        <v>90</v>
      </c>
      <c r="G349" t="s">
        <v>20</v>
      </c>
      <c r="H349" t="str">
        <f>IF(Grammys[[#This Row],[date]] &gt;= DATE(2022, 2, 1), "Grammys", "Grammys + TRA")</f>
        <v>Grammys + TRA</v>
      </c>
      <c r="I349">
        <f>_xlfn.XLOOKUP(Grammys[[#This Row],[date]], mobile_visits[date], mobile_visits[mobile_visitors], 0)</f>
        <v>0</v>
      </c>
      <c r="Q349" s="1">
        <v>44940</v>
      </c>
      <c r="R349">
        <v>19072</v>
      </c>
    </row>
    <row r="350" spans="1:18" x14ac:dyDescent="0.2">
      <c r="A350" s="1">
        <v>43084</v>
      </c>
      <c r="B350">
        <v>18934</v>
      </c>
      <c r="C350">
        <v>31789</v>
      </c>
      <c r="D350">
        <v>20364</v>
      </c>
      <c r="E350">
        <v>9981</v>
      </c>
      <c r="F350">
        <v>87</v>
      </c>
      <c r="G350" t="s">
        <v>20</v>
      </c>
      <c r="H350" t="str">
        <f>IF(Grammys[[#This Row],[date]] &gt;= DATE(2022, 2, 1), "Grammys", "Grammys + TRA")</f>
        <v>Grammys + TRA</v>
      </c>
      <c r="I350">
        <f>_xlfn.XLOOKUP(Grammys[[#This Row],[date]], mobile_visits[date], mobile_visits[mobile_visitors], 0)</f>
        <v>0</v>
      </c>
      <c r="Q350" s="1">
        <v>44941</v>
      </c>
      <c r="R350">
        <v>20586</v>
      </c>
    </row>
    <row r="351" spans="1:18" x14ac:dyDescent="0.2">
      <c r="A351" s="1">
        <v>43085</v>
      </c>
      <c r="B351">
        <v>17759</v>
      </c>
      <c r="C351">
        <v>29059</v>
      </c>
      <c r="D351">
        <v>19142</v>
      </c>
      <c r="E351">
        <v>9675</v>
      </c>
      <c r="F351">
        <v>86</v>
      </c>
      <c r="G351" t="s">
        <v>20</v>
      </c>
      <c r="H351" t="str">
        <f>IF(Grammys[[#This Row],[date]] &gt;= DATE(2022, 2, 1), "Grammys", "Grammys + TRA")</f>
        <v>Grammys + TRA</v>
      </c>
      <c r="I351">
        <f>_xlfn.XLOOKUP(Grammys[[#This Row],[date]], mobile_visits[date], mobile_visits[mobile_visitors], 0)</f>
        <v>0</v>
      </c>
      <c r="Q351" s="1">
        <v>44942</v>
      </c>
      <c r="R351">
        <v>18068</v>
      </c>
    </row>
    <row r="352" spans="1:18" x14ac:dyDescent="0.2">
      <c r="A352" s="1">
        <v>43086</v>
      </c>
      <c r="B352">
        <v>19076</v>
      </c>
      <c r="C352">
        <v>31423</v>
      </c>
      <c r="D352">
        <v>20321</v>
      </c>
      <c r="E352">
        <v>11657</v>
      </c>
      <c r="F352">
        <v>77</v>
      </c>
      <c r="G352" t="s">
        <v>20</v>
      </c>
      <c r="H352" t="str">
        <f>IF(Grammys[[#This Row],[date]] &gt;= DATE(2022, 2, 1), "Grammys", "Grammys + TRA")</f>
        <v>Grammys + TRA</v>
      </c>
      <c r="I352">
        <f>_xlfn.XLOOKUP(Grammys[[#This Row],[date]], mobile_visits[date], mobile_visits[mobile_visitors], 0)</f>
        <v>0</v>
      </c>
      <c r="Q352" s="1">
        <v>44943</v>
      </c>
      <c r="R352">
        <v>13904</v>
      </c>
    </row>
    <row r="353" spans="1:18" x14ac:dyDescent="0.2">
      <c r="A353" s="1">
        <v>43087</v>
      </c>
      <c r="B353">
        <v>15658</v>
      </c>
      <c r="C353">
        <v>27831</v>
      </c>
      <c r="D353">
        <v>16734</v>
      </c>
      <c r="E353">
        <v>8719</v>
      </c>
      <c r="F353">
        <v>91</v>
      </c>
      <c r="G353" t="s">
        <v>20</v>
      </c>
      <c r="H353" t="str">
        <f>IF(Grammys[[#This Row],[date]] &gt;= DATE(2022, 2, 1), "Grammys", "Grammys + TRA")</f>
        <v>Grammys + TRA</v>
      </c>
      <c r="I353">
        <f>_xlfn.XLOOKUP(Grammys[[#This Row],[date]], mobile_visits[date], mobile_visits[mobile_visitors], 0)</f>
        <v>0</v>
      </c>
      <c r="Q353" s="1">
        <v>44944</v>
      </c>
      <c r="R353">
        <v>16311</v>
      </c>
    </row>
    <row r="354" spans="1:18" x14ac:dyDescent="0.2">
      <c r="A354" s="1">
        <v>43088</v>
      </c>
      <c r="B354">
        <v>16432</v>
      </c>
      <c r="C354">
        <v>40908</v>
      </c>
      <c r="D354">
        <v>17607</v>
      </c>
      <c r="E354">
        <v>7464</v>
      </c>
      <c r="F354">
        <v>102</v>
      </c>
      <c r="G354" t="s">
        <v>20</v>
      </c>
      <c r="H354" t="str">
        <f>IF(Grammys[[#This Row],[date]] &gt;= DATE(2022, 2, 1), "Grammys", "Grammys + TRA")</f>
        <v>Grammys + TRA</v>
      </c>
      <c r="I354">
        <f>_xlfn.XLOOKUP(Grammys[[#This Row],[date]], mobile_visits[date], mobile_visits[mobile_visitors], 0)</f>
        <v>0</v>
      </c>
      <c r="Q354" s="1">
        <v>44945</v>
      </c>
      <c r="R354">
        <v>18633</v>
      </c>
    </row>
    <row r="355" spans="1:18" x14ac:dyDescent="0.2">
      <c r="A355" s="1">
        <v>43089</v>
      </c>
      <c r="B355">
        <v>14018</v>
      </c>
      <c r="C355">
        <v>35375</v>
      </c>
      <c r="D355">
        <v>15251</v>
      </c>
      <c r="E355">
        <v>6441</v>
      </c>
      <c r="F355">
        <v>109</v>
      </c>
      <c r="G355" t="s">
        <v>20</v>
      </c>
      <c r="H355" t="str">
        <f>IF(Grammys[[#This Row],[date]] &gt;= DATE(2022, 2, 1), "Grammys", "Grammys + TRA")</f>
        <v>Grammys + TRA</v>
      </c>
      <c r="I355">
        <f>_xlfn.XLOOKUP(Grammys[[#This Row],[date]], mobile_visits[date], mobile_visits[mobile_visitors], 0)</f>
        <v>0</v>
      </c>
      <c r="Q355" s="1">
        <v>44946</v>
      </c>
      <c r="R355">
        <v>17152</v>
      </c>
    </row>
    <row r="356" spans="1:18" x14ac:dyDescent="0.2">
      <c r="A356" s="1">
        <v>43090</v>
      </c>
      <c r="B356">
        <v>14476</v>
      </c>
      <c r="C356">
        <v>37403</v>
      </c>
      <c r="D356">
        <v>15696</v>
      </c>
      <c r="E356">
        <v>6467</v>
      </c>
      <c r="F356">
        <v>112</v>
      </c>
      <c r="G356" t="s">
        <v>20</v>
      </c>
      <c r="H356" t="str">
        <f>IF(Grammys[[#This Row],[date]] &gt;= DATE(2022, 2, 1), "Grammys", "Grammys + TRA")</f>
        <v>Grammys + TRA</v>
      </c>
      <c r="I356">
        <f>_xlfn.XLOOKUP(Grammys[[#This Row],[date]], mobile_visits[date], mobile_visits[mobile_visitors], 0)</f>
        <v>0</v>
      </c>
      <c r="Q356" s="1">
        <v>44947</v>
      </c>
      <c r="R356">
        <v>19191</v>
      </c>
    </row>
    <row r="357" spans="1:18" x14ac:dyDescent="0.2">
      <c r="A357" s="1">
        <v>43091</v>
      </c>
      <c r="B357">
        <v>12812</v>
      </c>
      <c r="C357">
        <v>33500</v>
      </c>
      <c r="D357">
        <v>13999</v>
      </c>
      <c r="E357">
        <v>5897</v>
      </c>
      <c r="F357">
        <v>101</v>
      </c>
      <c r="G357" t="s">
        <v>20</v>
      </c>
      <c r="H357" t="str">
        <f>IF(Grammys[[#This Row],[date]] &gt;= DATE(2022, 2, 1), "Grammys", "Grammys + TRA")</f>
        <v>Grammys + TRA</v>
      </c>
      <c r="I357">
        <f>_xlfn.XLOOKUP(Grammys[[#This Row],[date]], mobile_visits[date], mobile_visits[mobile_visitors], 0)</f>
        <v>0</v>
      </c>
      <c r="Q357" s="1">
        <v>44948</v>
      </c>
      <c r="R357">
        <v>32862</v>
      </c>
    </row>
    <row r="358" spans="1:18" x14ac:dyDescent="0.2">
      <c r="A358" s="1">
        <v>43092</v>
      </c>
      <c r="B358">
        <v>13783</v>
      </c>
      <c r="C358">
        <v>34410</v>
      </c>
      <c r="D358">
        <v>14517</v>
      </c>
      <c r="E358">
        <v>5794</v>
      </c>
      <c r="F358">
        <v>98</v>
      </c>
      <c r="G358" t="s">
        <v>20</v>
      </c>
      <c r="H358" t="str">
        <f>IF(Grammys[[#This Row],[date]] &gt;= DATE(2022, 2, 1), "Grammys", "Grammys + TRA")</f>
        <v>Grammys + TRA</v>
      </c>
      <c r="I358">
        <f>_xlfn.XLOOKUP(Grammys[[#This Row],[date]], mobile_visits[date], mobile_visits[mobile_visitors], 0)</f>
        <v>0</v>
      </c>
      <c r="Q358" s="1">
        <v>44949</v>
      </c>
      <c r="R358">
        <v>22211</v>
      </c>
    </row>
    <row r="359" spans="1:18" x14ac:dyDescent="0.2">
      <c r="A359" s="1">
        <v>43093</v>
      </c>
      <c r="B359">
        <v>13571</v>
      </c>
      <c r="C359">
        <v>33229</v>
      </c>
      <c r="D359">
        <v>14474</v>
      </c>
      <c r="E359">
        <v>5964</v>
      </c>
      <c r="F359">
        <v>92</v>
      </c>
      <c r="G359" t="s">
        <v>20</v>
      </c>
      <c r="H359" t="str">
        <f>IF(Grammys[[#This Row],[date]] &gt;= DATE(2022, 2, 1), "Grammys", "Grammys + TRA")</f>
        <v>Grammys + TRA</v>
      </c>
      <c r="I359">
        <f>_xlfn.XLOOKUP(Grammys[[#This Row],[date]], mobile_visits[date], mobile_visits[mobile_visitors], 0)</f>
        <v>0</v>
      </c>
      <c r="Q359" s="1">
        <v>44950</v>
      </c>
      <c r="R359">
        <v>29287</v>
      </c>
    </row>
    <row r="360" spans="1:18" x14ac:dyDescent="0.2">
      <c r="A360" s="1">
        <v>43094</v>
      </c>
      <c r="B360">
        <v>10744</v>
      </c>
      <c r="C360">
        <v>27092</v>
      </c>
      <c r="D360">
        <v>11641</v>
      </c>
      <c r="E360">
        <v>5055</v>
      </c>
      <c r="F360">
        <v>97</v>
      </c>
      <c r="G360" t="s">
        <v>20</v>
      </c>
      <c r="H360" t="str">
        <f>IF(Grammys[[#This Row],[date]] &gt;= DATE(2022, 2, 1), "Grammys", "Grammys + TRA")</f>
        <v>Grammys + TRA</v>
      </c>
      <c r="I360">
        <f>_xlfn.XLOOKUP(Grammys[[#This Row],[date]], mobile_visits[date], mobile_visits[mobile_visitors], 0)</f>
        <v>0</v>
      </c>
      <c r="Q360" s="1">
        <v>44951</v>
      </c>
      <c r="R360">
        <v>37577</v>
      </c>
    </row>
    <row r="361" spans="1:18" x14ac:dyDescent="0.2">
      <c r="A361" s="1">
        <v>43095</v>
      </c>
      <c r="B361">
        <v>13080</v>
      </c>
      <c r="C361">
        <v>33811</v>
      </c>
      <c r="D361">
        <v>14136</v>
      </c>
      <c r="E361">
        <v>6014</v>
      </c>
      <c r="F361">
        <v>106</v>
      </c>
      <c r="G361" t="s">
        <v>20</v>
      </c>
      <c r="H361" t="str">
        <f>IF(Grammys[[#This Row],[date]] &gt;= DATE(2022, 2, 1), "Grammys", "Grammys + TRA")</f>
        <v>Grammys + TRA</v>
      </c>
      <c r="I361">
        <f>_xlfn.XLOOKUP(Grammys[[#This Row],[date]], mobile_visits[date], mobile_visits[mobile_visitors], 0)</f>
        <v>0</v>
      </c>
      <c r="Q361" s="1">
        <v>44952</v>
      </c>
      <c r="R361">
        <v>34174</v>
      </c>
    </row>
    <row r="362" spans="1:18" x14ac:dyDescent="0.2">
      <c r="A362" s="1">
        <v>43096</v>
      </c>
      <c r="B362">
        <v>17118</v>
      </c>
      <c r="C362">
        <v>42281</v>
      </c>
      <c r="D362">
        <v>18299</v>
      </c>
      <c r="E362">
        <v>6566</v>
      </c>
      <c r="F362">
        <v>105</v>
      </c>
      <c r="G362" t="s">
        <v>20</v>
      </c>
      <c r="H362" t="str">
        <f>IF(Grammys[[#This Row],[date]] &gt;= DATE(2022, 2, 1), "Grammys", "Grammys + TRA")</f>
        <v>Grammys + TRA</v>
      </c>
      <c r="I362">
        <f>_xlfn.XLOOKUP(Grammys[[#This Row],[date]], mobile_visits[date], mobile_visits[mobile_visitors], 0)</f>
        <v>0</v>
      </c>
      <c r="Q362" s="1">
        <v>44953</v>
      </c>
      <c r="R362">
        <v>33917</v>
      </c>
    </row>
    <row r="363" spans="1:18" x14ac:dyDescent="0.2">
      <c r="A363" s="1">
        <v>43097</v>
      </c>
      <c r="B363">
        <v>19826</v>
      </c>
      <c r="C363">
        <v>47039</v>
      </c>
      <c r="D363">
        <v>21136</v>
      </c>
      <c r="E363">
        <v>7609</v>
      </c>
      <c r="F363">
        <v>110</v>
      </c>
      <c r="G363" t="s">
        <v>20</v>
      </c>
      <c r="H363" t="str">
        <f>IF(Grammys[[#This Row],[date]] &gt;= DATE(2022, 2, 1), "Grammys", "Grammys + TRA")</f>
        <v>Grammys + TRA</v>
      </c>
      <c r="I363">
        <f>_xlfn.XLOOKUP(Grammys[[#This Row],[date]], mobile_visits[date], mobile_visits[mobile_visitors], 0)</f>
        <v>0</v>
      </c>
      <c r="Q363" s="1">
        <v>44954</v>
      </c>
      <c r="R363">
        <v>34419</v>
      </c>
    </row>
    <row r="364" spans="1:18" x14ac:dyDescent="0.2">
      <c r="A364" s="1">
        <v>43098</v>
      </c>
      <c r="B364">
        <v>15955</v>
      </c>
      <c r="C364">
        <v>41543</v>
      </c>
      <c r="D364">
        <v>17258</v>
      </c>
      <c r="E364">
        <v>6741</v>
      </c>
      <c r="F364">
        <v>106</v>
      </c>
      <c r="G364" t="s">
        <v>20</v>
      </c>
      <c r="H364" t="str">
        <f>IF(Grammys[[#This Row],[date]] &gt;= DATE(2022, 2, 1), "Grammys", "Grammys + TRA")</f>
        <v>Grammys + TRA</v>
      </c>
      <c r="I364">
        <f>_xlfn.XLOOKUP(Grammys[[#This Row],[date]], mobile_visits[date], mobile_visits[mobile_visitors], 0)</f>
        <v>0</v>
      </c>
      <c r="Q364" s="1">
        <v>44955</v>
      </c>
      <c r="R364">
        <v>62861</v>
      </c>
    </row>
    <row r="365" spans="1:18" x14ac:dyDescent="0.2">
      <c r="A365" s="1">
        <v>43099</v>
      </c>
      <c r="B365">
        <v>18568</v>
      </c>
      <c r="C365">
        <v>50253</v>
      </c>
      <c r="D365">
        <v>20021</v>
      </c>
      <c r="E365">
        <v>7026</v>
      </c>
      <c r="F365">
        <v>102</v>
      </c>
      <c r="G365" t="s">
        <v>20</v>
      </c>
      <c r="H365" t="str">
        <f>IF(Grammys[[#This Row],[date]] &gt;= DATE(2022, 2, 1), "Grammys", "Grammys + TRA")</f>
        <v>Grammys + TRA</v>
      </c>
      <c r="I365">
        <f>_xlfn.XLOOKUP(Grammys[[#This Row],[date]], mobile_visits[date], mobile_visits[mobile_visitors], 0)</f>
        <v>0</v>
      </c>
      <c r="Q365" s="1">
        <v>44956</v>
      </c>
      <c r="R365">
        <v>47158</v>
      </c>
    </row>
    <row r="366" spans="1:18" x14ac:dyDescent="0.2">
      <c r="A366" s="1">
        <v>43100</v>
      </c>
      <c r="B366">
        <v>45897</v>
      </c>
      <c r="C366">
        <v>121293</v>
      </c>
      <c r="D366">
        <v>48383</v>
      </c>
      <c r="E366">
        <v>14322</v>
      </c>
      <c r="F366">
        <v>69</v>
      </c>
      <c r="G366" t="s">
        <v>20</v>
      </c>
      <c r="H366" t="str">
        <f>IF(Grammys[[#This Row],[date]] &gt;= DATE(2022, 2, 1), "Grammys", "Grammys + TRA")</f>
        <v>Grammys + TRA</v>
      </c>
      <c r="I366">
        <f>_xlfn.XLOOKUP(Grammys[[#This Row],[date]], mobile_visits[date], mobile_visits[mobile_visitors], 0)</f>
        <v>0</v>
      </c>
      <c r="Q366" s="1">
        <v>44957</v>
      </c>
      <c r="R366">
        <v>45623</v>
      </c>
    </row>
    <row r="367" spans="1:18" x14ac:dyDescent="0.2">
      <c r="A367" s="1">
        <v>43101</v>
      </c>
      <c r="B367">
        <v>17539</v>
      </c>
      <c r="C367">
        <v>46598</v>
      </c>
      <c r="D367">
        <v>19083</v>
      </c>
      <c r="E367">
        <v>7430</v>
      </c>
      <c r="F367">
        <v>100</v>
      </c>
      <c r="G367" t="s">
        <v>20</v>
      </c>
      <c r="H367" t="str">
        <f>IF(Grammys[[#This Row],[date]] &gt;= DATE(2022, 2, 1), "Grammys", "Grammys + TRA")</f>
        <v>Grammys + TRA</v>
      </c>
      <c r="I367">
        <f>_xlfn.XLOOKUP(Grammys[[#This Row],[date]], mobile_visits[date], mobile_visits[mobile_visitors], 0)</f>
        <v>0</v>
      </c>
      <c r="Q367" s="1">
        <v>44958</v>
      </c>
      <c r="R367">
        <v>57546</v>
      </c>
    </row>
    <row r="368" spans="1:18" x14ac:dyDescent="0.2">
      <c r="A368" s="1">
        <v>43102</v>
      </c>
      <c r="B368">
        <v>19345</v>
      </c>
      <c r="C368">
        <v>50586</v>
      </c>
      <c r="D368">
        <v>20690</v>
      </c>
      <c r="E368">
        <v>8452</v>
      </c>
      <c r="F368">
        <v>106</v>
      </c>
      <c r="G368" t="s">
        <v>20</v>
      </c>
      <c r="H368" t="str">
        <f>IF(Grammys[[#This Row],[date]] &gt;= DATE(2022, 2, 1), "Grammys", "Grammys + TRA")</f>
        <v>Grammys + TRA</v>
      </c>
      <c r="I368">
        <f>_xlfn.XLOOKUP(Grammys[[#This Row],[date]], mobile_visits[date], mobile_visits[mobile_visitors], 0)</f>
        <v>0</v>
      </c>
      <c r="Q368" s="1">
        <v>44959</v>
      </c>
      <c r="R368">
        <v>66488</v>
      </c>
    </row>
    <row r="369" spans="1:18" x14ac:dyDescent="0.2">
      <c r="A369" s="1">
        <v>43103</v>
      </c>
      <c r="B369">
        <v>17934</v>
      </c>
      <c r="C369">
        <v>49068</v>
      </c>
      <c r="D369">
        <v>19334</v>
      </c>
      <c r="E369">
        <v>7278</v>
      </c>
      <c r="F369">
        <v>117</v>
      </c>
      <c r="G369" t="s">
        <v>20</v>
      </c>
      <c r="H369" t="str">
        <f>IF(Grammys[[#This Row],[date]] &gt;= DATE(2022, 2, 1), "Grammys", "Grammys + TRA")</f>
        <v>Grammys + TRA</v>
      </c>
      <c r="I369">
        <f>_xlfn.XLOOKUP(Grammys[[#This Row],[date]], mobile_visits[date], mobile_visits[mobile_visitors], 0)</f>
        <v>0</v>
      </c>
      <c r="Q369" s="1">
        <v>44960</v>
      </c>
      <c r="R369">
        <v>93170</v>
      </c>
    </row>
    <row r="370" spans="1:18" x14ac:dyDescent="0.2">
      <c r="A370" s="1">
        <v>43104</v>
      </c>
      <c r="B370">
        <v>25557</v>
      </c>
      <c r="C370">
        <v>66914</v>
      </c>
      <c r="D370">
        <v>27702</v>
      </c>
      <c r="E370">
        <v>10090</v>
      </c>
      <c r="F370">
        <v>109</v>
      </c>
      <c r="G370" t="s">
        <v>20</v>
      </c>
      <c r="H370" t="str">
        <f>IF(Grammys[[#This Row],[date]] &gt;= DATE(2022, 2, 1), "Grammys", "Grammys + TRA")</f>
        <v>Grammys + TRA</v>
      </c>
      <c r="I370">
        <f>_xlfn.XLOOKUP(Grammys[[#This Row],[date]], mobile_visits[date], mobile_visits[mobile_visitors], 0)</f>
        <v>0</v>
      </c>
      <c r="Q370" s="1">
        <v>44961</v>
      </c>
      <c r="R370">
        <v>164559</v>
      </c>
    </row>
    <row r="371" spans="1:18" x14ac:dyDescent="0.2">
      <c r="A371" s="1">
        <v>43105</v>
      </c>
      <c r="B371">
        <v>22959</v>
      </c>
      <c r="C371">
        <v>58317</v>
      </c>
      <c r="D371">
        <v>24544</v>
      </c>
      <c r="E371">
        <v>9548</v>
      </c>
      <c r="F371">
        <v>112</v>
      </c>
      <c r="G371" t="s">
        <v>20</v>
      </c>
      <c r="H371" t="str">
        <f>IF(Grammys[[#This Row],[date]] &gt;= DATE(2022, 2, 1), "Grammys", "Grammys + TRA")</f>
        <v>Grammys + TRA</v>
      </c>
      <c r="I371">
        <f>_xlfn.XLOOKUP(Grammys[[#This Row],[date]], mobile_visits[date], mobile_visits[mobile_visitors], 0)</f>
        <v>0</v>
      </c>
      <c r="Q371" s="1">
        <v>44962</v>
      </c>
      <c r="R371">
        <v>2278580</v>
      </c>
    </row>
    <row r="372" spans="1:18" x14ac:dyDescent="0.2">
      <c r="A372" s="1">
        <v>43106</v>
      </c>
      <c r="B372">
        <v>19641</v>
      </c>
      <c r="C372">
        <v>49765</v>
      </c>
      <c r="D372">
        <v>21145</v>
      </c>
      <c r="E372">
        <v>8634</v>
      </c>
      <c r="F372">
        <v>106</v>
      </c>
      <c r="G372" t="s">
        <v>20</v>
      </c>
      <c r="H372" t="str">
        <f>IF(Grammys[[#This Row],[date]] &gt;= DATE(2022, 2, 1), "Grammys", "Grammys + TRA")</f>
        <v>Grammys + TRA</v>
      </c>
      <c r="I372">
        <f>_xlfn.XLOOKUP(Grammys[[#This Row],[date]], mobile_visits[date], mobile_visits[mobile_visitors], 0)</f>
        <v>0</v>
      </c>
      <c r="Q372" s="1">
        <v>44963</v>
      </c>
      <c r="R372">
        <v>1093047</v>
      </c>
    </row>
    <row r="373" spans="1:18" x14ac:dyDescent="0.2">
      <c r="A373" s="1">
        <v>43107</v>
      </c>
      <c r="B373">
        <v>30527</v>
      </c>
      <c r="C373">
        <v>76914</v>
      </c>
      <c r="D373">
        <v>32303</v>
      </c>
      <c r="E373">
        <v>12127</v>
      </c>
      <c r="F373">
        <v>106</v>
      </c>
      <c r="G373" t="s">
        <v>20</v>
      </c>
      <c r="H373" t="str">
        <f>IF(Grammys[[#This Row],[date]] &gt;= DATE(2022, 2, 1), "Grammys", "Grammys + TRA")</f>
        <v>Grammys + TRA</v>
      </c>
      <c r="I373">
        <f>_xlfn.XLOOKUP(Grammys[[#This Row],[date]], mobile_visits[date], mobile_visits[mobile_visitors], 0)</f>
        <v>0</v>
      </c>
      <c r="Q373" s="1">
        <v>44964</v>
      </c>
      <c r="R373">
        <v>276837</v>
      </c>
    </row>
    <row r="374" spans="1:18" x14ac:dyDescent="0.2">
      <c r="A374" s="1">
        <v>43108</v>
      </c>
      <c r="B374">
        <v>28132</v>
      </c>
      <c r="C374">
        <v>75583</v>
      </c>
      <c r="D374">
        <v>30176</v>
      </c>
      <c r="E374">
        <v>11359</v>
      </c>
      <c r="F374">
        <v>113</v>
      </c>
      <c r="G374" t="s">
        <v>20</v>
      </c>
      <c r="H374" t="str">
        <f>IF(Grammys[[#This Row],[date]] &gt;= DATE(2022, 2, 1), "Grammys", "Grammys + TRA")</f>
        <v>Grammys + TRA</v>
      </c>
      <c r="I374">
        <f>_xlfn.XLOOKUP(Grammys[[#This Row],[date]], mobile_visits[date], mobile_visits[mobile_visitors], 0)</f>
        <v>0</v>
      </c>
      <c r="Q374" s="1">
        <v>44965</v>
      </c>
      <c r="R374">
        <v>158349</v>
      </c>
    </row>
    <row r="375" spans="1:18" x14ac:dyDescent="0.2">
      <c r="A375" s="1">
        <v>43109</v>
      </c>
      <c r="B375">
        <v>24612</v>
      </c>
      <c r="C375">
        <v>67847</v>
      </c>
      <c r="D375">
        <v>26838</v>
      </c>
      <c r="E375">
        <v>10204</v>
      </c>
      <c r="F375">
        <v>115</v>
      </c>
      <c r="G375" t="s">
        <v>20</v>
      </c>
      <c r="H375" t="str">
        <f>IF(Grammys[[#This Row],[date]] &gt;= DATE(2022, 2, 1), "Grammys", "Grammys + TRA")</f>
        <v>Grammys + TRA</v>
      </c>
      <c r="I375">
        <f>_xlfn.XLOOKUP(Grammys[[#This Row],[date]], mobile_visits[date], mobile_visits[mobile_visitors], 0)</f>
        <v>0</v>
      </c>
      <c r="Q375" s="1">
        <v>44966</v>
      </c>
      <c r="R375">
        <v>112519</v>
      </c>
    </row>
    <row r="376" spans="1:18" x14ac:dyDescent="0.2">
      <c r="A376" s="1">
        <v>43110</v>
      </c>
      <c r="B376">
        <v>29739</v>
      </c>
      <c r="C376">
        <v>74447</v>
      </c>
      <c r="D376">
        <v>32079</v>
      </c>
      <c r="E376">
        <v>12479</v>
      </c>
      <c r="F376">
        <v>113</v>
      </c>
      <c r="G376" t="s">
        <v>20</v>
      </c>
      <c r="H376" t="str">
        <f>IF(Grammys[[#This Row],[date]] &gt;= DATE(2022, 2, 1), "Grammys", "Grammys + TRA")</f>
        <v>Grammys + TRA</v>
      </c>
      <c r="I376">
        <f>_xlfn.XLOOKUP(Grammys[[#This Row],[date]], mobile_visits[date], mobile_visits[mobile_visitors], 0)</f>
        <v>0</v>
      </c>
      <c r="Q376" s="1">
        <v>44967</v>
      </c>
      <c r="R376">
        <v>94314</v>
      </c>
    </row>
    <row r="377" spans="1:18" x14ac:dyDescent="0.2">
      <c r="A377" s="1">
        <v>43111</v>
      </c>
      <c r="B377">
        <v>30146</v>
      </c>
      <c r="C377">
        <v>72655</v>
      </c>
      <c r="D377">
        <v>32374</v>
      </c>
      <c r="E377">
        <v>12681</v>
      </c>
      <c r="F377">
        <v>108</v>
      </c>
      <c r="G377" t="s">
        <v>20</v>
      </c>
      <c r="H377" t="str">
        <f>IF(Grammys[[#This Row],[date]] &gt;= DATE(2022, 2, 1), "Grammys", "Grammys + TRA")</f>
        <v>Grammys + TRA</v>
      </c>
      <c r="I377">
        <f>_xlfn.XLOOKUP(Grammys[[#This Row],[date]], mobile_visits[date], mobile_visits[mobile_visitors], 0)</f>
        <v>0</v>
      </c>
      <c r="Q377" s="1">
        <v>44968</v>
      </c>
      <c r="R377">
        <v>99963</v>
      </c>
    </row>
    <row r="378" spans="1:18" x14ac:dyDescent="0.2">
      <c r="A378" s="1">
        <v>43112</v>
      </c>
      <c r="B378">
        <v>23929</v>
      </c>
      <c r="C378">
        <v>59126</v>
      </c>
      <c r="D378">
        <v>25910</v>
      </c>
      <c r="E378">
        <v>10561</v>
      </c>
      <c r="F378">
        <v>112</v>
      </c>
      <c r="G378" t="s">
        <v>20</v>
      </c>
      <c r="H378" t="str">
        <f>IF(Grammys[[#This Row],[date]] &gt;= DATE(2022, 2, 1), "Grammys", "Grammys + TRA")</f>
        <v>Grammys + TRA</v>
      </c>
      <c r="I378">
        <f>_xlfn.XLOOKUP(Grammys[[#This Row],[date]], mobile_visits[date], mobile_visits[mobile_visitors], 0)</f>
        <v>0</v>
      </c>
      <c r="Q378" s="1">
        <v>44969</v>
      </c>
      <c r="R378">
        <v>105474</v>
      </c>
    </row>
    <row r="379" spans="1:18" x14ac:dyDescent="0.2">
      <c r="A379" s="1">
        <v>43113</v>
      </c>
      <c r="B379">
        <v>22836</v>
      </c>
      <c r="C379">
        <v>56649</v>
      </c>
      <c r="D379">
        <v>24808</v>
      </c>
      <c r="E379">
        <v>9559</v>
      </c>
      <c r="F379">
        <v>107</v>
      </c>
      <c r="G379" t="s">
        <v>20</v>
      </c>
      <c r="H379" t="str">
        <f>IF(Grammys[[#This Row],[date]] &gt;= DATE(2022, 2, 1), "Grammys", "Grammys + TRA")</f>
        <v>Grammys + TRA</v>
      </c>
      <c r="I379">
        <f>_xlfn.XLOOKUP(Grammys[[#This Row],[date]], mobile_visits[date], mobile_visits[mobile_visitors], 0)</f>
        <v>0</v>
      </c>
      <c r="Q379" s="1">
        <v>44970</v>
      </c>
      <c r="R379">
        <v>58637</v>
      </c>
    </row>
    <row r="380" spans="1:18" x14ac:dyDescent="0.2">
      <c r="A380" s="1">
        <v>43114</v>
      </c>
      <c r="B380">
        <v>25011</v>
      </c>
      <c r="C380">
        <v>60700</v>
      </c>
      <c r="D380">
        <v>27087</v>
      </c>
      <c r="E380">
        <v>10776</v>
      </c>
      <c r="F380">
        <v>106</v>
      </c>
      <c r="G380" t="s">
        <v>20</v>
      </c>
      <c r="H380" t="str">
        <f>IF(Grammys[[#This Row],[date]] &gt;= DATE(2022, 2, 1), "Grammys", "Grammys + TRA")</f>
        <v>Grammys + TRA</v>
      </c>
      <c r="I380">
        <f>_xlfn.XLOOKUP(Grammys[[#This Row],[date]], mobile_visits[date], mobile_visits[mobile_visitors], 0)</f>
        <v>0</v>
      </c>
      <c r="Q380" s="1">
        <v>44971</v>
      </c>
      <c r="R380">
        <v>40385</v>
      </c>
    </row>
    <row r="381" spans="1:18" x14ac:dyDescent="0.2">
      <c r="A381" s="1">
        <v>43115</v>
      </c>
      <c r="B381">
        <v>23562</v>
      </c>
      <c r="C381">
        <v>58594</v>
      </c>
      <c r="D381">
        <v>25342</v>
      </c>
      <c r="E381">
        <v>9924</v>
      </c>
      <c r="F381">
        <v>114</v>
      </c>
      <c r="G381" t="s">
        <v>20</v>
      </c>
      <c r="H381" t="str">
        <f>IF(Grammys[[#This Row],[date]] &gt;= DATE(2022, 2, 1), "Grammys", "Grammys + TRA")</f>
        <v>Grammys + TRA</v>
      </c>
      <c r="I381">
        <f>_xlfn.XLOOKUP(Grammys[[#This Row],[date]], mobile_visits[date], mobile_visits[mobile_visitors], 0)</f>
        <v>0</v>
      </c>
      <c r="Q381" s="1">
        <v>44972</v>
      </c>
      <c r="R381">
        <v>33456</v>
      </c>
    </row>
    <row r="382" spans="1:18" x14ac:dyDescent="0.2">
      <c r="A382" s="1">
        <v>43116</v>
      </c>
      <c r="B382">
        <v>27240</v>
      </c>
      <c r="C382">
        <v>68125</v>
      </c>
      <c r="D382">
        <v>29215</v>
      </c>
      <c r="E382">
        <v>11394</v>
      </c>
      <c r="F382">
        <v>113</v>
      </c>
      <c r="G382" t="s">
        <v>20</v>
      </c>
      <c r="H382" t="str">
        <f>IF(Grammys[[#This Row],[date]] &gt;= DATE(2022, 2, 1), "Grammys", "Grammys + TRA")</f>
        <v>Grammys + TRA</v>
      </c>
      <c r="I382">
        <f>_xlfn.XLOOKUP(Grammys[[#This Row],[date]], mobile_visits[date], mobile_visits[mobile_visitors], 0)</f>
        <v>0</v>
      </c>
      <c r="Q382" s="1">
        <v>44973</v>
      </c>
      <c r="R382">
        <v>30511</v>
      </c>
    </row>
    <row r="383" spans="1:18" x14ac:dyDescent="0.2">
      <c r="A383" s="1">
        <v>43117</v>
      </c>
      <c r="B383">
        <v>34318</v>
      </c>
      <c r="C383">
        <v>94367</v>
      </c>
      <c r="D383">
        <v>38031</v>
      </c>
      <c r="E383">
        <v>13783</v>
      </c>
      <c r="F383">
        <v>118</v>
      </c>
      <c r="G383" t="s">
        <v>20</v>
      </c>
      <c r="H383" t="str">
        <f>IF(Grammys[[#This Row],[date]] &gt;= DATE(2022, 2, 1), "Grammys", "Grammys + TRA")</f>
        <v>Grammys + TRA</v>
      </c>
      <c r="I383">
        <f>_xlfn.XLOOKUP(Grammys[[#This Row],[date]], mobile_visits[date], mobile_visits[mobile_visitors], 0)</f>
        <v>0</v>
      </c>
      <c r="Q383" s="1">
        <v>44974</v>
      </c>
      <c r="R383">
        <v>30122</v>
      </c>
    </row>
    <row r="384" spans="1:18" x14ac:dyDescent="0.2">
      <c r="A384" s="1">
        <v>43118</v>
      </c>
      <c r="B384">
        <v>28746</v>
      </c>
      <c r="C384">
        <v>71147</v>
      </c>
      <c r="D384">
        <v>31083</v>
      </c>
      <c r="E384">
        <v>12396</v>
      </c>
      <c r="F384">
        <v>114</v>
      </c>
      <c r="G384" t="s">
        <v>20</v>
      </c>
      <c r="H384" t="str">
        <f>IF(Grammys[[#This Row],[date]] &gt;= DATE(2022, 2, 1), "Grammys", "Grammys + TRA")</f>
        <v>Grammys + TRA</v>
      </c>
      <c r="I384">
        <f>_xlfn.XLOOKUP(Grammys[[#This Row],[date]], mobile_visits[date], mobile_visits[mobile_visitors], 0)</f>
        <v>0</v>
      </c>
      <c r="Q384" s="1">
        <v>44975</v>
      </c>
      <c r="R384">
        <v>29749</v>
      </c>
    </row>
    <row r="385" spans="1:18" x14ac:dyDescent="0.2">
      <c r="A385" s="1">
        <v>43119</v>
      </c>
      <c r="B385">
        <v>27819</v>
      </c>
      <c r="C385">
        <v>68975</v>
      </c>
      <c r="D385">
        <v>29878</v>
      </c>
      <c r="E385">
        <v>11790</v>
      </c>
      <c r="F385">
        <v>112</v>
      </c>
      <c r="G385" t="s">
        <v>20</v>
      </c>
      <c r="H385" t="str">
        <f>IF(Grammys[[#This Row],[date]] &gt;= DATE(2022, 2, 1), "Grammys", "Grammys + TRA")</f>
        <v>Grammys + TRA</v>
      </c>
      <c r="I385">
        <f>_xlfn.XLOOKUP(Grammys[[#This Row],[date]], mobile_visits[date], mobile_visits[mobile_visitors], 0)</f>
        <v>0</v>
      </c>
      <c r="Q385" s="1">
        <v>44976</v>
      </c>
      <c r="R385">
        <v>27219</v>
      </c>
    </row>
    <row r="386" spans="1:18" x14ac:dyDescent="0.2">
      <c r="A386" s="1">
        <v>43120</v>
      </c>
      <c r="B386">
        <v>27820</v>
      </c>
      <c r="C386">
        <v>68689</v>
      </c>
      <c r="D386">
        <v>30472</v>
      </c>
      <c r="E386">
        <v>12003</v>
      </c>
      <c r="F386">
        <v>106</v>
      </c>
      <c r="G386" t="s">
        <v>20</v>
      </c>
      <c r="H386" t="str">
        <f>IF(Grammys[[#This Row],[date]] &gt;= DATE(2022, 2, 1), "Grammys", "Grammys + TRA")</f>
        <v>Grammys + TRA</v>
      </c>
      <c r="I386">
        <f>_xlfn.XLOOKUP(Grammys[[#This Row],[date]], mobile_visits[date], mobile_visits[mobile_visitors], 0)</f>
        <v>0</v>
      </c>
      <c r="Q386" s="1">
        <v>44977</v>
      </c>
      <c r="R386">
        <v>21944</v>
      </c>
    </row>
    <row r="387" spans="1:18" x14ac:dyDescent="0.2">
      <c r="A387" s="1">
        <v>43121</v>
      </c>
      <c r="B387">
        <v>43352</v>
      </c>
      <c r="C387">
        <v>105697</v>
      </c>
      <c r="D387">
        <v>46839</v>
      </c>
      <c r="E387">
        <v>18464</v>
      </c>
      <c r="F387">
        <v>108</v>
      </c>
      <c r="G387" t="s">
        <v>20</v>
      </c>
      <c r="H387" t="str">
        <f>IF(Grammys[[#This Row],[date]] &gt;= DATE(2022, 2, 1), "Grammys", "Grammys + TRA")</f>
        <v>Grammys + TRA</v>
      </c>
      <c r="I387">
        <f>_xlfn.XLOOKUP(Grammys[[#This Row],[date]], mobile_visits[date], mobile_visits[mobile_visitors], 0)</f>
        <v>0</v>
      </c>
      <c r="Q387" s="1">
        <v>44978</v>
      </c>
      <c r="R387">
        <v>19161</v>
      </c>
    </row>
    <row r="388" spans="1:18" x14ac:dyDescent="0.2">
      <c r="A388" s="1">
        <v>43122</v>
      </c>
      <c r="B388">
        <v>49380</v>
      </c>
      <c r="C388">
        <v>120459</v>
      </c>
      <c r="D388">
        <v>53238</v>
      </c>
      <c r="E388">
        <v>22621</v>
      </c>
      <c r="F388">
        <v>108</v>
      </c>
      <c r="G388" t="s">
        <v>20</v>
      </c>
      <c r="H388" t="str">
        <f>IF(Grammys[[#This Row],[date]] &gt;= DATE(2022, 2, 1), "Grammys", "Grammys + TRA")</f>
        <v>Grammys + TRA</v>
      </c>
      <c r="I388">
        <f>_xlfn.XLOOKUP(Grammys[[#This Row],[date]], mobile_visits[date], mobile_visits[mobile_visitors], 0)</f>
        <v>0</v>
      </c>
      <c r="Q388" s="1">
        <v>44979</v>
      </c>
      <c r="R388">
        <v>17351</v>
      </c>
    </row>
    <row r="389" spans="1:18" x14ac:dyDescent="0.2">
      <c r="A389" s="1">
        <v>43123</v>
      </c>
      <c r="B389">
        <v>68206</v>
      </c>
      <c r="C389">
        <v>166205</v>
      </c>
      <c r="D389">
        <v>74059</v>
      </c>
      <c r="E389">
        <v>29906</v>
      </c>
      <c r="F389">
        <v>108</v>
      </c>
      <c r="G389" t="s">
        <v>20</v>
      </c>
      <c r="H389" t="str">
        <f>IF(Grammys[[#This Row],[date]] &gt;= DATE(2022, 2, 1), "Grammys", "Grammys + TRA")</f>
        <v>Grammys + TRA</v>
      </c>
      <c r="I389">
        <f>_xlfn.XLOOKUP(Grammys[[#This Row],[date]], mobile_visits[date], mobile_visits[mobile_visitors], 0)</f>
        <v>0</v>
      </c>
      <c r="Q389" s="1">
        <v>44980</v>
      </c>
      <c r="R389">
        <v>17987</v>
      </c>
    </row>
    <row r="390" spans="1:18" x14ac:dyDescent="0.2">
      <c r="A390" s="1">
        <v>43124</v>
      </c>
      <c r="B390">
        <v>68203</v>
      </c>
      <c r="C390">
        <v>125934</v>
      </c>
      <c r="D390">
        <v>74786</v>
      </c>
      <c r="E390">
        <v>36563</v>
      </c>
      <c r="F390">
        <v>98</v>
      </c>
      <c r="G390" t="s">
        <v>20</v>
      </c>
      <c r="H390" t="str">
        <f>IF(Grammys[[#This Row],[date]] &gt;= DATE(2022, 2, 1), "Grammys", "Grammys + TRA")</f>
        <v>Grammys + TRA</v>
      </c>
      <c r="I390">
        <f>_xlfn.XLOOKUP(Grammys[[#This Row],[date]], mobile_visits[date], mobile_visits[mobile_visitors], 0)</f>
        <v>0</v>
      </c>
      <c r="Q390" s="1">
        <v>44981</v>
      </c>
      <c r="R390">
        <v>18504</v>
      </c>
    </row>
    <row r="391" spans="1:18" x14ac:dyDescent="0.2">
      <c r="A391" s="1">
        <v>43125</v>
      </c>
      <c r="B391">
        <v>108074</v>
      </c>
      <c r="C391">
        <v>188772</v>
      </c>
      <c r="D391">
        <v>113915</v>
      </c>
      <c r="E391">
        <v>59589</v>
      </c>
      <c r="F391">
        <v>91</v>
      </c>
      <c r="G391" t="s">
        <v>20</v>
      </c>
      <c r="H391" t="str">
        <f>IF(Grammys[[#This Row],[date]] &gt;= DATE(2022, 2, 1), "Grammys", "Grammys + TRA")</f>
        <v>Grammys + TRA</v>
      </c>
      <c r="I391">
        <f>_xlfn.XLOOKUP(Grammys[[#This Row],[date]], mobile_visits[date], mobile_visits[mobile_visitors], 0)</f>
        <v>0</v>
      </c>
      <c r="Q391" s="1">
        <v>44982</v>
      </c>
      <c r="R391">
        <v>19528</v>
      </c>
    </row>
    <row r="392" spans="1:18" x14ac:dyDescent="0.2">
      <c r="A392" s="1">
        <v>43126</v>
      </c>
      <c r="B392">
        <v>148597</v>
      </c>
      <c r="C392">
        <v>263485</v>
      </c>
      <c r="D392">
        <v>162553</v>
      </c>
      <c r="E392">
        <v>83520</v>
      </c>
      <c r="F392">
        <v>90</v>
      </c>
      <c r="G392" t="s">
        <v>20</v>
      </c>
      <c r="H392" t="str">
        <f>IF(Grammys[[#This Row],[date]] &gt;= DATE(2022, 2, 1), "Grammys", "Grammys + TRA")</f>
        <v>Grammys + TRA</v>
      </c>
      <c r="I392">
        <f>_xlfn.XLOOKUP(Grammys[[#This Row],[date]], mobile_visits[date], mobile_visits[mobile_visitors], 0)</f>
        <v>0</v>
      </c>
      <c r="Q392" s="1">
        <v>44983</v>
      </c>
      <c r="R392">
        <v>16500</v>
      </c>
    </row>
    <row r="393" spans="1:18" x14ac:dyDescent="0.2">
      <c r="A393" s="1">
        <v>43127</v>
      </c>
      <c r="B393">
        <v>218441</v>
      </c>
      <c r="C393">
        <v>400447</v>
      </c>
      <c r="D393">
        <v>239369</v>
      </c>
      <c r="E393">
        <v>115879</v>
      </c>
      <c r="F393">
        <v>93</v>
      </c>
      <c r="G393" t="s">
        <v>21</v>
      </c>
      <c r="H393" t="str">
        <f>IF(Grammys[[#This Row],[date]] &gt;= DATE(2022, 2, 1), "Grammys", "Grammys + TRA")</f>
        <v>Grammys + TRA</v>
      </c>
      <c r="I393">
        <f>_xlfn.XLOOKUP(Grammys[[#This Row],[date]], mobile_visits[date], mobile_visits[mobile_visitors], 0)</f>
        <v>0</v>
      </c>
      <c r="Q393" s="1">
        <v>44984</v>
      </c>
      <c r="R393">
        <v>13909</v>
      </c>
    </row>
    <row r="394" spans="1:18" x14ac:dyDescent="0.2">
      <c r="A394" s="1">
        <v>43128</v>
      </c>
      <c r="B394">
        <v>1609729</v>
      </c>
      <c r="C394">
        <v>5446407</v>
      </c>
      <c r="D394">
        <v>1934941</v>
      </c>
      <c r="E394">
        <v>612022</v>
      </c>
      <c r="F394">
        <v>221</v>
      </c>
      <c r="G394" t="s">
        <v>20</v>
      </c>
      <c r="H394" t="str">
        <f>IF(Grammys[[#This Row],[date]] &gt;= DATE(2022, 2, 1), "Grammys", "Grammys + TRA")</f>
        <v>Grammys + TRA</v>
      </c>
      <c r="I394">
        <f>_xlfn.XLOOKUP(Grammys[[#This Row],[date]], mobile_visits[date], mobile_visits[mobile_visitors], 0)</f>
        <v>0</v>
      </c>
      <c r="Q394" s="1">
        <v>44985</v>
      </c>
      <c r="R394">
        <v>13000</v>
      </c>
    </row>
    <row r="395" spans="1:18" x14ac:dyDescent="0.2">
      <c r="A395" s="1">
        <v>43129</v>
      </c>
      <c r="B395">
        <v>727530</v>
      </c>
      <c r="C395">
        <v>1841975</v>
      </c>
      <c r="D395">
        <v>810777</v>
      </c>
      <c r="E395">
        <v>314663</v>
      </c>
      <c r="F395">
        <v>152</v>
      </c>
      <c r="G395" t="s">
        <v>20</v>
      </c>
      <c r="H395" t="str">
        <f>IF(Grammys[[#This Row],[date]] &gt;= DATE(2022, 2, 1), "Grammys", "Grammys + TRA")</f>
        <v>Grammys + TRA</v>
      </c>
      <c r="I395">
        <f>_xlfn.XLOOKUP(Grammys[[#This Row],[date]], mobile_visits[date], mobile_visits[mobile_visitors], 0)</f>
        <v>0</v>
      </c>
      <c r="Q395" s="1">
        <v>44986</v>
      </c>
      <c r="R395">
        <v>13525</v>
      </c>
    </row>
    <row r="396" spans="1:18" x14ac:dyDescent="0.2">
      <c r="A396" s="1">
        <v>43130</v>
      </c>
      <c r="B396">
        <v>192235</v>
      </c>
      <c r="C396">
        <v>454551</v>
      </c>
      <c r="D396">
        <v>210881</v>
      </c>
      <c r="E396">
        <v>88760</v>
      </c>
      <c r="F396">
        <v>152</v>
      </c>
      <c r="G396" t="s">
        <v>20</v>
      </c>
      <c r="H396" t="str">
        <f>IF(Grammys[[#This Row],[date]] &gt;= DATE(2022, 2, 1), "Grammys", "Grammys + TRA")</f>
        <v>Grammys + TRA</v>
      </c>
      <c r="I396">
        <f>_xlfn.XLOOKUP(Grammys[[#This Row],[date]], mobile_visits[date], mobile_visits[mobile_visitors], 0)</f>
        <v>0</v>
      </c>
      <c r="Q396" s="1">
        <v>44987</v>
      </c>
      <c r="R396">
        <v>13476</v>
      </c>
    </row>
    <row r="397" spans="1:18" x14ac:dyDescent="0.2">
      <c r="A397" s="1">
        <v>43131</v>
      </c>
      <c r="B397">
        <v>97311</v>
      </c>
      <c r="C397">
        <v>221899</v>
      </c>
      <c r="D397">
        <v>105589</v>
      </c>
      <c r="E397">
        <v>46090</v>
      </c>
      <c r="F397">
        <v>150</v>
      </c>
      <c r="G397" t="s">
        <v>20</v>
      </c>
      <c r="H397" t="str">
        <f>IF(Grammys[[#This Row],[date]] &gt;= DATE(2022, 2, 1), "Grammys", "Grammys + TRA")</f>
        <v>Grammys + TRA</v>
      </c>
      <c r="I397">
        <f>_xlfn.XLOOKUP(Grammys[[#This Row],[date]], mobile_visits[date], mobile_visits[mobile_visitors], 0)</f>
        <v>0</v>
      </c>
      <c r="Q397" s="1">
        <v>44988</v>
      </c>
      <c r="R397">
        <v>14381</v>
      </c>
    </row>
    <row r="398" spans="1:18" x14ac:dyDescent="0.2">
      <c r="A398" s="1">
        <v>43132</v>
      </c>
      <c r="B398">
        <v>71273</v>
      </c>
      <c r="C398">
        <v>154508</v>
      </c>
      <c r="D398">
        <v>76868</v>
      </c>
      <c r="E398">
        <v>35098</v>
      </c>
      <c r="F398">
        <v>137</v>
      </c>
      <c r="G398" t="s">
        <v>20</v>
      </c>
      <c r="H398" t="str">
        <f>IF(Grammys[[#This Row],[date]] &gt;= DATE(2022, 2, 1), "Grammys", "Grammys + TRA")</f>
        <v>Grammys + TRA</v>
      </c>
      <c r="I398">
        <f>_xlfn.XLOOKUP(Grammys[[#This Row],[date]], mobile_visits[date], mobile_visits[mobile_visitors], 0)</f>
        <v>0</v>
      </c>
      <c r="Q398" s="1">
        <v>44989</v>
      </c>
      <c r="R398">
        <v>13706</v>
      </c>
    </row>
    <row r="399" spans="1:18" x14ac:dyDescent="0.2">
      <c r="A399" s="1">
        <v>43133</v>
      </c>
      <c r="B399">
        <v>57626</v>
      </c>
      <c r="C399">
        <v>121012</v>
      </c>
      <c r="D399">
        <v>62334</v>
      </c>
      <c r="E399">
        <v>29541</v>
      </c>
      <c r="F399">
        <v>129</v>
      </c>
      <c r="G399" t="s">
        <v>20</v>
      </c>
      <c r="H399" t="str">
        <f>IF(Grammys[[#This Row],[date]] &gt;= DATE(2022, 2, 1), "Grammys", "Grammys + TRA")</f>
        <v>Grammys + TRA</v>
      </c>
      <c r="I399">
        <f>_xlfn.XLOOKUP(Grammys[[#This Row],[date]], mobile_visits[date], mobile_visits[mobile_visitors], 0)</f>
        <v>0</v>
      </c>
      <c r="Q399" s="1">
        <v>44990</v>
      </c>
      <c r="R399">
        <v>14903</v>
      </c>
    </row>
    <row r="400" spans="1:18" x14ac:dyDescent="0.2">
      <c r="A400" s="1">
        <v>43134</v>
      </c>
      <c r="B400">
        <v>49644</v>
      </c>
      <c r="C400">
        <v>102467</v>
      </c>
      <c r="D400">
        <v>53676</v>
      </c>
      <c r="E400">
        <v>25921</v>
      </c>
      <c r="F400">
        <v>132</v>
      </c>
      <c r="G400" t="s">
        <v>20</v>
      </c>
      <c r="H400" t="str">
        <f>IF(Grammys[[#This Row],[date]] &gt;= DATE(2022, 2, 1), "Grammys", "Grammys + TRA")</f>
        <v>Grammys + TRA</v>
      </c>
      <c r="I400">
        <f>_xlfn.XLOOKUP(Grammys[[#This Row],[date]], mobile_visits[date], mobile_visits[mobile_visitors], 0)</f>
        <v>0</v>
      </c>
      <c r="Q400" s="1">
        <v>44991</v>
      </c>
      <c r="R400">
        <v>11923</v>
      </c>
    </row>
    <row r="401" spans="1:18" x14ac:dyDescent="0.2">
      <c r="A401" s="1">
        <v>43135</v>
      </c>
      <c r="B401">
        <v>42646</v>
      </c>
      <c r="C401">
        <v>83790</v>
      </c>
      <c r="D401">
        <v>46103</v>
      </c>
      <c r="E401">
        <v>22683</v>
      </c>
      <c r="F401">
        <v>123</v>
      </c>
      <c r="G401" t="s">
        <v>20</v>
      </c>
      <c r="H401" t="str">
        <f>IF(Grammys[[#This Row],[date]] &gt;= DATE(2022, 2, 1), "Grammys", "Grammys + TRA")</f>
        <v>Grammys + TRA</v>
      </c>
      <c r="I401">
        <f>_xlfn.XLOOKUP(Grammys[[#This Row],[date]], mobile_visits[date], mobile_visits[mobile_visitors], 0)</f>
        <v>0</v>
      </c>
      <c r="Q401" s="1">
        <v>44992</v>
      </c>
      <c r="R401">
        <v>11724</v>
      </c>
    </row>
    <row r="402" spans="1:18" x14ac:dyDescent="0.2">
      <c r="A402" s="1">
        <v>43136</v>
      </c>
      <c r="B402">
        <v>33561</v>
      </c>
      <c r="C402">
        <v>65429</v>
      </c>
      <c r="D402">
        <v>35648</v>
      </c>
      <c r="E402">
        <v>18074</v>
      </c>
      <c r="F402">
        <v>127</v>
      </c>
      <c r="G402" t="s">
        <v>20</v>
      </c>
      <c r="H402" t="str">
        <f>IF(Grammys[[#This Row],[date]] &gt;= DATE(2022, 2, 1), "Grammys", "Grammys + TRA")</f>
        <v>Grammys + TRA</v>
      </c>
      <c r="I402">
        <f>_xlfn.XLOOKUP(Grammys[[#This Row],[date]], mobile_visits[date], mobile_visits[mobile_visitors], 0)</f>
        <v>0</v>
      </c>
      <c r="Q402" s="1">
        <v>44993</v>
      </c>
      <c r="R402">
        <v>12007</v>
      </c>
    </row>
    <row r="403" spans="1:18" x14ac:dyDescent="0.2">
      <c r="A403" s="1">
        <v>43137</v>
      </c>
      <c r="B403">
        <v>29671</v>
      </c>
      <c r="C403">
        <v>58188</v>
      </c>
      <c r="D403">
        <v>31942</v>
      </c>
      <c r="E403">
        <v>16112</v>
      </c>
      <c r="F403">
        <v>128</v>
      </c>
      <c r="G403" t="s">
        <v>20</v>
      </c>
      <c r="H403" t="str">
        <f>IF(Grammys[[#This Row],[date]] &gt;= DATE(2022, 2, 1), "Grammys", "Grammys + TRA")</f>
        <v>Grammys + TRA</v>
      </c>
      <c r="I403">
        <f>_xlfn.XLOOKUP(Grammys[[#This Row],[date]], mobile_visits[date], mobile_visits[mobile_visitors], 0)</f>
        <v>0</v>
      </c>
      <c r="Q403" s="1">
        <v>44994</v>
      </c>
      <c r="R403">
        <v>9995</v>
      </c>
    </row>
    <row r="404" spans="1:18" x14ac:dyDescent="0.2">
      <c r="A404" s="1">
        <v>43138</v>
      </c>
      <c r="B404">
        <v>26192</v>
      </c>
      <c r="C404">
        <v>51669</v>
      </c>
      <c r="D404">
        <v>28333</v>
      </c>
      <c r="E404">
        <v>14456</v>
      </c>
      <c r="F404">
        <v>127</v>
      </c>
      <c r="G404" t="s">
        <v>20</v>
      </c>
      <c r="H404" t="str">
        <f>IF(Grammys[[#This Row],[date]] &gt;= DATE(2022, 2, 1), "Grammys", "Grammys + TRA")</f>
        <v>Grammys + TRA</v>
      </c>
      <c r="I404">
        <f>_xlfn.XLOOKUP(Grammys[[#This Row],[date]], mobile_visits[date], mobile_visits[mobile_visitors], 0)</f>
        <v>0</v>
      </c>
      <c r="Q404" s="1">
        <v>44995</v>
      </c>
      <c r="R404">
        <v>13750</v>
      </c>
    </row>
    <row r="405" spans="1:18" x14ac:dyDescent="0.2">
      <c r="A405" s="1">
        <v>43139</v>
      </c>
      <c r="B405">
        <v>24574</v>
      </c>
      <c r="C405">
        <v>45856</v>
      </c>
      <c r="D405">
        <v>26199</v>
      </c>
      <c r="E405">
        <v>13446</v>
      </c>
      <c r="F405">
        <v>120</v>
      </c>
      <c r="G405" t="s">
        <v>20</v>
      </c>
      <c r="H405" t="str">
        <f>IF(Grammys[[#This Row],[date]] &gt;= DATE(2022, 2, 1), "Grammys", "Grammys + TRA")</f>
        <v>Grammys + TRA</v>
      </c>
      <c r="I405">
        <f>_xlfn.XLOOKUP(Grammys[[#This Row],[date]], mobile_visits[date], mobile_visits[mobile_visitors], 0)</f>
        <v>0</v>
      </c>
      <c r="Q405" s="1">
        <v>44996</v>
      </c>
      <c r="R405">
        <v>14707</v>
      </c>
    </row>
    <row r="406" spans="1:18" x14ac:dyDescent="0.2">
      <c r="A406" s="1">
        <v>43140</v>
      </c>
      <c r="B406">
        <v>22637</v>
      </c>
      <c r="C406">
        <v>41945</v>
      </c>
      <c r="D406">
        <v>24302</v>
      </c>
      <c r="E406">
        <v>12569</v>
      </c>
      <c r="F406">
        <v>114</v>
      </c>
      <c r="G406" t="s">
        <v>20</v>
      </c>
      <c r="H406" t="str">
        <f>IF(Grammys[[#This Row],[date]] &gt;= DATE(2022, 2, 1), "Grammys", "Grammys + TRA")</f>
        <v>Grammys + TRA</v>
      </c>
      <c r="I406">
        <f>_xlfn.XLOOKUP(Grammys[[#This Row],[date]], mobile_visits[date], mobile_visits[mobile_visitors], 0)</f>
        <v>0</v>
      </c>
      <c r="Q406" s="1">
        <v>44997</v>
      </c>
      <c r="R406">
        <v>30240</v>
      </c>
    </row>
    <row r="407" spans="1:18" x14ac:dyDescent="0.2">
      <c r="A407" s="1">
        <v>43141</v>
      </c>
      <c r="B407">
        <v>20196</v>
      </c>
      <c r="C407">
        <v>37309</v>
      </c>
      <c r="D407">
        <v>21866</v>
      </c>
      <c r="E407">
        <v>11554</v>
      </c>
      <c r="F407">
        <v>113</v>
      </c>
      <c r="G407" t="s">
        <v>20</v>
      </c>
      <c r="H407" t="str">
        <f>IF(Grammys[[#This Row],[date]] &gt;= DATE(2022, 2, 1), "Grammys", "Grammys + TRA")</f>
        <v>Grammys + TRA</v>
      </c>
      <c r="I407">
        <f>_xlfn.XLOOKUP(Grammys[[#This Row],[date]], mobile_visits[date], mobile_visits[mobile_visitors], 0)</f>
        <v>0</v>
      </c>
      <c r="Q407" s="1">
        <v>44998</v>
      </c>
      <c r="R407">
        <v>27142</v>
      </c>
    </row>
    <row r="408" spans="1:18" x14ac:dyDescent="0.2">
      <c r="A408" s="1">
        <v>43142</v>
      </c>
      <c r="B408">
        <v>20338</v>
      </c>
      <c r="C408">
        <v>37770</v>
      </c>
      <c r="D408">
        <v>21661</v>
      </c>
      <c r="E408">
        <v>11446</v>
      </c>
      <c r="F408">
        <v>110</v>
      </c>
      <c r="G408" t="s">
        <v>20</v>
      </c>
      <c r="H408" t="str">
        <f>IF(Grammys[[#This Row],[date]] &gt;= DATE(2022, 2, 1), "Grammys", "Grammys + TRA")</f>
        <v>Grammys + TRA</v>
      </c>
      <c r="I408">
        <f>_xlfn.XLOOKUP(Grammys[[#This Row],[date]], mobile_visits[date], mobile_visits[mobile_visitors], 0)</f>
        <v>0</v>
      </c>
      <c r="Q408" s="1">
        <v>44999</v>
      </c>
      <c r="R408">
        <v>14831</v>
      </c>
    </row>
    <row r="409" spans="1:18" x14ac:dyDescent="0.2">
      <c r="A409" s="1">
        <v>43143</v>
      </c>
      <c r="B409">
        <v>18409</v>
      </c>
      <c r="C409">
        <v>32714</v>
      </c>
      <c r="D409">
        <v>19975</v>
      </c>
      <c r="E409">
        <v>10999</v>
      </c>
      <c r="F409">
        <v>103</v>
      </c>
      <c r="G409" t="s">
        <v>20</v>
      </c>
      <c r="H409" t="str">
        <f>IF(Grammys[[#This Row],[date]] &gt;= DATE(2022, 2, 1), "Grammys", "Grammys + TRA")</f>
        <v>Grammys + TRA</v>
      </c>
      <c r="I409">
        <f>_xlfn.XLOOKUP(Grammys[[#This Row],[date]], mobile_visits[date], mobile_visits[mobile_visitors], 0)</f>
        <v>0</v>
      </c>
      <c r="Q409" s="1">
        <v>45000</v>
      </c>
      <c r="R409">
        <v>11827</v>
      </c>
    </row>
    <row r="410" spans="1:18" x14ac:dyDescent="0.2">
      <c r="A410" s="1">
        <v>43144</v>
      </c>
      <c r="B410">
        <v>19598</v>
      </c>
      <c r="C410">
        <v>31984</v>
      </c>
      <c r="D410">
        <v>20994</v>
      </c>
      <c r="E410">
        <v>11577</v>
      </c>
      <c r="F410">
        <v>99</v>
      </c>
      <c r="G410" t="s">
        <v>20</v>
      </c>
      <c r="H410" t="str">
        <f>IF(Grammys[[#This Row],[date]] &gt;= DATE(2022, 2, 1), "Grammys", "Grammys + TRA")</f>
        <v>Grammys + TRA</v>
      </c>
      <c r="I410">
        <f>_xlfn.XLOOKUP(Grammys[[#This Row],[date]], mobile_visits[date], mobile_visits[mobile_visitors], 0)</f>
        <v>0</v>
      </c>
      <c r="Q410" s="1">
        <v>45001</v>
      </c>
      <c r="R410">
        <v>12088</v>
      </c>
    </row>
    <row r="411" spans="1:18" x14ac:dyDescent="0.2">
      <c r="A411" s="1">
        <v>43145</v>
      </c>
      <c r="B411">
        <v>18250</v>
      </c>
      <c r="C411">
        <v>28243</v>
      </c>
      <c r="D411">
        <v>19391</v>
      </c>
      <c r="E411">
        <v>11104</v>
      </c>
      <c r="F411">
        <v>87</v>
      </c>
      <c r="G411" t="s">
        <v>20</v>
      </c>
      <c r="H411" t="str">
        <f>IF(Grammys[[#This Row],[date]] &gt;= DATE(2022, 2, 1), "Grammys", "Grammys + TRA")</f>
        <v>Grammys + TRA</v>
      </c>
      <c r="I411">
        <f>_xlfn.XLOOKUP(Grammys[[#This Row],[date]], mobile_visits[date], mobile_visits[mobile_visitors], 0)</f>
        <v>0</v>
      </c>
      <c r="Q411" s="1">
        <v>45002</v>
      </c>
      <c r="R411">
        <v>12260</v>
      </c>
    </row>
    <row r="412" spans="1:18" x14ac:dyDescent="0.2">
      <c r="A412" s="1">
        <v>43146</v>
      </c>
      <c r="B412">
        <v>16454</v>
      </c>
      <c r="C412">
        <v>26273</v>
      </c>
      <c r="D412">
        <v>17483</v>
      </c>
      <c r="E412">
        <v>10062</v>
      </c>
      <c r="F412">
        <v>89</v>
      </c>
      <c r="G412" t="s">
        <v>20</v>
      </c>
      <c r="H412" t="str">
        <f>IF(Grammys[[#This Row],[date]] &gt;= DATE(2022, 2, 1), "Grammys", "Grammys + TRA")</f>
        <v>Grammys + TRA</v>
      </c>
      <c r="I412">
        <f>_xlfn.XLOOKUP(Grammys[[#This Row],[date]], mobile_visits[date], mobile_visits[mobile_visitors], 0)</f>
        <v>0</v>
      </c>
      <c r="Q412" s="1">
        <v>45003</v>
      </c>
      <c r="R412">
        <v>21774</v>
      </c>
    </row>
    <row r="413" spans="1:18" x14ac:dyDescent="0.2">
      <c r="A413" s="1">
        <v>43147</v>
      </c>
      <c r="B413">
        <v>15437</v>
      </c>
      <c r="C413">
        <v>24523</v>
      </c>
      <c r="D413">
        <v>16367</v>
      </c>
      <c r="E413">
        <v>9639</v>
      </c>
      <c r="F413">
        <v>85</v>
      </c>
      <c r="G413" t="s">
        <v>20</v>
      </c>
      <c r="H413" t="str">
        <f>IF(Grammys[[#This Row],[date]] &gt;= DATE(2022, 2, 1), "Grammys", "Grammys + TRA")</f>
        <v>Grammys + TRA</v>
      </c>
      <c r="I413">
        <f>_xlfn.XLOOKUP(Grammys[[#This Row],[date]], mobile_visits[date], mobile_visits[mobile_visitors], 0)</f>
        <v>0</v>
      </c>
      <c r="Q413" s="1">
        <v>45004</v>
      </c>
      <c r="R413">
        <v>15335</v>
      </c>
    </row>
    <row r="414" spans="1:18" x14ac:dyDescent="0.2">
      <c r="A414" s="1">
        <v>43148</v>
      </c>
      <c r="B414">
        <v>14342</v>
      </c>
      <c r="C414">
        <v>22603</v>
      </c>
      <c r="D414">
        <v>15224</v>
      </c>
      <c r="E414">
        <v>8925</v>
      </c>
      <c r="F414">
        <v>81</v>
      </c>
      <c r="G414" t="s">
        <v>20</v>
      </c>
      <c r="H414" t="str">
        <f>IF(Grammys[[#This Row],[date]] &gt;= DATE(2022, 2, 1), "Grammys", "Grammys + TRA")</f>
        <v>Grammys + TRA</v>
      </c>
      <c r="I414">
        <f>_xlfn.XLOOKUP(Grammys[[#This Row],[date]], mobile_visits[date], mobile_visits[mobile_visitors], 0)</f>
        <v>0</v>
      </c>
      <c r="Q414" s="1">
        <v>45005</v>
      </c>
      <c r="R414">
        <v>13784</v>
      </c>
    </row>
    <row r="415" spans="1:18" x14ac:dyDescent="0.2">
      <c r="A415" s="1">
        <v>43149</v>
      </c>
      <c r="B415">
        <v>13962</v>
      </c>
      <c r="C415">
        <v>22198</v>
      </c>
      <c r="D415">
        <v>14881</v>
      </c>
      <c r="E415">
        <v>8923</v>
      </c>
      <c r="F415">
        <v>81</v>
      </c>
      <c r="G415" t="s">
        <v>20</v>
      </c>
      <c r="H415" t="str">
        <f>IF(Grammys[[#This Row],[date]] &gt;= DATE(2022, 2, 1), "Grammys", "Grammys + TRA")</f>
        <v>Grammys + TRA</v>
      </c>
      <c r="I415">
        <f>_xlfn.XLOOKUP(Grammys[[#This Row],[date]], mobile_visits[date], mobile_visits[mobile_visitors], 0)</f>
        <v>0</v>
      </c>
      <c r="Q415" s="1">
        <v>45006</v>
      </c>
      <c r="R415">
        <v>11060</v>
      </c>
    </row>
    <row r="416" spans="1:18" x14ac:dyDescent="0.2">
      <c r="A416" s="1">
        <v>43150</v>
      </c>
      <c r="B416">
        <v>14807</v>
      </c>
      <c r="C416">
        <v>23125</v>
      </c>
      <c r="D416">
        <v>15714</v>
      </c>
      <c r="E416">
        <v>9831</v>
      </c>
      <c r="F416">
        <v>78</v>
      </c>
      <c r="G416" t="s">
        <v>20</v>
      </c>
      <c r="H416" t="str">
        <f>IF(Grammys[[#This Row],[date]] &gt;= DATE(2022, 2, 1), "Grammys", "Grammys + TRA")</f>
        <v>Grammys + TRA</v>
      </c>
      <c r="I416">
        <f>_xlfn.XLOOKUP(Grammys[[#This Row],[date]], mobile_visits[date], mobile_visits[mobile_visitors], 0)</f>
        <v>0</v>
      </c>
      <c r="Q416" s="1">
        <v>45007</v>
      </c>
      <c r="R416">
        <v>10638</v>
      </c>
    </row>
    <row r="417" spans="1:18" x14ac:dyDescent="0.2">
      <c r="A417" s="1">
        <v>43151</v>
      </c>
      <c r="B417">
        <v>14557</v>
      </c>
      <c r="C417">
        <v>22345</v>
      </c>
      <c r="D417">
        <v>15249</v>
      </c>
      <c r="E417">
        <v>9098</v>
      </c>
      <c r="F417">
        <v>81</v>
      </c>
      <c r="G417" t="s">
        <v>20</v>
      </c>
      <c r="H417" t="str">
        <f>IF(Grammys[[#This Row],[date]] &gt;= DATE(2022, 2, 1), "Grammys", "Grammys + TRA")</f>
        <v>Grammys + TRA</v>
      </c>
      <c r="I417">
        <f>_xlfn.XLOOKUP(Grammys[[#This Row],[date]], mobile_visits[date], mobile_visits[mobile_visitors], 0)</f>
        <v>0</v>
      </c>
      <c r="Q417" s="1">
        <v>45008</v>
      </c>
      <c r="R417">
        <v>9839</v>
      </c>
    </row>
    <row r="418" spans="1:18" x14ac:dyDescent="0.2">
      <c r="A418" s="1">
        <v>43152</v>
      </c>
      <c r="B418">
        <v>15137</v>
      </c>
      <c r="C418">
        <v>24313</v>
      </c>
      <c r="D418">
        <v>16096</v>
      </c>
      <c r="E418">
        <v>9478</v>
      </c>
      <c r="F418">
        <v>89</v>
      </c>
      <c r="G418" t="s">
        <v>20</v>
      </c>
      <c r="H418" t="str">
        <f>IF(Grammys[[#This Row],[date]] &gt;= DATE(2022, 2, 1), "Grammys", "Grammys + TRA")</f>
        <v>Grammys + TRA</v>
      </c>
      <c r="I418">
        <f>_xlfn.XLOOKUP(Grammys[[#This Row],[date]], mobile_visits[date], mobile_visits[mobile_visitors], 0)</f>
        <v>0</v>
      </c>
      <c r="Q418" s="1">
        <v>45009</v>
      </c>
      <c r="R418">
        <v>14981</v>
      </c>
    </row>
    <row r="419" spans="1:18" x14ac:dyDescent="0.2">
      <c r="A419" s="1">
        <v>43153</v>
      </c>
      <c r="B419">
        <v>18111</v>
      </c>
      <c r="C419">
        <v>27823</v>
      </c>
      <c r="D419">
        <v>19264</v>
      </c>
      <c r="E419">
        <v>10700</v>
      </c>
      <c r="F419">
        <v>86</v>
      </c>
      <c r="G419" t="s">
        <v>20</v>
      </c>
      <c r="H419" t="str">
        <f>IF(Grammys[[#This Row],[date]] &gt;= DATE(2022, 2, 1), "Grammys", "Grammys + TRA")</f>
        <v>Grammys + TRA</v>
      </c>
      <c r="I419">
        <f>_xlfn.XLOOKUP(Grammys[[#This Row],[date]], mobile_visits[date], mobile_visits[mobile_visitors], 0)</f>
        <v>0</v>
      </c>
      <c r="Q419" s="1">
        <v>45010</v>
      </c>
      <c r="R419">
        <v>13858</v>
      </c>
    </row>
    <row r="420" spans="1:18" x14ac:dyDescent="0.2">
      <c r="A420" s="1">
        <v>43154</v>
      </c>
      <c r="B420">
        <v>14628</v>
      </c>
      <c r="C420">
        <v>23056</v>
      </c>
      <c r="D420">
        <v>15644</v>
      </c>
      <c r="E420">
        <v>9082</v>
      </c>
      <c r="F420">
        <v>86</v>
      </c>
      <c r="G420" t="s">
        <v>20</v>
      </c>
      <c r="H420" t="str">
        <f>IF(Grammys[[#This Row],[date]] &gt;= DATE(2022, 2, 1), "Grammys", "Grammys + TRA")</f>
        <v>Grammys + TRA</v>
      </c>
      <c r="I420">
        <f>_xlfn.XLOOKUP(Grammys[[#This Row],[date]], mobile_visits[date], mobile_visits[mobile_visitors], 0)</f>
        <v>0</v>
      </c>
      <c r="Q420" s="1">
        <v>45011</v>
      </c>
      <c r="R420">
        <v>12445</v>
      </c>
    </row>
    <row r="421" spans="1:18" x14ac:dyDescent="0.2">
      <c r="A421" s="1">
        <v>43155</v>
      </c>
      <c r="B421">
        <v>14230</v>
      </c>
      <c r="C421">
        <v>21663</v>
      </c>
      <c r="D421">
        <v>15125</v>
      </c>
      <c r="E421">
        <v>8576</v>
      </c>
      <c r="F421">
        <v>80</v>
      </c>
      <c r="G421" t="s">
        <v>20</v>
      </c>
      <c r="H421" t="str">
        <f>IF(Grammys[[#This Row],[date]] &gt;= DATE(2022, 2, 1), "Grammys", "Grammys + TRA")</f>
        <v>Grammys + TRA</v>
      </c>
      <c r="I421">
        <f>_xlfn.XLOOKUP(Grammys[[#This Row],[date]], mobile_visits[date], mobile_visits[mobile_visitors], 0)</f>
        <v>0</v>
      </c>
      <c r="Q421" s="1">
        <v>45012</v>
      </c>
      <c r="R421">
        <v>12654</v>
      </c>
    </row>
    <row r="422" spans="1:18" x14ac:dyDescent="0.2">
      <c r="A422" s="1">
        <v>43156</v>
      </c>
      <c r="B422">
        <v>15115</v>
      </c>
      <c r="C422">
        <v>23188</v>
      </c>
      <c r="D422">
        <v>16015</v>
      </c>
      <c r="E422">
        <v>9499</v>
      </c>
      <c r="F422">
        <v>77</v>
      </c>
      <c r="G422" t="s">
        <v>20</v>
      </c>
      <c r="H422" t="str">
        <f>IF(Grammys[[#This Row],[date]] &gt;= DATE(2022, 2, 1), "Grammys", "Grammys + TRA")</f>
        <v>Grammys + TRA</v>
      </c>
      <c r="I422">
        <f>_xlfn.XLOOKUP(Grammys[[#This Row],[date]], mobile_visits[date], mobile_visits[mobile_visitors], 0)</f>
        <v>0</v>
      </c>
      <c r="Q422" s="1">
        <v>45013</v>
      </c>
      <c r="R422">
        <v>9996</v>
      </c>
    </row>
    <row r="423" spans="1:18" x14ac:dyDescent="0.2">
      <c r="A423" s="1">
        <v>43157</v>
      </c>
      <c r="B423">
        <v>15376</v>
      </c>
      <c r="C423">
        <v>23608</v>
      </c>
      <c r="D423">
        <v>16312</v>
      </c>
      <c r="E423">
        <v>9722</v>
      </c>
      <c r="F423">
        <v>82</v>
      </c>
      <c r="G423" t="s">
        <v>20</v>
      </c>
      <c r="H423" t="str">
        <f>IF(Grammys[[#This Row],[date]] &gt;= DATE(2022, 2, 1), "Grammys", "Grammys + TRA")</f>
        <v>Grammys + TRA</v>
      </c>
      <c r="I423">
        <f>_xlfn.XLOOKUP(Grammys[[#This Row],[date]], mobile_visits[date], mobile_visits[mobile_visitors], 0)</f>
        <v>0</v>
      </c>
      <c r="Q423" s="1">
        <v>45014</v>
      </c>
      <c r="R423">
        <v>12356</v>
      </c>
    </row>
    <row r="424" spans="1:18" x14ac:dyDescent="0.2">
      <c r="A424" s="1">
        <v>43158</v>
      </c>
      <c r="B424">
        <v>14965</v>
      </c>
      <c r="C424">
        <v>23642</v>
      </c>
      <c r="D424">
        <v>15825</v>
      </c>
      <c r="E424">
        <v>9437</v>
      </c>
      <c r="F424">
        <v>83</v>
      </c>
      <c r="G424" t="s">
        <v>20</v>
      </c>
      <c r="H424" t="str">
        <f>IF(Grammys[[#This Row],[date]] &gt;= DATE(2022, 2, 1), "Grammys", "Grammys + TRA")</f>
        <v>Grammys + TRA</v>
      </c>
      <c r="I424">
        <f>_xlfn.XLOOKUP(Grammys[[#This Row],[date]], mobile_visits[date], mobile_visits[mobile_visitors], 0)</f>
        <v>0</v>
      </c>
      <c r="Q424" s="1">
        <v>45015</v>
      </c>
      <c r="R424">
        <v>10260</v>
      </c>
    </row>
    <row r="425" spans="1:18" x14ac:dyDescent="0.2">
      <c r="A425" s="1">
        <v>43159</v>
      </c>
      <c r="B425">
        <v>14252</v>
      </c>
      <c r="C425">
        <v>22652</v>
      </c>
      <c r="D425">
        <v>15049</v>
      </c>
      <c r="E425">
        <v>8885</v>
      </c>
      <c r="F425">
        <v>86</v>
      </c>
      <c r="G425" t="s">
        <v>20</v>
      </c>
      <c r="H425" t="str">
        <f>IF(Grammys[[#This Row],[date]] &gt;= DATE(2022, 2, 1), "Grammys", "Grammys + TRA")</f>
        <v>Grammys + TRA</v>
      </c>
      <c r="I425">
        <f>_xlfn.XLOOKUP(Grammys[[#This Row],[date]], mobile_visits[date], mobile_visits[mobile_visitors], 0)</f>
        <v>0</v>
      </c>
      <c r="Q425" s="1">
        <v>45016</v>
      </c>
      <c r="R425">
        <v>12473</v>
      </c>
    </row>
    <row r="426" spans="1:18" x14ac:dyDescent="0.2">
      <c r="A426" s="1">
        <v>43160</v>
      </c>
      <c r="B426">
        <v>14424</v>
      </c>
      <c r="C426">
        <v>22484</v>
      </c>
      <c r="D426">
        <v>15255</v>
      </c>
      <c r="E426">
        <v>9077</v>
      </c>
      <c r="F426">
        <v>83</v>
      </c>
      <c r="G426" t="s">
        <v>20</v>
      </c>
      <c r="H426" t="str">
        <f>IF(Grammys[[#This Row],[date]] &gt;= DATE(2022, 2, 1), "Grammys", "Grammys + TRA")</f>
        <v>Grammys + TRA</v>
      </c>
      <c r="I426">
        <f>_xlfn.XLOOKUP(Grammys[[#This Row],[date]], mobile_visits[date], mobile_visits[mobile_visitors], 0)</f>
        <v>0</v>
      </c>
      <c r="Q426" s="1">
        <v>45017</v>
      </c>
      <c r="R426">
        <v>11907</v>
      </c>
    </row>
    <row r="427" spans="1:18" x14ac:dyDescent="0.2">
      <c r="A427" s="1">
        <v>43161</v>
      </c>
      <c r="B427">
        <v>14341</v>
      </c>
      <c r="C427">
        <v>21964</v>
      </c>
      <c r="D427">
        <v>15224</v>
      </c>
      <c r="E427">
        <v>9062</v>
      </c>
      <c r="F427">
        <v>77</v>
      </c>
      <c r="G427" t="s">
        <v>20</v>
      </c>
      <c r="H427" t="str">
        <f>IF(Grammys[[#This Row],[date]] &gt;= DATE(2022, 2, 1), "Grammys", "Grammys + TRA")</f>
        <v>Grammys + TRA</v>
      </c>
      <c r="I427">
        <f>_xlfn.XLOOKUP(Grammys[[#This Row],[date]], mobile_visits[date], mobile_visits[mobile_visitors], 0)</f>
        <v>0</v>
      </c>
      <c r="Q427" s="1">
        <v>45018</v>
      </c>
      <c r="R427">
        <v>13318</v>
      </c>
    </row>
    <row r="428" spans="1:18" x14ac:dyDescent="0.2">
      <c r="A428" s="1">
        <v>43162</v>
      </c>
      <c r="B428">
        <v>13462</v>
      </c>
      <c r="C428">
        <v>20612</v>
      </c>
      <c r="D428">
        <v>14217</v>
      </c>
      <c r="E428">
        <v>8485</v>
      </c>
      <c r="F428">
        <v>74</v>
      </c>
      <c r="G428" t="s">
        <v>20</v>
      </c>
      <c r="H428" t="str">
        <f>IF(Grammys[[#This Row],[date]] &gt;= DATE(2022, 2, 1), "Grammys", "Grammys + TRA")</f>
        <v>Grammys + TRA</v>
      </c>
      <c r="I428">
        <f>_xlfn.XLOOKUP(Grammys[[#This Row],[date]], mobile_visits[date], mobile_visits[mobile_visitors], 0)</f>
        <v>0</v>
      </c>
      <c r="Q428" s="1">
        <v>45019</v>
      </c>
      <c r="R428">
        <v>11796</v>
      </c>
    </row>
    <row r="429" spans="1:18" x14ac:dyDescent="0.2">
      <c r="A429" s="1">
        <v>43163</v>
      </c>
      <c r="B429">
        <v>20413</v>
      </c>
      <c r="C429">
        <v>30671</v>
      </c>
      <c r="D429">
        <v>21564</v>
      </c>
      <c r="E429">
        <v>13342</v>
      </c>
      <c r="F429">
        <v>70</v>
      </c>
      <c r="G429" t="s">
        <v>20</v>
      </c>
      <c r="H429" t="str">
        <f>IF(Grammys[[#This Row],[date]] &gt;= DATE(2022, 2, 1), "Grammys", "Grammys + TRA")</f>
        <v>Grammys + TRA</v>
      </c>
      <c r="I429">
        <f>_xlfn.XLOOKUP(Grammys[[#This Row],[date]], mobile_visits[date], mobile_visits[mobile_visitors], 0)</f>
        <v>0</v>
      </c>
      <c r="Q429" s="1">
        <v>45020</v>
      </c>
      <c r="R429">
        <v>11657</v>
      </c>
    </row>
    <row r="430" spans="1:18" x14ac:dyDescent="0.2">
      <c r="A430" s="1">
        <v>43164</v>
      </c>
      <c r="B430">
        <v>17573</v>
      </c>
      <c r="C430">
        <v>27105</v>
      </c>
      <c r="D430">
        <v>18688</v>
      </c>
      <c r="E430">
        <v>11439</v>
      </c>
      <c r="F430">
        <v>75</v>
      </c>
      <c r="G430" t="s">
        <v>20</v>
      </c>
      <c r="H430" t="str">
        <f>IF(Grammys[[#This Row],[date]] &gt;= DATE(2022, 2, 1), "Grammys", "Grammys + TRA")</f>
        <v>Grammys + TRA</v>
      </c>
      <c r="I430">
        <f>_xlfn.XLOOKUP(Grammys[[#This Row],[date]], mobile_visits[date], mobile_visits[mobile_visitors], 0)</f>
        <v>0</v>
      </c>
      <c r="Q430" s="1">
        <v>45021</v>
      </c>
      <c r="R430">
        <v>10566</v>
      </c>
    </row>
    <row r="431" spans="1:18" x14ac:dyDescent="0.2">
      <c r="A431" s="1">
        <v>43165</v>
      </c>
      <c r="B431">
        <v>15571</v>
      </c>
      <c r="C431">
        <v>23846</v>
      </c>
      <c r="D431">
        <v>16543</v>
      </c>
      <c r="E431">
        <v>9701</v>
      </c>
      <c r="F431">
        <v>78</v>
      </c>
      <c r="G431" t="s">
        <v>20</v>
      </c>
      <c r="H431" t="str">
        <f>IF(Grammys[[#This Row],[date]] &gt;= DATE(2022, 2, 1), "Grammys", "Grammys + TRA")</f>
        <v>Grammys + TRA</v>
      </c>
      <c r="I431">
        <f>_xlfn.XLOOKUP(Grammys[[#This Row],[date]], mobile_visits[date], mobile_visits[mobile_visitors], 0)</f>
        <v>0</v>
      </c>
      <c r="Q431" s="1">
        <v>45022</v>
      </c>
      <c r="R431">
        <v>11591</v>
      </c>
    </row>
    <row r="432" spans="1:18" x14ac:dyDescent="0.2">
      <c r="A432" s="1">
        <v>43166</v>
      </c>
      <c r="B432">
        <v>13895</v>
      </c>
      <c r="C432">
        <v>21700</v>
      </c>
      <c r="D432">
        <v>14866</v>
      </c>
      <c r="E432">
        <v>8974</v>
      </c>
      <c r="F432">
        <v>78</v>
      </c>
      <c r="G432" t="s">
        <v>20</v>
      </c>
      <c r="H432" t="str">
        <f>IF(Grammys[[#This Row],[date]] &gt;= DATE(2022, 2, 1), "Grammys", "Grammys + TRA")</f>
        <v>Grammys + TRA</v>
      </c>
      <c r="I432">
        <f>_xlfn.XLOOKUP(Grammys[[#This Row],[date]], mobile_visits[date], mobile_visits[mobile_visitors], 0)</f>
        <v>0</v>
      </c>
      <c r="Q432" s="1">
        <v>45023</v>
      </c>
      <c r="R432">
        <v>11106</v>
      </c>
    </row>
    <row r="433" spans="1:18" x14ac:dyDescent="0.2">
      <c r="A433" s="1">
        <v>43167</v>
      </c>
      <c r="B433">
        <v>18045</v>
      </c>
      <c r="C433">
        <v>36689</v>
      </c>
      <c r="D433">
        <v>19241</v>
      </c>
      <c r="E433">
        <v>7047</v>
      </c>
      <c r="F433">
        <v>83</v>
      </c>
      <c r="G433" t="s">
        <v>20</v>
      </c>
      <c r="H433" t="str">
        <f>IF(Grammys[[#This Row],[date]] &gt;= DATE(2022, 2, 1), "Grammys", "Grammys + TRA")</f>
        <v>Grammys + TRA</v>
      </c>
      <c r="I433">
        <f>_xlfn.XLOOKUP(Grammys[[#This Row],[date]], mobile_visits[date], mobile_visits[mobile_visitors], 0)</f>
        <v>0</v>
      </c>
      <c r="Q433" s="1">
        <v>45024</v>
      </c>
      <c r="R433">
        <v>13127</v>
      </c>
    </row>
    <row r="434" spans="1:18" x14ac:dyDescent="0.2">
      <c r="A434" s="1">
        <v>43168</v>
      </c>
      <c r="B434">
        <v>16433</v>
      </c>
      <c r="C434">
        <v>32319</v>
      </c>
      <c r="D434">
        <v>17298</v>
      </c>
      <c r="E434">
        <v>7181</v>
      </c>
      <c r="F434">
        <v>78</v>
      </c>
      <c r="G434" t="s">
        <v>20</v>
      </c>
      <c r="H434" t="str">
        <f>IF(Grammys[[#This Row],[date]] &gt;= DATE(2022, 2, 1), "Grammys", "Grammys + TRA")</f>
        <v>Grammys + TRA</v>
      </c>
      <c r="I434">
        <f>_xlfn.XLOOKUP(Grammys[[#This Row],[date]], mobile_visits[date], mobile_visits[mobile_visitors], 0)</f>
        <v>0</v>
      </c>
      <c r="Q434" s="1">
        <v>45025</v>
      </c>
      <c r="R434">
        <v>28592</v>
      </c>
    </row>
    <row r="435" spans="1:18" x14ac:dyDescent="0.2">
      <c r="A435" s="1">
        <v>43169</v>
      </c>
      <c r="B435">
        <v>13153</v>
      </c>
      <c r="C435">
        <v>19936</v>
      </c>
      <c r="D435">
        <v>13967</v>
      </c>
      <c r="E435">
        <v>8523</v>
      </c>
      <c r="F435">
        <v>76</v>
      </c>
      <c r="G435" t="s">
        <v>20</v>
      </c>
      <c r="H435" t="str">
        <f>IF(Grammys[[#This Row],[date]] &gt;= DATE(2022, 2, 1), "Grammys", "Grammys + TRA")</f>
        <v>Grammys + TRA</v>
      </c>
      <c r="I435">
        <f>_xlfn.XLOOKUP(Grammys[[#This Row],[date]], mobile_visits[date], mobile_visits[mobile_visitors], 0)</f>
        <v>0</v>
      </c>
      <c r="Q435" s="1">
        <v>45026</v>
      </c>
      <c r="R435">
        <v>16195</v>
      </c>
    </row>
    <row r="436" spans="1:18" x14ac:dyDescent="0.2">
      <c r="A436" s="1">
        <v>43170</v>
      </c>
      <c r="B436">
        <v>13166</v>
      </c>
      <c r="C436">
        <v>20129</v>
      </c>
      <c r="D436">
        <v>13972</v>
      </c>
      <c r="E436">
        <v>8420</v>
      </c>
      <c r="F436">
        <v>77</v>
      </c>
      <c r="G436" t="s">
        <v>20</v>
      </c>
      <c r="H436" t="str">
        <f>IF(Grammys[[#This Row],[date]] &gt;= DATE(2022, 2, 1), "Grammys", "Grammys + TRA")</f>
        <v>Grammys + TRA</v>
      </c>
      <c r="I436">
        <f>_xlfn.XLOOKUP(Grammys[[#This Row],[date]], mobile_visits[date], mobile_visits[mobile_visitors], 0)</f>
        <v>0</v>
      </c>
      <c r="Q436" s="1">
        <v>45027</v>
      </c>
      <c r="R436">
        <v>10960</v>
      </c>
    </row>
    <row r="437" spans="1:18" x14ac:dyDescent="0.2">
      <c r="A437" s="1">
        <v>43171</v>
      </c>
      <c r="B437">
        <v>14960</v>
      </c>
      <c r="C437">
        <v>22542</v>
      </c>
      <c r="D437">
        <v>15710</v>
      </c>
      <c r="E437">
        <v>9629</v>
      </c>
      <c r="F437">
        <v>76</v>
      </c>
      <c r="G437" t="s">
        <v>20</v>
      </c>
      <c r="H437" t="str">
        <f>IF(Grammys[[#This Row],[date]] &gt;= DATE(2022, 2, 1), "Grammys", "Grammys + TRA")</f>
        <v>Grammys + TRA</v>
      </c>
      <c r="I437">
        <f>_xlfn.XLOOKUP(Grammys[[#This Row],[date]], mobile_visits[date], mobile_visits[mobile_visitors], 0)</f>
        <v>0</v>
      </c>
      <c r="Q437" s="1">
        <v>45028</v>
      </c>
      <c r="R437">
        <v>9748</v>
      </c>
    </row>
    <row r="438" spans="1:18" x14ac:dyDescent="0.2">
      <c r="A438" s="1">
        <v>43172</v>
      </c>
      <c r="B438">
        <v>12650</v>
      </c>
      <c r="C438">
        <v>18902</v>
      </c>
      <c r="D438">
        <v>13167</v>
      </c>
      <c r="E438">
        <v>7803</v>
      </c>
      <c r="F438">
        <v>81</v>
      </c>
      <c r="G438" t="s">
        <v>20</v>
      </c>
      <c r="H438" t="str">
        <f>IF(Grammys[[#This Row],[date]] &gt;= DATE(2022, 2, 1), "Grammys", "Grammys + TRA")</f>
        <v>Grammys + TRA</v>
      </c>
      <c r="I438">
        <f>_xlfn.XLOOKUP(Grammys[[#This Row],[date]], mobile_visits[date], mobile_visits[mobile_visitors], 0)</f>
        <v>0</v>
      </c>
      <c r="Q438" s="1">
        <v>45029</v>
      </c>
      <c r="R438">
        <v>10076</v>
      </c>
    </row>
    <row r="439" spans="1:18" x14ac:dyDescent="0.2">
      <c r="A439" s="1">
        <v>43173</v>
      </c>
      <c r="B439">
        <v>12623</v>
      </c>
      <c r="C439">
        <v>18381</v>
      </c>
      <c r="D439">
        <v>13029</v>
      </c>
      <c r="E439">
        <v>7617</v>
      </c>
      <c r="F439">
        <v>80</v>
      </c>
      <c r="G439" t="s">
        <v>20</v>
      </c>
      <c r="H439" t="str">
        <f>IF(Grammys[[#This Row],[date]] &gt;= DATE(2022, 2, 1), "Grammys", "Grammys + TRA")</f>
        <v>Grammys + TRA</v>
      </c>
      <c r="I439">
        <f>_xlfn.XLOOKUP(Grammys[[#This Row],[date]], mobile_visits[date], mobile_visits[mobile_visitors], 0)</f>
        <v>0</v>
      </c>
      <c r="Q439" s="1">
        <v>45030</v>
      </c>
      <c r="R439">
        <v>11806</v>
      </c>
    </row>
    <row r="440" spans="1:18" x14ac:dyDescent="0.2">
      <c r="A440" s="1">
        <v>43174</v>
      </c>
      <c r="B440">
        <v>11401</v>
      </c>
      <c r="C440">
        <v>16916</v>
      </c>
      <c r="D440">
        <v>11832</v>
      </c>
      <c r="E440">
        <v>6980</v>
      </c>
      <c r="F440">
        <v>77</v>
      </c>
      <c r="G440" t="s">
        <v>20</v>
      </c>
      <c r="H440" t="str">
        <f>IF(Grammys[[#This Row],[date]] &gt;= DATE(2022, 2, 1), "Grammys", "Grammys + TRA")</f>
        <v>Grammys + TRA</v>
      </c>
      <c r="I440">
        <f>_xlfn.XLOOKUP(Grammys[[#This Row],[date]], mobile_visits[date], mobile_visits[mobile_visitors], 0)</f>
        <v>0</v>
      </c>
      <c r="Q440" s="1">
        <v>45031</v>
      </c>
      <c r="R440">
        <v>11785</v>
      </c>
    </row>
    <row r="441" spans="1:18" x14ac:dyDescent="0.2">
      <c r="A441" s="1">
        <v>43175</v>
      </c>
      <c r="B441">
        <v>11065</v>
      </c>
      <c r="C441">
        <v>15929</v>
      </c>
      <c r="D441">
        <v>11447</v>
      </c>
      <c r="E441">
        <v>6749</v>
      </c>
      <c r="F441">
        <v>72</v>
      </c>
      <c r="G441" t="s">
        <v>20</v>
      </c>
      <c r="H441" t="str">
        <f>IF(Grammys[[#This Row],[date]] &gt;= DATE(2022, 2, 1), "Grammys", "Grammys + TRA")</f>
        <v>Grammys + TRA</v>
      </c>
      <c r="I441">
        <f>_xlfn.XLOOKUP(Grammys[[#This Row],[date]], mobile_visits[date], mobile_visits[mobile_visitors], 0)</f>
        <v>0</v>
      </c>
      <c r="Q441" s="1">
        <v>45032</v>
      </c>
      <c r="R441">
        <v>12254</v>
      </c>
    </row>
    <row r="442" spans="1:18" x14ac:dyDescent="0.2">
      <c r="A442" s="1">
        <v>43176</v>
      </c>
      <c r="B442">
        <v>10333</v>
      </c>
      <c r="C442">
        <v>14987</v>
      </c>
      <c r="D442">
        <v>10714</v>
      </c>
      <c r="E442">
        <v>6251</v>
      </c>
      <c r="F442">
        <v>77</v>
      </c>
      <c r="G442" t="s">
        <v>20</v>
      </c>
      <c r="H442" t="str">
        <f>IF(Grammys[[#This Row],[date]] &gt;= DATE(2022, 2, 1), "Grammys", "Grammys + TRA")</f>
        <v>Grammys + TRA</v>
      </c>
      <c r="I442">
        <f>_xlfn.XLOOKUP(Grammys[[#This Row],[date]], mobile_visits[date], mobile_visits[mobile_visitors], 0)</f>
        <v>0</v>
      </c>
      <c r="Q442" s="1">
        <v>45033</v>
      </c>
      <c r="R442">
        <v>11900</v>
      </c>
    </row>
    <row r="443" spans="1:18" x14ac:dyDescent="0.2">
      <c r="A443" s="1">
        <v>43177</v>
      </c>
      <c r="B443">
        <v>12536</v>
      </c>
      <c r="C443">
        <v>17448</v>
      </c>
      <c r="D443">
        <v>12801</v>
      </c>
      <c r="E443">
        <v>7997</v>
      </c>
      <c r="F443">
        <v>70</v>
      </c>
      <c r="G443" t="s">
        <v>20</v>
      </c>
      <c r="H443" t="str">
        <f>IF(Grammys[[#This Row],[date]] &gt;= DATE(2022, 2, 1), "Grammys", "Grammys + TRA")</f>
        <v>Grammys + TRA</v>
      </c>
      <c r="I443">
        <f>_xlfn.XLOOKUP(Grammys[[#This Row],[date]], mobile_visits[date], mobile_visits[mobile_visitors], 0)</f>
        <v>0</v>
      </c>
      <c r="Q443" s="1">
        <v>45034</v>
      </c>
      <c r="R443">
        <v>9823</v>
      </c>
    </row>
    <row r="444" spans="1:18" x14ac:dyDescent="0.2">
      <c r="A444" s="1">
        <v>43178</v>
      </c>
      <c r="B444">
        <v>12171</v>
      </c>
      <c r="C444">
        <v>17647</v>
      </c>
      <c r="D444">
        <v>12598</v>
      </c>
      <c r="E444">
        <v>7467</v>
      </c>
      <c r="F444">
        <v>76</v>
      </c>
      <c r="G444" t="s">
        <v>20</v>
      </c>
      <c r="H444" t="str">
        <f>IF(Grammys[[#This Row],[date]] &gt;= DATE(2022, 2, 1), "Grammys", "Grammys + TRA")</f>
        <v>Grammys + TRA</v>
      </c>
      <c r="I444">
        <f>_xlfn.XLOOKUP(Grammys[[#This Row],[date]], mobile_visits[date], mobile_visits[mobile_visitors], 0)</f>
        <v>0</v>
      </c>
      <c r="Q444" s="1">
        <v>45035</v>
      </c>
      <c r="R444">
        <v>11113</v>
      </c>
    </row>
    <row r="445" spans="1:18" x14ac:dyDescent="0.2">
      <c r="A445" s="1">
        <v>43179</v>
      </c>
      <c r="B445">
        <v>11870</v>
      </c>
      <c r="C445">
        <v>17751</v>
      </c>
      <c r="D445">
        <v>12335</v>
      </c>
      <c r="E445">
        <v>7267</v>
      </c>
      <c r="F445">
        <v>86</v>
      </c>
      <c r="G445" t="s">
        <v>20</v>
      </c>
      <c r="H445" t="str">
        <f>IF(Grammys[[#This Row],[date]] &gt;= DATE(2022, 2, 1), "Grammys", "Grammys + TRA")</f>
        <v>Grammys + TRA</v>
      </c>
      <c r="I445">
        <f>_xlfn.XLOOKUP(Grammys[[#This Row],[date]], mobile_visits[date], mobile_visits[mobile_visitors], 0)</f>
        <v>0</v>
      </c>
      <c r="Q445" s="1">
        <v>45036</v>
      </c>
      <c r="R445">
        <v>12558</v>
      </c>
    </row>
    <row r="446" spans="1:18" x14ac:dyDescent="0.2">
      <c r="A446" s="1">
        <v>43180</v>
      </c>
      <c r="B446">
        <v>11377</v>
      </c>
      <c r="C446">
        <v>16460</v>
      </c>
      <c r="D446">
        <v>11654</v>
      </c>
      <c r="E446">
        <v>6892</v>
      </c>
      <c r="F446">
        <v>79</v>
      </c>
      <c r="G446" t="s">
        <v>20</v>
      </c>
      <c r="H446" t="str">
        <f>IF(Grammys[[#This Row],[date]] &gt;= DATE(2022, 2, 1), "Grammys", "Grammys + TRA")</f>
        <v>Grammys + TRA</v>
      </c>
      <c r="I446">
        <f>_xlfn.XLOOKUP(Grammys[[#This Row],[date]], mobile_visits[date], mobile_visits[mobile_visitors], 0)</f>
        <v>0</v>
      </c>
      <c r="Q446" s="1">
        <v>45037</v>
      </c>
      <c r="R446">
        <v>12684</v>
      </c>
    </row>
    <row r="447" spans="1:18" x14ac:dyDescent="0.2">
      <c r="A447" s="1">
        <v>43181</v>
      </c>
      <c r="B447">
        <v>11892</v>
      </c>
      <c r="C447">
        <v>17304</v>
      </c>
      <c r="D447">
        <v>12215</v>
      </c>
      <c r="E447">
        <v>7116</v>
      </c>
      <c r="F447">
        <v>84</v>
      </c>
      <c r="G447" t="s">
        <v>20</v>
      </c>
      <c r="H447" t="str">
        <f>IF(Grammys[[#This Row],[date]] &gt;= DATE(2022, 2, 1), "Grammys", "Grammys + TRA")</f>
        <v>Grammys + TRA</v>
      </c>
      <c r="I447">
        <f>_xlfn.XLOOKUP(Grammys[[#This Row],[date]], mobile_visits[date], mobile_visits[mobile_visitors], 0)</f>
        <v>0</v>
      </c>
      <c r="Q447" s="1">
        <v>45038</v>
      </c>
      <c r="R447">
        <v>12440</v>
      </c>
    </row>
    <row r="448" spans="1:18" x14ac:dyDescent="0.2">
      <c r="A448" s="1">
        <v>43182</v>
      </c>
      <c r="B448">
        <v>10390</v>
      </c>
      <c r="C448">
        <v>15230</v>
      </c>
      <c r="D448">
        <v>10893</v>
      </c>
      <c r="E448">
        <v>6398</v>
      </c>
      <c r="F448">
        <v>79</v>
      </c>
      <c r="G448" t="s">
        <v>20</v>
      </c>
      <c r="H448" t="str">
        <f>IF(Grammys[[#This Row],[date]] &gt;= DATE(2022, 2, 1), "Grammys", "Grammys + TRA")</f>
        <v>Grammys + TRA</v>
      </c>
      <c r="I448">
        <f>_xlfn.XLOOKUP(Grammys[[#This Row],[date]], mobile_visits[date], mobile_visits[mobile_visitors], 0)</f>
        <v>0</v>
      </c>
      <c r="Q448" s="1">
        <v>45039</v>
      </c>
      <c r="R448">
        <v>13024</v>
      </c>
    </row>
    <row r="449" spans="1:18" x14ac:dyDescent="0.2">
      <c r="A449" s="1">
        <v>43183</v>
      </c>
      <c r="B449">
        <v>13761</v>
      </c>
      <c r="C449">
        <v>18858</v>
      </c>
      <c r="D449">
        <v>14345</v>
      </c>
      <c r="E449">
        <v>7061</v>
      </c>
      <c r="F449">
        <v>67</v>
      </c>
      <c r="G449" t="s">
        <v>20</v>
      </c>
      <c r="H449" t="str">
        <f>IF(Grammys[[#This Row],[date]] &gt;= DATE(2022, 2, 1), "Grammys", "Grammys + TRA")</f>
        <v>Grammys + TRA</v>
      </c>
      <c r="I449">
        <f>_xlfn.XLOOKUP(Grammys[[#This Row],[date]], mobile_visits[date], mobile_visits[mobile_visitors], 0)</f>
        <v>0</v>
      </c>
      <c r="Q449" s="1">
        <v>45040</v>
      </c>
      <c r="R449">
        <v>12430</v>
      </c>
    </row>
    <row r="450" spans="1:18" x14ac:dyDescent="0.2">
      <c r="A450" s="1">
        <v>43184</v>
      </c>
      <c r="B450">
        <v>11217</v>
      </c>
      <c r="C450">
        <v>16236</v>
      </c>
      <c r="D450">
        <v>11672</v>
      </c>
      <c r="E450">
        <v>6609</v>
      </c>
      <c r="F450">
        <v>76</v>
      </c>
      <c r="G450" t="s">
        <v>20</v>
      </c>
      <c r="H450" t="str">
        <f>IF(Grammys[[#This Row],[date]] &gt;= DATE(2022, 2, 1), "Grammys", "Grammys + TRA")</f>
        <v>Grammys + TRA</v>
      </c>
      <c r="I450">
        <f>_xlfn.XLOOKUP(Grammys[[#This Row],[date]], mobile_visits[date], mobile_visits[mobile_visitors], 0)</f>
        <v>0</v>
      </c>
      <c r="Q450" s="1">
        <v>45041</v>
      </c>
      <c r="R450">
        <v>10518</v>
      </c>
    </row>
    <row r="451" spans="1:18" x14ac:dyDescent="0.2">
      <c r="A451" s="1">
        <v>43185</v>
      </c>
      <c r="B451">
        <v>11018</v>
      </c>
      <c r="C451">
        <v>16205</v>
      </c>
      <c r="D451">
        <v>11400</v>
      </c>
      <c r="E451">
        <v>6655</v>
      </c>
      <c r="F451">
        <v>84</v>
      </c>
      <c r="G451" t="s">
        <v>20</v>
      </c>
      <c r="H451" t="str">
        <f>IF(Grammys[[#This Row],[date]] &gt;= DATE(2022, 2, 1), "Grammys", "Grammys + TRA")</f>
        <v>Grammys + TRA</v>
      </c>
      <c r="I451">
        <f>_xlfn.XLOOKUP(Grammys[[#This Row],[date]], mobile_visits[date], mobile_visits[mobile_visitors], 0)</f>
        <v>0</v>
      </c>
      <c r="Q451" s="1">
        <v>45042</v>
      </c>
      <c r="R451">
        <v>8854</v>
      </c>
    </row>
    <row r="452" spans="1:18" x14ac:dyDescent="0.2">
      <c r="A452" s="1">
        <v>43186</v>
      </c>
      <c r="B452">
        <v>11937</v>
      </c>
      <c r="C452">
        <v>17194</v>
      </c>
      <c r="D452">
        <v>12467</v>
      </c>
      <c r="E452">
        <v>7199</v>
      </c>
      <c r="F452">
        <v>74</v>
      </c>
      <c r="G452" t="s">
        <v>20</v>
      </c>
      <c r="H452" t="str">
        <f>IF(Grammys[[#This Row],[date]] &gt;= DATE(2022, 2, 1), "Grammys", "Grammys + TRA")</f>
        <v>Grammys + TRA</v>
      </c>
      <c r="I452">
        <f>_xlfn.XLOOKUP(Grammys[[#This Row],[date]], mobile_visits[date], mobile_visits[mobile_visitors], 0)</f>
        <v>0</v>
      </c>
      <c r="Q452" s="1">
        <v>45043</v>
      </c>
      <c r="R452">
        <v>7546</v>
      </c>
    </row>
    <row r="453" spans="1:18" x14ac:dyDescent="0.2">
      <c r="A453" s="1">
        <v>43187</v>
      </c>
      <c r="B453">
        <v>11564</v>
      </c>
      <c r="C453">
        <v>16114</v>
      </c>
      <c r="D453">
        <v>11798</v>
      </c>
      <c r="E453">
        <v>6787</v>
      </c>
      <c r="F453">
        <v>72</v>
      </c>
      <c r="G453" t="s">
        <v>20</v>
      </c>
      <c r="H453" t="str">
        <f>IF(Grammys[[#This Row],[date]] &gt;= DATE(2022, 2, 1), "Grammys", "Grammys + TRA")</f>
        <v>Grammys + TRA</v>
      </c>
      <c r="I453">
        <f>_xlfn.XLOOKUP(Grammys[[#This Row],[date]], mobile_visits[date], mobile_visits[mobile_visitors], 0)</f>
        <v>0</v>
      </c>
      <c r="Q453" s="1">
        <v>45044</v>
      </c>
      <c r="R453">
        <v>8888</v>
      </c>
    </row>
    <row r="454" spans="1:18" x14ac:dyDescent="0.2">
      <c r="A454" s="1">
        <v>43188</v>
      </c>
      <c r="B454">
        <v>10577</v>
      </c>
      <c r="C454">
        <v>15037</v>
      </c>
      <c r="D454">
        <v>11006</v>
      </c>
      <c r="E454">
        <v>6504</v>
      </c>
      <c r="F454">
        <v>78</v>
      </c>
      <c r="G454" t="s">
        <v>20</v>
      </c>
      <c r="H454" t="str">
        <f>IF(Grammys[[#This Row],[date]] &gt;= DATE(2022, 2, 1), "Grammys", "Grammys + TRA")</f>
        <v>Grammys + TRA</v>
      </c>
      <c r="I454">
        <f>_xlfn.XLOOKUP(Grammys[[#This Row],[date]], mobile_visits[date], mobile_visits[mobile_visitors], 0)</f>
        <v>0</v>
      </c>
      <c r="Q454" s="1">
        <v>45045</v>
      </c>
      <c r="R454">
        <v>9372</v>
      </c>
    </row>
    <row r="455" spans="1:18" x14ac:dyDescent="0.2">
      <c r="A455" s="1">
        <v>43189</v>
      </c>
      <c r="B455">
        <v>14669</v>
      </c>
      <c r="C455">
        <v>19334</v>
      </c>
      <c r="D455">
        <v>15052</v>
      </c>
      <c r="E455">
        <v>7558</v>
      </c>
      <c r="F455">
        <v>74</v>
      </c>
      <c r="G455" t="s">
        <v>20</v>
      </c>
      <c r="H455" t="str">
        <f>IF(Grammys[[#This Row],[date]] &gt;= DATE(2022, 2, 1), "Grammys", "Grammys + TRA")</f>
        <v>Grammys + TRA</v>
      </c>
      <c r="I455">
        <f>_xlfn.XLOOKUP(Grammys[[#This Row],[date]], mobile_visits[date], mobile_visits[mobile_visitors], 0)</f>
        <v>0</v>
      </c>
      <c r="Q455" s="1">
        <v>45046</v>
      </c>
      <c r="R455">
        <v>10011</v>
      </c>
    </row>
    <row r="456" spans="1:18" x14ac:dyDescent="0.2">
      <c r="A456" s="1">
        <v>43190</v>
      </c>
      <c r="B456">
        <v>12940</v>
      </c>
      <c r="C456">
        <v>17515</v>
      </c>
      <c r="D456">
        <v>13226</v>
      </c>
      <c r="E456">
        <v>7426</v>
      </c>
      <c r="F456">
        <v>68</v>
      </c>
      <c r="G456" t="s">
        <v>20</v>
      </c>
      <c r="H456" t="str">
        <f>IF(Grammys[[#This Row],[date]] &gt;= DATE(2022, 2, 1), "Grammys", "Grammys + TRA")</f>
        <v>Grammys + TRA</v>
      </c>
      <c r="I456">
        <f>_xlfn.XLOOKUP(Grammys[[#This Row],[date]], mobile_visits[date], mobile_visits[mobile_visitors], 0)</f>
        <v>0</v>
      </c>
      <c r="Q456" s="1">
        <v>45047</v>
      </c>
      <c r="R456">
        <v>11833</v>
      </c>
    </row>
    <row r="457" spans="1:18" x14ac:dyDescent="0.2">
      <c r="A457" s="1">
        <v>43191</v>
      </c>
      <c r="B457">
        <v>10324</v>
      </c>
      <c r="C457">
        <v>14529</v>
      </c>
      <c r="D457">
        <v>10544</v>
      </c>
      <c r="E457">
        <v>6237</v>
      </c>
      <c r="F457">
        <v>75</v>
      </c>
      <c r="G457" t="s">
        <v>20</v>
      </c>
      <c r="H457" t="str">
        <f>IF(Grammys[[#This Row],[date]] &gt;= DATE(2022, 2, 1), "Grammys", "Grammys + TRA")</f>
        <v>Grammys + TRA</v>
      </c>
      <c r="I457">
        <f>_xlfn.XLOOKUP(Grammys[[#This Row],[date]], mobile_visits[date], mobile_visits[mobile_visitors], 0)</f>
        <v>0</v>
      </c>
      <c r="Q457" s="1">
        <v>45048</v>
      </c>
      <c r="R457">
        <v>13740</v>
      </c>
    </row>
    <row r="458" spans="1:18" x14ac:dyDescent="0.2">
      <c r="A458" s="1">
        <v>43192</v>
      </c>
      <c r="B458">
        <v>10708</v>
      </c>
      <c r="C458">
        <v>15752</v>
      </c>
      <c r="D458">
        <v>11194</v>
      </c>
      <c r="E458">
        <v>6693</v>
      </c>
      <c r="F458">
        <v>78</v>
      </c>
      <c r="G458" t="s">
        <v>20</v>
      </c>
      <c r="H458" t="str">
        <f>IF(Grammys[[#This Row],[date]] &gt;= DATE(2022, 2, 1), "Grammys", "Grammys + TRA")</f>
        <v>Grammys + TRA</v>
      </c>
      <c r="I458">
        <f>_xlfn.XLOOKUP(Grammys[[#This Row],[date]], mobile_visits[date], mobile_visits[mobile_visitors], 0)</f>
        <v>0</v>
      </c>
      <c r="Q458" s="1">
        <v>45049</v>
      </c>
      <c r="R458">
        <v>10769</v>
      </c>
    </row>
    <row r="459" spans="1:18" x14ac:dyDescent="0.2">
      <c r="A459" s="1">
        <v>43193</v>
      </c>
      <c r="B459">
        <v>11391</v>
      </c>
      <c r="C459">
        <v>16220</v>
      </c>
      <c r="D459">
        <v>11647</v>
      </c>
      <c r="E459">
        <v>6826</v>
      </c>
      <c r="F459">
        <v>71</v>
      </c>
      <c r="G459" t="s">
        <v>20</v>
      </c>
      <c r="H459" t="str">
        <f>IF(Grammys[[#This Row],[date]] &gt;= DATE(2022, 2, 1), "Grammys", "Grammys + TRA")</f>
        <v>Grammys + TRA</v>
      </c>
      <c r="I459">
        <f>_xlfn.XLOOKUP(Grammys[[#This Row],[date]], mobile_visits[date], mobile_visits[mobile_visitors], 0)</f>
        <v>0</v>
      </c>
      <c r="Q459" s="1">
        <v>45050</v>
      </c>
      <c r="R459">
        <v>10421</v>
      </c>
    </row>
    <row r="460" spans="1:18" x14ac:dyDescent="0.2">
      <c r="A460" s="1">
        <v>43194</v>
      </c>
      <c r="B460">
        <v>10868</v>
      </c>
      <c r="C460">
        <v>15648</v>
      </c>
      <c r="D460">
        <v>11330</v>
      </c>
      <c r="E460">
        <v>6699</v>
      </c>
      <c r="F460">
        <v>74</v>
      </c>
      <c r="G460" t="s">
        <v>20</v>
      </c>
      <c r="H460" t="str">
        <f>IF(Grammys[[#This Row],[date]] &gt;= DATE(2022, 2, 1), "Grammys", "Grammys + TRA")</f>
        <v>Grammys + TRA</v>
      </c>
      <c r="I460">
        <f>_xlfn.XLOOKUP(Grammys[[#This Row],[date]], mobile_visits[date], mobile_visits[mobile_visitors], 0)</f>
        <v>0</v>
      </c>
      <c r="Q460" s="1">
        <v>45051</v>
      </c>
      <c r="R460">
        <v>8569</v>
      </c>
    </row>
    <row r="461" spans="1:18" x14ac:dyDescent="0.2">
      <c r="A461" s="1">
        <v>43195</v>
      </c>
      <c r="B461">
        <v>12621</v>
      </c>
      <c r="C461">
        <v>17980</v>
      </c>
      <c r="D461">
        <v>13104</v>
      </c>
      <c r="E461">
        <v>8113</v>
      </c>
      <c r="F461">
        <v>69</v>
      </c>
      <c r="G461" t="s">
        <v>20</v>
      </c>
      <c r="H461" t="str">
        <f>IF(Grammys[[#This Row],[date]] &gt;= DATE(2022, 2, 1), "Grammys", "Grammys + TRA")</f>
        <v>Grammys + TRA</v>
      </c>
      <c r="I461">
        <f>_xlfn.XLOOKUP(Grammys[[#This Row],[date]], mobile_visits[date], mobile_visits[mobile_visitors], 0)</f>
        <v>0</v>
      </c>
      <c r="Q461" s="1">
        <v>45052</v>
      </c>
      <c r="R461">
        <v>9095</v>
      </c>
    </row>
    <row r="462" spans="1:18" x14ac:dyDescent="0.2">
      <c r="A462" s="1">
        <v>43196</v>
      </c>
      <c r="B462">
        <v>14754</v>
      </c>
      <c r="C462">
        <v>19798</v>
      </c>
      <c r="D462">
        <v>15095</v>
      </c>
      <c r="E462">
        <v>7691</v>
      </c>
      <c r="F462">
        <v>71</v>
      </c>
      <c r="G462" t="s">
        <v>20</v>
      </c>
      <c r="H462" t="str">
        <f>IF(Grammys[[#This Row],[date]] &gt;= DATE(2022, 2, 1), "Grammys", "Grammys + TRA")</f>
        <v>Grammys + TRA</v>
      </c>
      <c r="I462">
        <f>_xlfn.XLOOKUP(Grammys[[#This Row],[date]], mobile_visits[date], mobile_visits[mobile_visitors], 0)</f>
        <v>0</v>
      </c>
      <c r="Q462" s="1">
        <v>45053</v>
      </c>
      <c r="R462">
        <v>9664</v>
      </c>
    </row>
    <row r="463" spans="1:18" x14ac:dyDescent="0.2">
      <c r="A463" s="1">
        <v>43197</v>
      </c>
      <c r="B463">
        <v>13945</v>
      </c>
      <c r="C463">
        <v>18796</v>
      </c>
      <c r="D463">
        <v>14281</v>
      </c>
      <c r="E463">
        <v>7569</v>
      </c>
      <c r="F463">
        <v>70</v>
      </c>
      <c r="G463" t="s">
        <v>20</v>
      </c>
      <c r="H463" t="str">
        <f>IF(Grammys[[#This Row],[date]] &gt;= DATE(2022, 2, 1), "Grammys", "Grammys + TRA")</f>
        <v>Grammys + TRA</v>
      </c>
      <c r="I463">
        <f>_xlfn.XLOOKUP(Grammys[[#This Row],[date]], mobile_visits[date], mobile_visits[mobile_visitors], 0)</f>
        <v>0</v>
      </c>
      <c r="Q463" s="1">
        <v>45054</v>
      </c>
      <c r="R463">
        <v>18116</v>
      </c>
    </row>
    <row r="464" spans="1:18" x14ac:dyDescent="0.2">
      <c r="A464" s="1">
        <v>43198</v>
      </c>
      <c r="B464">
        <v>12451</v>
      </c>
      <c r="C464">
        <v>17427</v>
      </c>
      <c r="D464">
        <v>12844</v>
      </c>
      <c r="E464">
        <v>7350</v>
      </c>
      <c r="F464">
        <v>71</v>
      </c>
      <c r="G464" t="s">
        <v>20</v>
      </c>
      <c r="H464" t="str">
        <f>IF(Grammys[[#This Row],[date]] &gt;= DATE(2022, 2, 1), "Grammys", "Grammys + TRA")</f>
        <v>Grammys + TRA</v>
      </c>
      <c r="I464">
        <f>_xlfn.XLOOKUP(Grammys[[#This Row],[date]], mobile_visits[date], mobile_visits[mobile_visitors], 0)</f>
        <v>0</v>
      </c>
      <c r="Q464" s="1">
        <v>45055</v>
      </c>
      <c r="R464">
        <v>15006</v>
      </c>
    </row>
    <row r="465" spans="1:18" x14ac:dyDescent="0.2">
      <c r="A465" s="1">
        <v>43199</v>
      </c>
      <c r="B465">
        <v>13034</v>
      </c>
      <c r="C465">
        <v>19018</v>
      </c>
      <c r="D465">
        <v>13480</v>
      </c>
      <c r="E465">
        <v>7722</v>
      </c>
      <c r="F465">
        <v>74</v>
      </c>
      <c r="G465" t="s">
        <v>20</v>
      </c>
      <c r="H465" t="str">
        <f>IF(Grammys[[#This Row],[date]] &gt;= DATE(2022, 2, 1), "Grammys", "Grammys + TRA")</f>
        <v>Grammys + TRA</v>
      </c>
      <c r="I465">
        <f>_xlfn.XLOOKUP(Grammys[[#This Row],[date]], mobile_visits[date], mobile_visits[mobile_visitors], 0)</f>
        <v>0</v>
      </c>
      <c r="Q465" s="1">
        <v>45056</v>
      </c>
      <c r="R465">
        <v>19099</v>
      </c>
    </row>
    <row r="466" spans="1:18" x14ac:dyDescent="0.2">
      <c r="A466" s="1">
        <v>43200</v>
      </c>
      <c r="B466">
        <v>24432</v>
      </c>
      <c r="C466">
        <v>35926</v>
      </c>
      <c r="D466">
        <v>25403</v>
      </c>
      <c r="E466">
        <v>13406</v>
      </c>
      <c r="F466">
        <v>81</v>
      </c>
      <c r="G466" t="s">
        <v>20</v>
      </c>
      <c r="H466" t="str">
        <f>IF(Grammys[[#This Row],[date]] &gt;= DATE(2022, 2, 1), "Grammys", "Grammys + TRA")</f>
        <v>Grammys + TRA</v>
      </c>
      <c r="I466">
        <f>_xlfn.XLOOKUP(Grammys[[#This Row],[date]], mobile_visits[date], mobile_visits[mobile_visitors], 0)</f>
        <v>0</v>
      </c>
      <c r="Q466" s="1">
        <v>45057</v>
      </c>
      <c r="R466">
        <v>14490</v>
      </c>
    </row>
    <row r="467" spans="1:18" x14ac:dyDescent="0.2">
      <c r="A467" s="1">
        <v>43201</v>
      </c>
      <c r="B467">
        <v>22569</v>
      </c>
      <c r="C467">
        <v>33376</v>
      </c>
      <c r="D467">
        <v>23297</v>
      </c>
      <c r="E467">
        <v>11262</v>
      </c>
      <c r="F467">
        <v>80</v>
      </c>
      <c r="G467" t="s">
        <v>20</v>
      </c>
      <c r="H467" t="str">
        <f>IF(Grammys[[#This Row],[date]] &gt;= DATE(2022, 2, 1), "Grammys", "Grammys + TRA")</f>
        <v>Grammys + TRA</v>
      </c>
      <c r="I467">
        <f>_xlfn.XLOOKUP(Grammys[[#This Row],[date]], mobile_visits[date], mobile_visits[mobile_visitors], 0)</f>
        <v>0</v>
      </c>
      <c r="Q467" s="1">
        <v>45058</v>
      </c>
      <c r="R467">
        <v>12174</v>
      </c>
    </row>
    <row r="468" spans="1:18" x14ac:dyDescent="0.2">
      <c r="A468" s="1">
        <v>43202</v>
      </c>
      <c r="B468">
        <v>16688</v>
      </c>
      <c r="C468">
        <v>24528</v>
      </c>
      <c r="D468">
        <v>17327</v>
      </c>
      <c r="E468">
        <v>9768</v>
      </c>
      <c r="F468">
        <v>75</v>
      </c>
      <c r="G468" t="s">
        <v>20</v>
      </c>
      <c r="H468" t="str">
        <f>IF(Grammys[[#This Row],[date]] &gt;= DATE(2022, 2, 1), "Grammys", "Grammys + TRA")</f>
        <v>Grammys + TRA</v>
      </c>
      <c r="I468">
        <f>_xlfn.XLOOKUP(Grammys[[#This Row],[date]], mobile_visits[date], mobile_visits[mobile_visitors], 0)</f>
        <v>0</v>
      </c>
      <c r="Q468" s="1">
        <v>45059</v>
      </c>
      <c r="R468">
        <v>11056</v>
      </c>
    </row>
    <row r="469" spans="1:18" x14ac:dyDescent="0.2">
      <c r="A469" s="1">
        <v>43203</v>
      </c>
      <c r="B469">
        <v>13873</v>
      </c>
      <c r="C469">
        <v>20125</v>
      </c>
      <c r="D469">
        <v>14311</v>
      </c>
      <c r="E469">
        <v>7986</v>
      </c>
      <c r="F469">
        <v>75</v>
      </c>
      <c r="G469" t="s">
        <v>20</v>
      </c>
      <c r="H469" t="str">
        <f>IF(Grammys[[#This Row],[date]] &gt;= DATE(2022, 2, 1), "Grammys", "Grammys + TRA")</f>
        <v>Grammys + TRA</v>
      </c>
      <c r="I469">
        <f>_xlfn.XLOOKUP(Grammys[[#This Row],[date]], mobile_visits[date], mobile_visits[mobile_visitors], 0)</f>
        <v>0</v>
      </c>
      <c r="Q469" s="1">
        <v>45060</v>
      </c>
      <c r="R469">
        <v>14688</v>
      </c>
    </row>
    <row r="470" spans="1:18" x14ac:dyDescent="0.2">
      <c r="A470" s="1">
        <v>43204</v>
      </c>
      <c r="B470">
        <v>13482</v>
      </c>
      <c r="C470">
        <v>18419</v>
      </c>
      <c r="D470">
        <v>13835</v>
      </c>
      <c r="E470">
        <v>7957</v>
      </c>
      <c r="F470">
        <v>65</v>
      </c>
      <c r="G470" t="s">
        <v>20</v>
      </c>
      <c r="H470" t="str">
        <f>IF(Grammys[[#This Row],[date]] &gt;= DATE(2022, 2, 1), "Grammys", "Grammys + TRA")</f>
        <v>Grammys + TRA</v>
      </c>
      <c r="I470">
        <f>_xlfn.XLOOKUP(Grammys[[#This Row],[date]], mobile_visits[date], mobile_visits[mobile_visitors], 0)</f>
        <v>0</v>
      </c>
      <c r="Q470" s="1">
        <v>45061</v>
      </c>
      <c r="R470">
        <v>11255</v>
      </c>
    </row>
    <row r="471" spans="1:18" x14ac:dyDescent="0.2">
      <c r="A471" s="1">
        <v>43205</v>
      </c>
      <c r="B471">
        <v>16003</v>
      </c>
      <c r="C471">
        <v>22607</v>
      </c>
      <c r="D471">
        <v>16643</v>
      </c>
      <c r="E471">
        <v>9557</v>
      </c>
      <c r="F471">
        <v>67</v>
      </c>
      <c r="G471" t="s">
        <v>20</v>
      </c>
      <c r="H471" t="str">
        <f>IF(Grammys[[#This Row],[date]] &gt;= DATE(2022, 2, 1), "Grammys", "Grammys + TRA")</f>
        <v>Grammys + TRA</v>
      </c>
      <c r="I471">
        <f>_xlfn.XLOOKUP(Grammys[[#This Row],[date]], mobile_visits[date], mobile_visits[mobile_visitors], 0)</f>
        <v>0</v>
      </c>
      <c r="Q471" s="1">
        <v>45062</v>
      </c>
      <c r="R471">
        <v>8591</v>
      </c>
    </row>
    <row r="472" spans="1:18" x14ac:dyDescent="0.2">
      <c r="A472" s="1">
        <v>43206</v>
      </c>
      <c r="B472">
        <v>15870</v>
      </c>
      <c r="C472">
        <v>22296</v>
      </c>
      <c r="D472">
        <v>16319</v>
      </c>
      <c r="E472">
        <v>9604</v>
      </c>
      <c r="F472">
        <v>71</v>
      </c>
      <c r="G472" t="s">
        <v>20</v>
      </c>
      <c r="H472" t="str">
        <f>IF(Grammys[[#This Row],[date]] &gt;= DATE(2022, 2, 1), "Grammys", "Grammys + TRA")</f>
        <v>Grammys + TRA</v>
      </c>
      <c r="I472">
        <f>_xlfn.XLOOKUP(Grammys[[#This Row],[date]], mobile_visits[date], mobile_visits[mobile_visitors], 0)</f>
        <v>0</v>
      </c>
      <c r="Q472" s="1">
        <v>45063</v>
      </c>
      <c r="R472">
        <v>9052</v>
      </c>
    </row>
    <row r="473" spans="1:18" x14ac:dyDescent="0.2">
      <c r="A473" s="1">
        <v>43207</v>
      </c>
      <c r="B473">
        <v>15965</v>
      </c>
      <c r="C473">
        <v>21951</v>
      </c>
      <c r="D473">
        <v>16287</v>
      </c>
      <c r="E473">
        <v>9116</v>
      </c>
      <c r="F473">
        <v>72</v>
      </c>
      <c r="G473" t="s">
        <v>20</v>
      </c>
      <c r="H473" t="str">
        <f>IF(Grammys[[#This Row],[date]] &gt;= DATE(2022, 2, 1), "Grammys", "Grammys + TRA")</f>
        <v>Grammys + TRA</v>
      </c>
      <c r="I473">
        <f>_xlfn.XLOOKUP(Grammys[[#This Row],[date]], mobile_visits[date], mobile_visits[mobile_visitors], 0)</f>
        <v>0</v>
      </c>
      <c r="Q473" s="1">
        <v>45064</v>
      </c>
      <c r="R473">
        <v>8279</v>
      </c>
    </row>
    <row r="474" spans="1:18" x14ac:dyDescent="0.2">
      <c r="A474" s="1">
        <v>43208</v>
      </c>
      <c r="B474">
        <v>29388</v>
      </c>
      <c r="C474">
        <v>42159</v>
      </c>
      <c r="D474">
        <v>30690</v>
      </c>
      <c r="E474">
        <v>14956</v>
      </c>
      <c r="F474">
        <v>97</v>
      </c>
      <c r="G474" t="s">
        <v>20</v>
      </c>
      <c r="H474" t="str">
        <f>IF(Grammys[[#This Row],[date]] &gt;= DATE(2022, 2, 1), "Grammys", "Grammys + TRA")</f>
        <v>Grammys + TRA</v>
      </c>
      <c r="I474">
        <f>_xlfn.XLOOKUP(Grammys[[#This Row],[date]], mobile_visits[date], mobile_visits[mobile_visitors], 0)</f>
        <v>0</v>
      </c>
      <c r="Q474" s="1">
        <v>45065</v>
      </c>
      <c r="R474">
        <v>12395</v>
      </c>
    </row>
    <row r="475" spans="1:18" x14ac:dyDescent="0.2">
      <c r="A475" s="1">
        <v>43209</v>
      </c>
      <c r="B475">
        <v>19914</v>
      </c>
      <c r="C475">
        <v>27166</v>
      </c>
      <c r="D475">
        <v>20472</v>
      </c>
      <c r="E475">
        <v>12028</v>
      </c>
      <c r="F475">
        <v>69</v>
      </c>
      <c r="G475" t="s">
        <v>20</v>
      </c>
      <c r="H475" t="str">
        <f>IF(Grammys[[#This Row],[date]] &gt;= DATE(2022, 2, 1), "Grammys", "Grammys + TRA")</f>
        <v>Grammys + TRA</v>
      </c>
      <c r="I475">
        <f>_xlfn.XLOOKUP(Grammys[[#This Row],[date]], mobile_visits[date], mobile_visits[mobile_visitors], 0)</f>
        <v>0</v>
      </c>
      <c r="Q475" s="1">
        <v>45066</v>
      </c>
      <c r="R475">
        <v>13937</v>
      </c>
    </row>
    <row r="476" spans="1:18" x14ac:dyDescent="0.2">
      <c r="A476" s="1">
        <v>43210</v>
      </c>
      <c r="B476">
        <v>19957</v>
      </c>
      <c r="C476">
        <v>26827</v>
      </c>
      <c r="D476">
        <v>21019</v>
      </c>
      <c r="E476">
        <v>11067</v>
      </c>
      <c r="F476">
        <v>61</v>
      </c>
      <c r="G476" t="s">
        <v>20</v>
      </c>
      <c r="H476" t="str">
        <f>IF(Grammys[[#This Row],[date]] &gt;= DATE(2022, 2, 1), "Grammys", "Grammys + TRA")</f>
        <v>Grammys + TRA</v>
      </c>
      <c r="I476">
        <f>_xlfn.XLOOKUP(Grammys[[#This Row],[date]], mobile_visits[date], mobile_visits[mobile_visitors], 0)</f>
        <v>0</v>
      </c>
      <c r="Q476" s="1">
        <v>45067</v>
      </c>
      <c r="R476">
        <v>12513</v>
      </c>
    </row>
    <row r="477" spans="1:18" x14ac:dyDescent="0.2">
      <c r="A477" s="1">
        <v>43211</v>
      </c>
      <c r="B477">
        <v>20366</v>
      </c>
      <c r="C477">
        <v>26620</v>
      </c>
      <c r="D477">
        <v>21546</v>
      </c>
      <c r="E477">
        <v>10739</v>
      </c>
      <c r="F477">
        <v>55</v>
      </c>
      <c r="G477" t="s">
        <v>20</v>
      </c>
      <c r="H477" t="str">
        <f>IF(Grammys[[#This Row],[date]] &gt;= DATE(2022, 2, 1), "Grammys", "Grammys + TRA")</f>
        <v>Grammys + TRA</v>
      </c>
      <c r="I477">
        <f>_xlfn.XLOOKUP(Grammys[[#This Row],[date]], mobile_visits[date], mobile_visits[mobile_visitors], 0)</f>
        <v>0</v>
      </c>
      <c r="Q477" s="1">
        <v>45068</v>
      </c>
      <c r="R477">
        <v>11455</v>
      </c>
    </row>
    <row r="478" spans="1:18" x14ac:dyDescent="0.2">
      <c r="A478" s="1">
        <v>43212</v>
      </c>
      <c r="B478">
        <v>17963</v>
      </c>
      <c r="C478">
        <v>23655</v>
      </c>
      <c r="D478">
        <v>18978</v>
      </c>
      <c r="E478">
        <v>9778</v>
      </c>
      <c r="F478">
        <v>58</v>
      </c>
      <c r="G478" t="s">
        <v>20</v>
      </c>
      <c r="H478" t="str">
        <f>IF(Grammys[[#This Row],[date]] &gt;= DATE(2022, 2, 1), "Grammys", "Grammys + TRA")</f>
        <v>Grammys + TRA</v>
      </c>
      <c r="I478">
        <f>_xlfn.XLOOKUP(Grammys[[#This Row],[date]], mobile_visits[date], mobile_visits[mobile_visitors], 0)</f>
        <v>0</v>
      </c>
      <c r="Q478" s="1">
        <v>45069</v>
      </c>
      <c r="R478">
        <v>11146</v>
      </c>
    </row>
    <row r="479" spans="1:18" x14ac:dyDescent="0.2">
      <c r="A479" s="1">
        <v>43213</v>
      </c>
      <c r="B479">
        <v>17698</v>
      </c>
      <c r="C479">
        <v>24007</v>
      </c>
      <c r="D479">
        <v>18486</v>
      </c>
      <c r="E479">
        <v>9678</v>
      </c>
      <c r="F479">
        <v>62</v>
      </c>
      <c r="G479" t="s">
        <v>20</v>
      </c>
      <c r="H479" t="str">
        <f>IF(Grammys[[#This Row],[date]] &gt;= DATE(2022, 2, 1), "Grammys", "Grammys + TRA")</f>
        <v>Grammys + TRA</v>
      </c>
      <c r="I479">
        <f>_xlfn.XLOOKUP(Grammys[[#This Row],[date]], mobile_visits[date], mobile_visits[mobile_visitors], 0)</f>
        <v>0</v>
      </c>
      <c r="Q479" s="1">
        <v>45070</v>
      </c>
      <c r="R479">
        <v>13245</v>
      </c>
    </row>
    <row r="480" spans="1:18" x14ac:dyDescent="0.2">
      <c r="A480" s="1">
        <v>43214</v>
      </c>
      <c r="B480">
        <v>16290</v>
      </c>
      <c r="C480">
        <v>22103</v>
      </c>
      <c r="D480">
        <v>17129</v>
      </c>
      <c r="E480">
        <v>9129</v>
      </c>
      <c r="F480">
        <v>72</v>
      </c>
      <c r="G480" t="s">
        <v>20</v>
      </c>
      <c r="H480" t="str">
        <f>IF(Grammys[[#This Row],[date]] &gt;= DATE(2022, 2, 1), "Grammys", "Grammys + TRA")</f>
        <v>Grammys + TRA</v>
      </c>
      <c r="I480">
        <f>_xlfn.XLOOKUP(Grammys[[#This Row],[date]], mobile_visits[date], mobile_visits[mobile_visitors], 0)</f>
        <v>0</v>
      </c>
      <c r="Q480" s="1">
        <v>45071</v>
      </c>
      <c r="R480">
        <v>15970</v>
      </c>
    </row>
    <row r="481" spans="1:18" x14ac:dyDescent="0.2">
      <c r="A481" s="1">
        <v>43215</v>
      </c>
      <c r="B481">
        <v>15499</v>
      </c>
      <c r="C481">
        <v>21472</v>
      </c>
      <c r="D481">
        <v>16376</v>
      </c>
      <c r="E481">
        <v>8673</v>
      </c>
      <c r="F481">
        <v>70</v>
      </c>
      <c r="G481" t="s">
        <v>20</v>
      </c>
      <c r="H481" t="str">
        <f>IF(Grammys[[#This Row],[date]] &gt;= DATE(2022, 2, 1), "Grammys", "Grammys + TRA")</f>
        <v>Grammys + TRA</v>
      </c>
      <c r="I481">
        <f>_xlfn.XLOOKUP(Grammys[[#This Row],[date]], mobile_visits[date], mobile_visits[mobile_visitors], 0)</f>
        <v>0</v>
      </c>
      <c r="Q481" s="1">
        <v>45072</v>
      </c>
      <c r="R481">
        <v>12674</v>
      </c>
    </row>
    <row r="482" spans="1:18" x14ac:dyDescent="0.2">
      <c r="A482" s="1">
        <v>43216</v>
      </c>
      <c r="B482">
        <v>16901</v>
      </c>
      <c r="C482">
        <v>22733</v>
      </c>
      <c r="D482">
        <v>17603</v>
      </c>
      <c r="E482">
        <v>9258</v>
      </c>
      <c r="F482">
        <v>70</v>
      </c>
      <c r="G482" t="s">
        <v>20</v>
      </c>
      <c r="H482" t="str">
        <f>IF(Grammys[[#This Row],[date]] &gt;= DATE(2022, 2, 1), "Grammys", "Grammys + TRA")</f>
        <v>Grammys + TRA</v>
      </c>
      <c r="I482">
        <f>_xlfn.XLOOKUP(Grammys[[#This Row],[date]], mobile_visits[date], mobile_visits[mobile_visitors], 0)</f>
        <v>0</v>
      </c>
      <c r="Q482" s="1">
        <v>45073</v>
      </c>
      <c r="R482">
        <v>11412</v>
      </c>
    </row>
    <row r="483" spans="1:18" x14ac:dyDescent="0.2">
      <c r="A483" s="1">
        <v>43217</v>
      </c>
      <c r="B483">
        <v>15228</v>
      </c>
      <c r="C483">
        <v>20153</v>
      </c>
      <c r="D483">
        <v>15462</v>
      </c>
      <c r="E483">
        <v>8497</v>
      </c>
      <c r="F483">
        <v>66</v>
      </c>
      <c r="G483" t="s">
        <v>20</v>
      </c>
      <c r="H483" t="str">
        <f>IF(Grammys[[#This Row],[date]] &gt;= DATE(2022, 2, 1), "Grammys", "Grammys + TRA")</f>
        <v>Grammys + TRA</v>
      </c>
      <c r="I483">
        <f>_xlfn.XLOOKUP(Grammys[[#This Row],[date]], mobile_visits[date], mobile_visits[mobile_visitors], 0)</f>
        <v>0</v>
      </c>
      <c r="Q483" s="1">
        <v>45074</v>
      </c>
      <c r="R483">
        <v>11060</v>
      </c>
    </row>
    <row r="484" spans="1:18" x14ac:dyDescent="0.2">
      <c r="A484" s="1">
        <v>43218</v>
      </c>
      <c r="B484">
        <v>15602</v>
      </c>
      <c r="C484">
        <v>20754</v>
      </c>
      <c r="D484">
        <v>16418</v>
      </c>
      <c r="E484">
        <v>8740</v>
      </c>
      <c r="F484">
        <v>61</v>
      </c>
      <c r="G484" t="s">
        <v>20</v>
      </c>
      <c r="H484" t="str">
        <f>IF(Grammys[[#This Row],[date]] &gt;= DATE(2022, 2, 1), "Grammys", "Grammys + TRA")</f>
        <v>Grammys + TRA</v>
      </c>
      <c r="I484">
        <f>_xlfn.XLOOKUP(Grammys[[#This Row],[date]], mobile_visits[date], mobile_visits[mobile_visitors], 0)</f>
        <v>0</v>
      </c>
      <c r="Q484" s="1">
        <v>45075</v>
      </c>
      <c r="R484">
        <v>16834</v>
      </c>
    </row>
    <row r="485" spans="1:18" x14ac:dyDescent="0.2">
      <c r="A485" s="1">
        <v>43219</v>
      </c>
      <c r="B485">
        <v>15171</v>
      </c>
      <c r="C485">
        <v>19795</v>
      </c>
      <c r="D485">
        <v>15706</v>
      </c>
      <c r="E485">
        <v>7607</v>
      </c>
      <c r="F485">
        <v>61</v>
      </c>
      <c r="G485" t="s">
        <v>20</v>
      </c>
      <c r="H485" t="str">
        <f>IF(Grammys[[#This Row],[date]] &gt;= DATE(2022, 2, 1), "Grammys", "Grammys + TRA")</f>
        <v>Grammys + TRA</v>
      </c>
      <c r="I485">
        <f>_xlfn.XLOOKUP(Grammys[[#This Row],[date]], mobile_visits[date], mobile_visits[mobile_visitors], 0)</f>
        <v>0</v>
      </c>
      <c r="Q485" s="1">
        <v>45076</v>
      </c>
      <c r="R485">
        <v>10734</v>
      </c>
    </row>
    <row r="486" spans="1:18" x14ac:dyDescent="0.2">
      <c r="A486" s="1">
        <v>43220</v>
      </c>
      <c r="B486">
        <v>19538</v>
      </c>
      <c r="C486">
        <v>25173</v>
      </c>
      <c r="D486">
        <v>20200</v>
      </c>
      <c r="E486">
        <v>9680</v>
      </c>
      <c r="F486">
        <v>67</v>
      </c>
      <c r="G486" t="s">
        <v>20</v>
      </c>
      <c r="H486" t="str">
        <f>IF(Grammys[[#This Row],[date]] &gt;= DATE(2022, 2, 1), "Grammys", "Grammys + TRA")</f>
        <v>Grammys + TRA</v>
      </c>
      <c r="I486">
        <f>_xlfn.XLOOKUP(Grammys[[#This Row],[date]], mobile_visits[date], mobile_visits[mobile_visitors], 0)</f>
        <v>0</v>
      </c>
      <c r="Q486" s="1">
        <v>45077</v>
      </c>
      <c r="R486">
        <v>22726</v>
      </c>
    </row>
    <row r="487" spans="1:18" x14ac:dyDescent="0.2">
      <c r="A487" s="1">
        <v>43221</v>
      </c>
      <c r="B487">
        <v>14258</v>
      </c>
      <c r="C487">
        <v>19391</v>
      </c>
      <c r="D487">
        <v>14711</v>
      </c>
      <c r="E487">
        <v>8015</v>
      </c>
      <c r="F487">
        <v>71</v>
      </c>
      <c r="G487" t="s">
        <v>20</v>
      </c>
      <c r="H487" t="str">
        <f>IF(Grammys[[#This Row],[date]] &gt;= DATE(2022, 2, 1), "Grammys", "Grammys + TRA")</f>
        <v>Grammys + TRA</v>
      </c>
      <c r="I487">
        <f>_xlfn.XLOOKUP(Grammys[[#This Row],[date]], mobile_visits[date], mobile_visits[mobile_visitors], 0)</f>
        <v>0</v>
      </c>
      <c r="Q487" s="1">
        <v>45078</v>
      </c>
      <c r="R487">
        <v>11056</v>
      </c>
    </row>
    <row r="488" spans="1:18" x14ac:dyDescent="0.2">
      <c r="A488" s="1">
        <v>43222</v>
      </c>
      <c r="B488">
        <v>14338</v>
      </c>
      <c r="C488">
        <v>19817</v>
      </c>
      <c r="D488">
        <v>14832</v>
      </c>
      <c r="E488">
        <v>7805</v>
      </c>
      <c r="F488">
        <v>79</v>
      </c>
      <c r="G488" t="s">
        <v>20</v>
      </c>
      <c r="H488" t="str">
        <f>IF(Grammys[[#This Row],[date]] &gt;= DATE(2022, 2, 1), "Grammys", "Grammys + TRA")</f>
        <v>Grammys + TRA</v>
      </c>
      <c r="I488">
        <f>_xlfn.XLOOKUP(Grammys[[#This Row],[date]], mobile_visits[date], mobile_visits[mobile_visitors], 0)</f>
        <v>0</v>
      </c>
      <c r="Q488" s="1">
        <v>45079</v>
      </c>
      <c r="R488">
        <v>8083</v>
      </c>
    </row>
    <row r="489" spans="1:18" x14ac:dyDescent="0.2">
      <c r="A489" s="1">
        <v>43223</v>
      </c>
      <c r="B489">
        <v>14110</v>
      </c>
      <c r="C489">
        <v>18984</v>
      </c>
      <c r="D489">
        <v>14569</v>
      </c>
      <c r="E489">
        <v>7537</v>
      </c>
      <c r="F489">
        <v>71</v>
      </c>
      <c r="G489" t="s">
        <v>20</v>
      </c>
      <c r="H489" t="str">
        <f>IF(Grammys[[#This Row],[date]] &gt;= DATE(2022, 2, 1), "Grammys", "Grammys + TRA")</f>
        <v>Grammys + TRA</v>
      </c>
      <c r="I489">
        <f>_xlfn.XLOOKUP(Grammys[[#This Row],[date]], mobile_visits[date], mobile_visits[mobile_visitors], 0)</f>
        <v>0</v>
      </c>
      <c r="Q489" s="1">
        <v>45080</v>
      </c>
      <c r="R489">
        <v>10300</v>
      </c>
    </row>
    <row r="490" spans="1:18" x14ac:dyDescent="0.2">
      <c r="A490" s="1">
        <v>43224</v>
      </c>
      <c r="B490">
        <v>11855</v>
      </c>
      <c r="C490">
        <v>15934</v>
      </c>
      <c r="D490">
        <v>12086</v>
      </c>
      <c r="E490">
        <v>6997</v>
      </c>
      <c r="F490">
        <v>72</v>
      </c>
      <c r="G490" t="s">
        <v>20</v>
      </c>
      <c r="H490" t="str">
        <f>IF(Grammys[[#This Row],[date]] &gt;= DATE(2022, 2, 1), "Grammys", "Grammys + TRA")</f>
        <v>Grammys + TRA</v>
      </c>
      <c r="I490">
        <f>_xlfn.XLOOKUP(Grammys[[#This Row],[date]], mobile_visits[date], mobile_visits[mobile_visitors], 0)</f>
        <v>0</v>
      </c>
      <c r="Q490" s="1">
        <v>45081</v>
      </c>
      <c r="R490">
        <v>7640</v>
      </c>
    </row>
    <row r="491" spans="1:18" x14ac:dyDescent="0.2">
      <c r="A491" s="1">
        <v>43225</v>
      </c>
      <c r="B491">
        <v>9660</v>
      </c>
      <c r="C491">
        <v>13375</v>
      </c>
      <c r="D491">
        <v>9982</v>
      </c>
      <c r="E491">
        <v>5731</v>
      </c>
      <c r="F491">
        <v>69</v>
      </c>
      <c r="G491" t="s">
        <v>20</v>
      </c>
      <c r="H491" t="str">
        <f>IF(Grammys[[#This Row],[date]] &gt;= DATE(2022, 2, 1), "Grammys", "Grammys + TRA")</f>
        <v>Grammys + TRA</v>
      </c>
      <c r="I491">
        <f>_xlfn.XLOOKUP(Grammys[[#This Row],[date]], mobile_visits[date], mobile_visits[mobile_visitors], 0)</f>
        <v>0</v>
      </c>
      <c r="Q491" s="1">
        <v>45082</v>
      </c>
      <c r="R491">
        <v>11238</v>
      </c>
    </row>
    <row r="492" spans="1:18" x14ac:dyDescent="0.2">
      <c r="A492" s="1">
        <v>43226</v>
      </c>
      <c r="B492">
        <v>9865</v>
      </c>
      <c r="C492">
        <v>13604</v>
      </c>
      <c r="D492">
        <v>10192</v>
      </c>
      <c r="E492">
        <v>5890</v>
      </c>
      <c r="F492">
        <v>78</v>
      </c>
      <c r="G492" t="s">
        <v>20</v>
      </c>
      <c r="H492" t="str">
        <f>IF(Grammys[[#This Row],[date]] &gt;= DATE(2022, 2, 1), "Grammys", "Grammys + TRA")</f>
        <v>Grammys + TRA</v>
      </c>
      <c r="I492">
        <f>_xlfn.XLOOKUP(Grammys[[#This Row],[date]], mobile_visits[date], mobile_visits[mobile_visitors], 0)</f>
        <v>0</v>
      </c>
      <c r="Q492" s="1">
        <v>45083</v>
      </c>
      <c r="R492">
        <v>9309</v>
      </c>
    </row>
    <row r="493" spans="1:18" x14ac:dyDescent="0.2">
      <c r="A493" s="1">
        <v>43227</v>
      </c>
      <c r="B493">
        <v>15197</v>
      </c>
      <c r="C493">
        <v>20591</v>
      </c>
      <c r="D493">
        <v>15712</v>
      </c>
      <c r="E493">
        <v>7878</v>
      </c>
      <c r="F493">
        <v>79</v>
      </c>
      <c r="G493" t="s">
        <v>20</v>
      </c>
      <c r="H493" t="str">
        <f>IF(Grammys[[#This Row],[date]] &gt;= DATE(2022, 2, 1), "Grammys", "Grammys + TRA")</f>
        <v>Grammys + TRA</v>
      </c>
      <c r="I493">
        <f>_xlfn.XLOOKUP(Grammys[[#This Row],[date]], mobile_visits[date], mobile_visits[mobile_visitors], 0)</f>
        <v>0</v>
      </c>
      <c r="Q493" s="1">
        <v>45084</v>
      </c>
      <c r="R493">
        <v>9048</v>
      </c>
    </row>
    <row r="494" spans="1:18" x14ac:dyDescent="0.2">
      <c r="A494" s="1">
        <v>43228</v>
      </c>
      <c r="B494">
        <v>13533</v>
      </c>
      <c r="C494">
        <v>18736</v>
      </c>
      <c r="D494">
        <v>14147</v>
      </c>
      <c r="E494">
        <v>7977</v>
      </c>
      <c r="F494">
        <v>79</v>
      </c>
      <c r="G494" t="s">
        <v>20</v>
      </c>
      <c r="H494" t="str">
        <f>IF(Grammys[[#This Row],[date]] &gt;= DATE(2022, 2, 1), "Grammys", "Grammys + TRA")</f>
        <v>Grammys + TRA</v>
      </c>
      <c r="I494">
        <f>_xlfn.XLOOKUP(Grammys[[#This Row],[date]], mobile_visits[date], mobile_visits[mobile_visitors], 0)</f>
        <v>0</v>
      </c>
      <c r="Q494" s="1">
        <v>45085</v>
      </c>
      <c r="R494">
        <v>9830</v>
      </c>
    </row>
    <row r="495" spans="1:18" x14ac:dyDescent="0.2">
      <c r="A495" s="1">
        <v>43229</v>
      </c>
      <c r="B495">
        <v>15412</v>
      </c>
      <c r="C495">
        <v>20933</v>
      </c>
      <c r="D495">
        <v>15880</v>
      </c>
      <c r="E495">
        <v>7661</v>
      </c>
      <c r="F495">
        <v>74</v>
      </c>
      <c r="G495" t="s">
        <v>20</v>
      </c>
      <c r="H495" t="str">
        <f>IF(Grammys[[#This Row],[date]] &gt;= DATE(2022, 2, 1), "Grammys", "Grammys + TRA")</f>
        <v>Grammys + TRA</v>
      </c>
      <c r="I495">
        <f>_xlfn.XLOOKUP(Grammys[[#This Row],[date]], mobile_visits[date], mobile_visits[mobile_visitors], 0)</f>
        <v>0</v>
      </c>
      <c r="Q495" s="1">
        <v>45086</v>
      </c>
      <c r="R495">
        <v>10248</v>
      </c>
    </row>
    <row r="496" spans="1:18" x14ac:dyDescent="0.2">
      <c r="A496" s="1">
        <v>43230</v>
      </c>
      <c r="B496">
        <v>16306</v>
      </c>
      <c r="C496">
        <v>21462</v>
      </c>
      <c r="D496">
        <v>16752</v>
      </c>
      <c r="E496">
        <v>9593</v>
      </c>
      <c r="F496">
        <v>66</v>
      </c>
      <c r="G496" t="s">
        <v>20</v>
      </c>
      <c r="H496" t="str">
        <f>IF(Grammys[[#This Row],[date]] &gt;= DATE(2022, 2, 1), "Grammys", "Grammys + TRA")</f>
        <v>Grammys + TRA</v>
      </c>
      <c r="I496">
        <f>_xlfn.XLOOKUP(Grammys[[#This Row],[date]], mobile_visits[date], mobile_visits[mobile_visitors], 0)</f>
        <v>0</v>
      </c>
      <c r="Q496" s="1">
        <v>45087</v>
      </c>
      <c r="R496">
        <v>10195</v>
      </c>
    </row>
    <row r="497" spans="1:18" x14ac:dyDescent="0.2">
      <c r="A497" s="1">
        <v>43231</v>
      </c>
      <c r="B497">
        <v>38857</v>
      </c>
      <c r="C497">
        <v>52629</v>
      </c>
      <c r="D497">
        <v>42948</v>
      </c>
      <c r="E497">
        <v>26001</v>
      </c>
      <c r="F497">
        <v>54</v>
      </c>
      <c r="G497" t="s">
        <v>20</v>
      </c>
      <c r="H497" t="str">
        <f>IF(Grammys[[#This Row],[date]] &gt;= DATE(2022, 2, 1), "Grammys", "Grammys + TRA")</f>
        <v>Grammys + TRA</v>
      </c>
      <c r="I497">
        <f>_xlfn.XLOOKUP(Grammys[[#This Row],[date]], mobile_visits[date], mobile_visits[mobile_visitors], 0)</f>
        <v>0</v>
      </c>
      <c r="Q497" s="1">
        <v>45088</v>
      </c>
      <c r="R497">
        <v>8631</v>
      </c>
    </row>
    <row r="498" spans="1:18" x14ac:dyDescent="0.2">
      <c r="A498" s="1">
        <v>43232</v>
      </c>
      <c r="B498">
        <v>14032</v>
      </c>
      <c r="C498">
        <v>18952</v>
      </c>
      <c r="D498">
        <v>14775</v>
      </c>
      <c r="E498">
        <v>8307</v>
      </c>
      <c r="F498">
        <v>64</v>
      </c>
      <c r="G498" t="s">
        <v>20</v>
      </c>
      <c r="H498" t="str">
        <f>IF(Grammys[[#This Row],[date]] &gt;= DATE(2022, 2, 1), "Grammys", "Grammys + TRA")</f>
        <v>Grammys + TRA</v>
      </c>
      <c r="I498">
        <f>_xlfn.XLOOKUP(Grammys[[#This Row],[date]], mobile_visits[date], mobile_visits[mobile_visitors], 0)</f>
        <v>0</v>
      </c>
      <c r="Q498" s="1">
        <v>45089</v>
      </c>
      <c r="R498">
        <v>9309</v>
      </c>
    </row>
    <row r="499" spans="1:18" x14ac:dyDescent="0.2">
      <c r="A499" s="1">
        <v>43233</v>
      </c>
      <c r="B499">
        <v>11393</v>
      </c>
      <c r="C499">
        <v>15906</v>
      </c>
      <c r="D499">
        <v>11895</v>
      </c>
      <c r="E499">
        <v>6706</v>
      </c>
      <c r="F499">
        <v>75</v>
      </c>
      <c r="G499" t="s">
        <v>20</v>
      </c>
      <c r="H499" t="str">
        <f>IF(Grammys[[#This Row],[date]] &gt;= DATE(2022, 2, 1), "Grammys", "Grammys + TRA")</f>
        <v>Grammys + TRA</v>
      </c>
      <c r="I499">
        <f>_xlfn.XLOOKUP(Grammys[[#This Row],[date]], mobile_visits[date], mobile_visits[mobile_visitors], 0)</f>
        <v>0</v>
      </c>
      <c r="Q499" s="1">
        <v>45090</v>
      </c>
      <c r="R499">
        <v>17444</v>
      </c>
    </row>
    <row r="500" spans="1:18" x14ac:dyDescent="0.2">
      <c r="A500" s="1">
        <v>43234</v>
      </c>
      <c r="B500">
        <v>13385</v>
      </c>
      <c r="C500">
        <v>18954</v>
      </c>
      <c r="D500">
        <v>13901</v>
      </c>
      <c r="E500">
        <v>7557</v>
      </c>
      <c r="F500">
        <v>78</v>
      </c>
      <c r="G500" t="s">
        <v>20</v>
      </c>
      <c r="H500" t="str">
        <f>IF(Grammys[[#This Row],[date]] &gt;= DATE(2022, 2, 1), "Grammys", "Grammys + TRA")</f>
        <v>Grammys + TRA</v>
      </c>
      <c r="I500">
        <f>_xlfn.XLOOKUP(Grammys[[#This Row],[date]], mobile_visits[date], mobile_visits[mobile_visitors], 0)</f>
        <v>0</v>
      </c>
      <c r="Q500" s="1">
        <v>45091</v>
      </c>
      <c r="R500">
        <v>14602</v>
      </c>
    </row>
    <row r="501" spans="1:18" x14ac:dyDescent="0.2">
      <c r="A501" s="1">
        <v>43235</v>
      </c>
      <c r="B501">
        <v>19229</v>
      </c>
      <c r="C501">
        <v>30010</v>
      </c>
      <c r="D501">
        <v>19921</v>
      </c>
      <c r="E501">
        <v>8200</v>
      </c>
      <c r="F501">
        <v>411</v>
      </c>
      <c r="G501" t="s">
        <v>20</v>
      </c>
      <c r="H501" t="str">
        <f>IF(Grammys[[#This Row],[date]] &gt;= DATE(2022, 2, 1), "Grammys", "Grammys + TRA")</f>
        <v>Grammys + TRA</v>
      </c>
      <c r="I501">
        <f>_xlfn.XLOOKUP(Grammys[[#This Row],[date]], mobile_visits[date], mobile_visits[mobile_visitors], 0)</f>
        <v>0</v>
      </c>
      <c r="Q501" s="1">
        <v>45092</v>
      </c>
      <c r="R501">
        <v>11134</v>
      </c>
    </row>
    <row r="502" spans="1:18" x14ac:dyDescent="0.2">
      <c r="A502" s="1">
        <v>43236</v>
      </c>
      <c r="B502">
        <v>15021</v>
      </c>
      <c r="C502">
        <v>21813</v>
      </c>
      <c r="D502">
        <v>15343</v>
      </c>
      <c r="E502">
        <v>7419</v>
      </c>
      <c r="F502">
        <v>313</v>
      </c>
      <c r="G502" t="s">
        <v>20</v>
      </c>
      <c r="H502" t="str">
        <f>IF(Grammys[[#This Row],[date]] &gt;= DATE(2022, 2, 1), "Grammys", "Grammys + TRA")</f>
        <v>Grammys + TRA</v>
      </c>
      <c r="I502">
        <f>_xlfn.XLOOKUP(Grammys[[#This Row],[date]], mobile_visits[date], mobile_visits[mobile_visitors], 0)</f>
        <v>0</v>
      </c>
      <c r="Q502" s="1">
        <v>45093</v>
      </c>
      <c r="R502">
        <v>12151</v>
      </c>
    </row>
    <row r="503" spans="1:18" x14ac:dyDescent="0.2">
      <c r="A503" s="1">
        <v>43237</v>
      </c>
      <c r="B503">
        <v>14457</v>
      </c>
      <c r="C503">
        <v>20592</v>
      </c>
      <c r="D503">
        <v>14677</v>
      </c>
      <c r="E503">
        <v>7537</v>
      </c>
      <c r="F503">
        <v>291</v>
      </c>
      <c r="G503" t="s">
        <v>20</v>
      </c>
      <c r="H503" t="str">
        <f>IF(Grammys[[#This Row],[date]] &gt;= DATE(2022, 2, 1), "Grammys", "Grammys + TRA")</f>
        <v>Grammys + TRA</v>
      </c>
      <c r="I503">
        <f>_xlfn.XLOOKUP(Grammys[[#This Row],[date]], mobile_visits[date], mobile_visits[mobile_visitors], 0)</f>
        <v>0</v>
      </c>
      <c r="Q503" s="1">
        <v>45094</v>
      </c>
      <c r="R503">
        <v>12699</v>
      </c>
    </row>
    <row r="504" spans="1:18" x14ac:dyDescent="0.2">
      <c r="A504" s="1">
        <v>43238</v>
      </c>
      <c r="B504">
        <v>13300</v>
      </c>
      <c r="C504">
        <v>18406</v>
      </c>
      <c r="D504">
        <v>13422</v>
      </c>
      <c r="E504">
        <v>7317</v>
      </c>
      <c r="F504">
        <v>253</v>
      </c>
      <c r="G504" t="s">
        <v>20</v>
      </c>
      <c r="H504" t="str">
        <f>IF(Grammys[[#This Row],[date]] &gt;= DATE(2022, 2, 1), "Grammys", "Grammys + TRA")</f>
        <v>Grammys + TRA</v>
      </c>
      <c r="I504">
        <f>_xlfn.XLOOKUP(Grammys[[#This Row],[date]], mobile_visits[date], mobile_visits[mobile_visitors], 0)</f>
        <v>0</v>
      </c>
      <c r="Q504" s="1">
        <v>45095</v>
      </c>
      <c r="R504">
        <v>13272</v>
      </c>
    </row>
    <row r="505" spans="1:18" x14ac:dyDescent="0.2">
      <c r="A505" s="1">
        <v>43239</v>
      </c>
      <c r="B505">
        <v>13694</v>
      </c>
      <c r="C505">
        <v>17815</v>
      </c>
      <c r="D505">
        <v>13609</v>
      </c>
      <c r="E505">
        <v>6956</v>
      </c>
      <c r="F505">
        <v>223</v>
      </c>
      <c r="G505" t="s">
        <v>20</v>
      </c>
      <c r="H505" t="str">
        <f>IF(Grammys[[#This Row],[date]] &gt;= DATE(2022, 2, 1), "Grammys", "Grammys + TRA")</f>
        <v>Grammys + TRA</v>
      </c>
      <c r="I505">
        <f>_xlfn.XLOOKUP(Grammys[[#This Row],[date]], mobile_visits[date], mobile_visits[mobile_visitors], 0)</f>
        <v>0</v>
      </c>
      <c r="Q505" s="1">
        <v>45096</v>
      </c>
      <c r="R505">
        <v>8370</v>
      </c>
    </row>
    <row r="506" spans="1:18" x14ac:dyDescent="0.2">
      <c r="A506" s="1">
        <v>43240</v>
      </c>
      <c r="B506">
        <v>13506</v>
      </c>
      <c r="C506">
        <v>18618</v>
      </c>
      <c r="D506">
        <v>13528</v>
      </c>
      <c r="E506">
        <v>7365</v>
      </c>
      <c r="F506">
        <v>247</v>
      </c>
      <c r="G506" t="s">
        <v>20</v>
      </c>
      <c r="H506" t="str">
        <f>IF(Grammys[[#This Row],[date]] &gt;= DATE(2022, 2, 1), "Grammys", "Grammys + TRA")</f>
        <v>Grammys + TRA</v>
      </c>
      <c r="I506">
        <f>_xlfn.XLOOKUP(Grammys[[#This Row],[date]], mobile_visits[date], mobile_visits[mobile_visitors], 0)</f>
        <v>0</v>
      </c>
      <c r="Q506" s="1">
        <v>45097</v>
      </c>
      <c r="R506">
        <v>9517</v>
      </c>
    </row>
    <row r="507" spans="1:18" x14ac:dyDescent="0.2">
      <c r="A507" s="1">
        <v>43241</v>
      </c>
      <c r="B507">
        <v>13825</v>
      </c>
      <c r="C507">
        <v>19891</v>
      </c>
      <c r="D507">
        <v>13898</v>
      </c>
      <c r="E507">
        <v>7881</v>
      </c>
      <c r="F507">
        <v>268</v>
      </c>
      <c r="G507" t="s">
        <v>20</v>
      </c>
      <c r="H507" t="str">
        <f>IF(Grammys[[#This Row],[date]] &gt;= DATE(2022, 2, 1), "Grammys", "Grammys + TRA")</f>
        <v>Grammys + TRA</v>
      </c>
      <c r="I507">
        <f>_xlfn.XLOOKUP(Grammys[[#This Row],[date]], mobile_visits[date], mobile_visits[mobile_visitors], 0)</f>
        <v>0</v>
      </c>
      <c r="Q507" s="1">
        <v>45098</v>
      </c>
      <c r="R507">
        <v>9804</v>
      </c>
    </row>
    <row r="508" spans="1:18" x14ac:dyDescent="0.2">
      <c r="A508" s="1">
        <v>43242</v>
      </c>
      <c r="B508">
        <v>13659</v>
      </c>
      <c r="C508">
        <v>19572</v>
      </c>
      <c r="D508">
        <v>13888</v>
      </c>
      <c r="E508">
        <v>7746</v>
      </c>
      <c r="F508">
        <v>267</v>
      </c>
      <c r="G508" t="s">
        <v>20</v>
      </c>
      <c r="H508" t="str">
        <f>IF(Grammys[[#This Row],[date]] &gt;= DATE(2022, 2, 1), "Grammys", "Grammys + TRA")</f>
        <v>Grammys + TRA</v>
      </c>
      <c r="I508">
        <f>_xlfn.XLOOKUP(Grammys[[#This Row],[date]], mobile_visits[date], mobile_visits[mobile_visitors], 0)</f>
        <v>0</v>
      </c>
      <c r="Q508" s="1">
        <v>45099</v>
      </c>
      <c r="R508">
        <v>9387</v>
      </c>
    </row>
    <row r="509" spans="1:18" x14ac:dyDescent="0.2">
      <c r="A509" s="1">
        <v>43243</v>
      </c>
      <c r="B509">
        <v>12272</v>
      </c>
      <c r="C509">
        <v>17003</v>
      </c>
      <c r="D509">
        <v>12205</v>
      </c>
      <c r="E509">
        <v>6756</v>
      </c>
      <c r="F509">
        <v>259</v>
      </c>
      <c r="G509" t="s">
        <v>20</v>
      </c>
      <c r="H509" t="str">
        <f>IF(Grammys[[#This Row],[date]] &gt;= DATE(2022, 2, 1), "Grammys", "Grammys + TRA")</f>
        <v>Grammys + TRA</v>
      </c>
      <c r="I509">
        <f>_xlfn.XLOOKUP(Grammys[[#This Row],[date]], mobile_visits[date], mobile_visits[mobile_visitors], 0)</f>
        <v>0</v>
      </c>
      <c r="Q509" s="1">
        <v>45100</v>
      </c>
      <c r="R509">
        <v>11995</v>
      </c>
    </row>
    <row r="510" spans="1:18" x14ac:dyDescent="0.2">
      <c r="A510" s="1">
        <v>43244</v>
      </c>
      <c r="B510">
        <v>11203</v>
      </c>
      <c r="C510">
        <v>15844</v>
      </c>
      <c r="D510">
        <v>11312</v>
      </c>
      <c r="E510">
        <v>6552</v>
      </c>
      <c r="F510">
        <v>274</v>
      </c>
      <c r="G510" t="s">
        <v>20</v>
      </c>
      <c r="H510" t="str">
        <f>IF(Grammys[[#This Row],[date]] &gt;= DATE(2022, 2, 1), "Grammys", "Grammys + TRA")</f>
        <v>Grammys + TRA</v>
      </c>
      <c r="I510">
        <f>_xlfn.XLOOKUP(Grammys[[#This Row],[date]], mobile_visits[date], mobile_visits[mobile_visitors], 0)</f>
        <v>0</v>
      </c>
      <c r="Q510" s="1">
        <v>45101</v>
      </c>
      <c r="R510">
        <v>11577</v>
      </c>
    </row>
    <row r="511" spans="1:18" x14ac:dyDescent="0.2">
      <c r="A511" s="1">
        <v>43245</v>
      </c>
      <c r="B511">
        <v>10547</v>
      </c>
      <c r="C511">
        <v>14690</v>
      </c>
      <c r="D511">
        <v>10476</v>
      </c>
      <c r="E511">
        <v>6155</v>
      </c>
      <c r="F511">
        <v>278</v>
      </c>
      <c r="G511" t="s">
        <v>20</v>
      </c>
      <c r="H511" t="str">
        <f>IF(Grammys[[#This Row],[date]] &gt;= DATE(2022, 2, 1), "Grammys", "Grammys + TRA")</f>
        <v>Grammys + TRA</v>
      </c>
      <c r="I511">
        <f>_xlfn.XLOOKUP(Grammys[[#This Row],[date]], mobile_visits[date], mobile_visits[mobile_visitors], 0)</f>
        <v>0</v>
      </c>
      <c r="Q511" s="1">
        <v>45102</v>
      </c>
      <c r="R511">
        <v>11369</v>
      </c>
    </row>
    <row r="512" spans="1:18" x14ac:dyDescent="0.2">
      <c r="A512" s="1">
        <v>43246</v>
      </c>
      <c r="B512">
        <v>10256</v>
      </c>
      <c r="C512">
        <v>13473</v>
      </c>
      <c r="D512">
        <v>9966</v>
      </c>
      <c r="E512">
        <v>5729</v>
      </c>
      <c r="F512">
        <v>254</v>
      </c>
      <c r="G512" t="s">
        <v>20</v>
      </c>
      <c r="H512" t="str">
        <f>IF(Grammys[[#This Row],[date]] &gt;= DATE(2022, 2, 1), "Grammys", "Grammys + TRA")</f>
        <v>Grammys + TRA</v>
      </c>
      <c r="I512">
        <f>_xlfn.XLOOKUP(Grammys[[#This Row],[date]], mobile_visits[date], mobile_visits[mobile_visitors], 0)</f>
        <v>0</v>
      </c>
      <c r="Q512" s="1">
        <v>45103</v>
      </c>
      <c r="R512">
        <v>7327</v>
      </c>
    </row>
    <row r="513" spans="1:18" x14ac:dyDescent="0.2">
      <c r="A513" s="1">
        <v>43247</v>
      </c>
      <c r="B513">
        <v>11040</v>
      </c>
      <c r="C513">
        <v>15344</v>
      </c>
      <c r="D513">
        <v>10927</v>
      </c>
      <c r="E513">
        <v>6230</v>
      </c>
      <c r="F513">
        <v>256</v>
      </c>
      <c r="G513" t="s">
        <v>20</v>
      </c>
      <c r="H513" t="str">
        <f>IF(Grammys[[#This Row],[date]] &gt;= DATE(2022, 2, 1), "Grammys", "Grammys + TRA")</f>
        <v>Grammys + TRA</v>
      </c>
      <c r="I513">
        <f>_xlfn.XLOOKUP(Grammys[[#This Row],[date]], mobile_visits[date], mobile_visits[mobile_visitors], 0)</f>
        <v>0</v>
      </c>
      <c r="Q513" s="1">
        <v>45104</v>
      </c>
      <c r="R513">
        <v>9491</v>
      </c>
    </row>
    <row r="514" spans="1:18" x14ac:dyDescent="0.2">
      <c r="A514" s="1">
        <v>43248</v>
      </c>
      <c r="B514">
        <v>10719</v>
      </c>
      <c r="C514">
        <v>15365</v>
      </c>
      <c r="D514">
        <v>10822</v>
      </c>
      <c r="E514">
        <v>6315</v>
      </c>
      <c r="F514">
        <v>288</v>
      </c>
      <c r="G514" t="s">
        <v>20</v>
      </c>
      <c r="H514" t="str">
        <f>IF(Grammys[[#This Row],[date]] &gt;= DATE(2022, 2, 1), "Grammys", "Grammys + TRA")</f>
        <v>Grammys + TRA</v>
      </c>
      <c r="I514">
        <f>_xlfn.XLOOKUP(Grammys[[#This Row],[date]], mobile_visits[date], mobile_visits[mobile_visitors], 0)</f>
        <v>0</v>
      </c>
      <c r="Q514" s="1">
        <v>45105</v>
      </c>
      <c r="R514">
        <v>9856</v>
      </c>
    </row>
    <row r="515" spans="1:18" x14ac:dyDescent="0.2">
      <c r="A515" s="1">
        <v>43249</v>
      </c>
      <c r="B515">
        <v>11735</v>
      </c>
      <c r="C515">
        <v>17419</v>
      </c>
      <c r="D515">
        <v>11870</v>
      </c>
      <c r="E515">
        <v>6783</v>
      </c>
      <c r="F515">
        <v>297</v>
      </c>
      <c r="G515" t="s">
        <v>20</v>
      </c>
      <c r="H515" t="str">
        <f>IF(Grammys[[#This Row],[date]] &gt;= DATE(2022, 2, 1), "Grammys", "Grammys + TRA")</f>
        <v>Grammys + TRA</v>
      </c>
      <c r="I515">
        <f>_xlfn.XLOOKUP(Grammys[[#This Row],[date]], mobile_visits[date], mobile_visits[mobile_visitors], 0)</f>
        <v>0</v>
      </c>
      <c r="Q515" s="1">
        <v>45106</v>
      </c>
      <c r="R515">
        <v>12881</v>
      </c>
    </row>
    <row r="516" spans="1:18" x14ac:dyDescent="0.2">
      <c r="A516" s="1">
        <v>43250</v>
      </c>
      <c r="B516">
        <v>14774</v>
      </c>
      <c r="C516">
        <v>20555</v>
      </c>
      <c r="D516">
        <v>14911</v>
      </c>
      <c r="E516">
        <v>7695</v>
      </c>
      <c r="F516">
        <v>274</v>
      </c>
      <c r="G516" t="s">
        <v>20</v>
      </c>
      <c r="H516" t="str">
        <f>IF(Grammys[[#This Row],[date]] &gt;= DATE(2022, 2, 1), "Grammys", "Grammys + TRA")</f>
        <v>Grammys + TRA</v>
      </c>
      <c r="I516">
        <f>_xlfn.XLOOKUP(Grammys[[#This Row],[date]], mobile_visits[date], mobile_visits[mobile_visitors], 0)</f>
        <v>0</v>
      </c>
      <c r="Q516" s="1">
        <v>45107</v>
      </c>
      <c r="R516">
        <v>14446</v>
      </c>
    </row>
    <row r="517" spans="1:18" x14ac:dyDescent="0.2">
      <c r="A517" s="1">
        <v>43251</v>
      </c>
      <c r="B517">
        <v>13053</v>
      </c>
      <c r="C517">
        <v>17758</v>
      </c>
      <c r="D517">
        <v>13211</v>
      </c>
      <c r="E517">
        <v>6417</v>
      </c>
      <c r="F517">
        <v>242</v>
      </c>
      <c r="G517" t="s">
        <v>20</v>
      </c>
      <c r="H517" t="str">
        <f>IF(Grammys[[#This Row],[date]] &gt;= DATE(2022, 2, 1), "Grammys", "Grammys + TRA")</f>
        <v>Grammys + TRA</v>
      </c>
      <c r="I517">
        <f>_xlfn.XLOOKUP(Grammys[[#This Row],[date]], mobile_visits[date], mobile_visits[mobile_visitors], 0)</f>
        <v>0</v>
      </c>
    </row>
    <row r="518" spans="1:18" x14ac:dyDescent="0.2">
      <c r="A518" s="1">
        <v>43252</v>
      </c>
      <c r="B518">
        <v>11825</v>
      </c>
      <c r="C518">
        <v>16289</v>
      </c>
      <c r="D518">
        <v>11767</v>
      </c>
      <c r="E518">
        <v>6072</v>
      </c>
      <c r="F518">
        <v>265</v>
      </c>
      <c r="G518" t="s">
        <v>20</v>
      </c>
      <c r="H518" t="str">
        <f>IF(Grammys[[#This Row],[date]] &gt;= DATE(2022, 2, 1), "Grammys", "Grammys + TRA")</f>
        <v>Grammys + TRA</v>
      </c>
      <c r="I518">
        <f>_xlfn.XLOOKUP(Grammys[[#This Row],[date]], mobile_visits[date], mobile_visits[mobile_visitors], 0)</f>
        <v>0</v>
      </c>
    </row>
    <row r="519" spans="1:18" x14ac:dyDescent="0.2">
      <c r="A519" s="1">
        <v>43253</v>
      </c>
      <c r="B519">
        <v>9932</v>
      </c>
      <c r="C519">
        <v>13248</v>
      </c>
      <c r="D519">
        <v>9881</v>
      </c>
      <c r="E519">
        <v>5747</v>
      </c>
      <c r="F519">
        <v>213</v>
      </c>
      <c r="G519" t="s">
        <v>20</v>
      </c>
      <c r="H519" t="str">
        <f>IF(Grammys[[#This Row],[date]] &gt;= DATE(2022, 2, 1), "Grammys", "Grammys + TRA")</f>
        <v>Grammys + TRA</v>
      </c>
      <c r="I519">
        <f>_xlfn.XLOOKUP(Grammys[[#This Row],[date]], mobile_visits[date], mobile_visits[mobile_visitors], 0)</f>
        <v>0</v>
      </c>
    </row>
    <row r="520" spans="1:18" x14ac:dyDescent="0.2">
      <c r="A520" s="1">
        <v>43254</v>
      </c>
      <c r="B520">
        <v>9586</v>
      </c>
      <c r="C520">
        <v>13226</v>
      </c>
      <c r="D520">
        <v>9530</v>
      </c>
      <c r="E520">
        <v>5468</v>
      </c>
      <c r="F520">
        <v>254</v>
      </c>
      <c r="G520" t="s">
        <v>20</v>
      </c>
      <c r="H520" t="str">
        <f>IF(Grammys[[#This Row],[date]] &gt;= DATE(2022, 2, 1), "Grammys", "Grammys + TRA")</f>
        <v>Grammys + TRA</v>
      </c>
      <c r="I520">
        <f>_xlfn.XLOOKUP(Grammys[[#This Row],[date]], mobile_visits[date], mobile_visits[mobile_visitors], 0)</f>
        <v>0</v>
      </c>
    </row>
    <row r="521" spans="1:18" x14ac:dyDescent="0.2">
      <c r="A521" s="1">
        <v>43255</v>
      </c>
      <c r="B521">
        <v>10093</v>
      </c>
      <c r="C521">
        <v>14899</v>
      </c>
      <c r="D521">
        <v>10245</v>
      </c>
      <c r="E521">
        <v>5846</v>
      </c>
      <c r="F521">
        <v>324</v>
      </c>
      <c r="G521" t="s">
        <v>20</v>
      </c>
      <c r="H521" t="str">
        <f>IF(Grammys[[#This Row],[date]] &gt;= DATE(2022, 2, 1), "Grammys", "Grammys + TRA")</f>
        <v>Grammys + TRA</v>
      </c>
      <c r="I521">
        <f>_xlfn.XLOOKUP(Grammys[[#This Row],[date]], mobile_visits[date], mobile_visits[mobile_visitors], 0)</f>
        <v>0</v>
      </c>
    </row>
    <row r="522" spans="1:18" x14ac:dyDescent="0.2">
      <c r="A522" s="1">
        <v>43256</v>
      </c>
      <c r="B522">
        <v>10463</v>
      </c>
      <c r="C522">
        <v>14842</v>
      </c>
      <c r="D522">
        <v>10405</v>
      </c>
      <c r="E522">
        <v>5965</v>
      </c>
      <c r="F522">
        <v>279</v>
      </c>
      <c r="G522" t="s">
        <v>20</v>
      </c>
      <c r="H522" t="str">
        <f>IF(Grammys[[#This Row],[date]] &gt;= DATE(2022, 2, 1), "Grammys", "Grammys + TRA")</f>
        <v>Grammys + TRA</v>
      </c>
      <c r="I522">
        <f>_xlfn.XLOOKUP(Grammys[[#This Row],[date]], mobile_visits[date], mobile_visits[mobile_visitors], 0)</f>
        <v>0</v>
      </c>
    </row>
    <row r="523" spans="1:18" x14ac:dyDescent="0.2">
      <c r="A523" s="1">
        <v>43257</v>
      </c>
      <c r="B523">
        <v>11449</v>
      </c>
      <c r="C523">
        <v>15810</v>
      </c>
      <c r="D523">
        <v>11504</v>
      </c>
      <c r="E523">
        <v>6819</v>
      </c>
      <c r="F523">
        <v>237</v>
      </c>
      <c r="G523" t="s">
        <v>20</v>
      </c>
      <c r="H523" t="str">
        <f>IF(Grammys[[#This Row],[date]] &gt;= DATE(2022, 2, 1), "Grammys", "Grammys + TRA")</f>
        <v>Grammys + TRA</v>
      </c>
      <c r="I523">
        <f>_xlfn.XLOOKUP(Grammys[[#This Row],[date]], mobile_visits[date], mobile_visits[mobile_visitors], 0)</f>
        <v>0</v>
      </c>
    </row>
    <row r="524" spans="1:18" x14ac:dyDescent="0.2">
      <c r="A524" s="1">
        <v>43258</v>
      </c>
      <c r="B524">
        <v>10669</v>
      </c>
      <c r="C524">
        <v>15170</v>
      </c>
      <c r="D524">
        <v>10796</v>
      </c>
      <c r="E524">
        <v>6249</v>
      </c>
      <c r="F524">
        <v>255</v>
      </c>
      <c r="G524" t="s">
        <v>20</v>
      </c>
      <c r="H524" t="str">
        <f>IF(Grammys[[#This Row],[date]] &gt;= DATE(2022, 2, 1), "Grammys", "Grammys + TRA")</f>
        <v>Grammys + TRA</v>
      </c>
      <c r="I524">
        <f>_xlfn.XLOOKUP(Grammys[[#This Row],[date]], mobile_visits[date], mobile_visits[mobile_visitors], 0)</f>
        <v>0</v>
      </c>
    </row>
    <row r="525" spans="1:18" x14ac:dyDescent="0.2">
      <c r="A525" s="1">
        <v>43259</v>
      </c>
      <c r="B525">
        <v>10215</v>
      </c>
      <c r="C525">
        <v>14300</v>
      </c>
      <c r="D525">
        <v>10250</v>
      </c>
      <c r="E525">
        <v>5891</v>
      </c>
      <c r="F525">
        <v>267</v>
      </c>
      <c r="G525" t="s">
        <v>20</v>
      </c>
      <c r="H525" t="str">
        <f>IF(Grammys[[#This Row],[date]] &gt;= DATE(2022, 2, 1), "Grammys", "Grammys + TRA")</f>
        <v>Grammys + TRA</v>
      </c>
      <c r="I525">
        <f>_xlfn.XLOOKUP(Grammys[[#This Row],[date]], mobile_visits[date], mobile_visits[mobile_visitors], 0)</f>
        <v>0</v>
      </c>
    </row>
    <row r="526" spans="1:18" x14ac:dyDescent="0.2">
      <c r="A526" s="1">
        <v>43260</v>
      </c>
      <c r="B526">
        <v>21010</v>
      </c>
      <c r="C526">
        <v>27986</v>
      </c>
      <c r="D526">
        <v>21659</v>
      </c>
      <c r="E526">
        <v>8835</v>
      </c>
      <c r="F526">
        <v>279</v>
      </c>
      <c r="G526" t="s">
        <v>20</v>
      </c>
      <c r="H526" t="str">
        <f>IF(Grammys[[#This Row],[date]] &gt;= DATE(2022, 2, 1), "Grammys", "Grammys + TRA")</f>
        <v>Grammys + TRA</v>
      </c>
      <c r="I526">
        <f>_xlfn.XLOOKUP(Grammys[[#This Row],[date]], mobile_visits[date], mobile_visits[mobile_visitors], 0)</f>
        <v>0</v>
      </c>
    </row>
    <row r="527" spans="1:18" x14ac:dyDescent="0.2">
      <c r="A527" s="1">
        <v>43261</v>
      </c>
      <c r="B527">
        <v>14918</v>
      </c>
      <c r="C527">
        <v>20506</v>
      </c>
      <c r="D527">
        <v>15207</v>
      </c>
      <c r="E527">
        <v>7698</v>
      </c>
      <c r="F527">
        <v>306</v>
      </c>
      <c r="G527" t="s">
        <v>20</v>
      </c>
      <c r="H527" t="str">
        <f>IF(Grammys[[#This Row],[date]] &gt;= DATE(2022, 2, 1), "Grammys", "Grammys + TRA")</f>
        <v>Grammys + TRA</v>
      </c>
      <c r="I527">
        <f>_xlfn.XLOOKUP(Grammys[[#This Row],[date]], mobile_visits[date], mobile_visits[mobile_visitors], 0)</f>
        <v>0</v>
      </c>
    </row>
    <row r="528" spans="1:18" x14ac:dyDescent="0.2">
      <c r="A528" s="1">
        <v>43262</v>
      </c>
      <c r="B528">
        <v>22842</v>
      </c>
      <c r="C528">
        <v>30176</v>
      </c>
      <c r="D528">
        <v>23244</v>
      </c>
      <c r="E528">
        <v>9366</v>
      </c>
      <c r="F528">
        <v>264</v>
      </c>
      <c r="G528" t="s">
        <v>20</v>
      </c>
      <c r="H528" t="str">
        <f>IF(Grammys[[#This Row],[date]] &gt;= DATE(2022, 2, 1), "Grammys", "Grammys + TRA")</f>
        <v>Grammys + TRA</v>
      </c>
      <c r="I528">
        <f>_xlfn.XLOOKUP(Grammys[[#This Row],[date]], mobile_visits[date], mobile_visits[mobile_visitors], 0)</f>
        <v>0</v>
      </c>
    </row>
    <row r="529" spans="1:9" x14ac:dyDescent="0.2">
      <c r="A529" s="1">
        <v>43263</v>
      </c>
      <c r="B529">
        <v>21508</v>
      </c>
      <c r="C529">
        <v>28428</v>
      </c>
      <c r="D529">
        <v>21829</v>
      </c>
      <c r="E529">
        <v>8972</v>
      </c>
      <c r="F529">
        <v>303</v>
      </c>
      <c r="G529" t="s">
        <v>20</v>
      </c>
      <c r="H529" t="str">
        <f>IF(Grammys[[#This Row],[date]] &gt;= DATE(2022, 2, 1), "Grammys", "Grammys + TRA")</f>
        <v>Grammys + TRA</v>
      </c>
      <c r="I529">
        <f>_xlfn.XLOOKUP(Grammys[[#This Row],[date]], mobile_visits[date], mobile_visits[mobile_visitors], 0)</f>
        <v>0</v>
      </c>
    </row>
    <row r="530" spans="1:9" x14ac:dyDescent="0.2">
      <c r="A530" s="1">
        <v>43264</v>
      </c>
      <c r="B530">
        <v>12669</v>
      </c>
      <c r="C530">
        <v>17162</v>
      </c>
      <c r="D530">
        <v>12829</v>
      </c>
      <c r="E530">
        <v>6623</v>
      </c>
      <c r="F530">
        <v>264</v>
      </c>
      <c r="G530" t="s">
        <v>20</v>
      </c>
      <c r="H530" t="str">
        <f>IF(Grammys[[#This Row],[date]] &gt;= DATE(2022, 2, 1), "Grammys", "Grammys + TRA")</f>
        <v>Grammys + TRA</v>
      </c>
      <c r="I530">
        <f>_xlfn.XLOOKUP(Grammys[[#This Row],[date]], mobile_visits[date], mobile_visits[mobile_visitors], 0)</f>
        <v>0</v>
      </c>
    </row>
    <row r="531" spans="1:9" x14ac:dyDescent="0.2">
      <c r="A531" s="1">
        <v>43265</v>
      </c>
      <c r="B531">
        <v>11022</v>
      </c>
      <c r="C531">
        <v>15290</v>
      </c>
      <c r="D531">
        <v>11037</v>
      </c>
      <c r="E531">
        <v>6168</v>
      </c>
      <c r="F531">
        <v>274</v>
      </c>
      <c r="G531" t="s">
        <v>20</v>
      </c>
      <c r="H531" t="str">
        <f>IF(Grammys[[#This Row],[date]] &gt;= DATE(2022, 2, 1), "Grammys", "Grammys + TRA")</f>
        <v>Grammys + TRA</v>
      </c>
      <c r="I531">
        <f>_xlfn.XLOOKUP(Grammys[[#This Row],[date]], mobile_visits[date], mobile_visits[mobile_visitors], 0)</f>
        <v>0</v>
      </c>
    </row>
    <row r="532" spans="1:9" x14ac:dyDescent="0.2">
      <c r="A532" s="1">
        <v>43266</v>
      </c>
      <c r="B532">
        <v>10217</v>
      </c>
      <c r="C532">
        <v>14019</v>
      </c>
      <c r="D532">
        <v>10243</v>
      </c>
      <c r="E532">
        <v>5958</v>
      </c>
      <c r="F532">
        <v>250</v>
      </c>
      <c r="G532" t="s">
        <v>20</v>
      </c>
      <c r="H532" t="str">
        <f>IF(Grammys[[#This Row],[date]] &gt;= DATE(2022, 2, 1), "Grammys", "Grammys + TRA")</f>
        <v>Grammys + TRA</v>
      </c>
      <c r="I532">
        <f>_xlfn.XLOOKUP(Grammys[[#This Row],[date]], mobile_visits[date], mobile_visits[mobile_visitors], 0)</f>
        <v>0</v>
      </c>
    </row>
    <row r="533" spans="1:9" x14ac:dyDescent="0.2">
      <c r="A533" s="1">
        <v>43267</v>
      </c>
      <c r="B533">
        <v>12887</v>
      </c>
      <c r="C533">
        <v>17017</v>
      </c>
      <c r="D533">
        <v>12796</v>
      </c>
      <c r="E533">
        <v>5879</v>
      </c>
      <c r="F533">
        <v>235</v>
      </c>
      <c r="G533" t="s">
        <v>20</v>
      </c>
      <c r="H533" t="str">
        <f>IF(Grammys[[#This Row],[date]] &gt;= DATE(2022, 2, 1), "Grammys", "Grammys + TRA")</f>
        <v>Grammys + TRA</v>
      </c>
      <c r="I533">
        <f>_xlfn.XLOOKUP(Grammys[[#This Row],[date]], mobile_visits[date], mobile_visits[mobile_visitors], 0)</f>
        <v>0</v>
      </c>
    </row>
    <row r="534" spans="1:9" x14ac:dyDescent="0.2">
      <c r="A534" s="1">
        <v>43268</v>
      </c>
      <c r="B534">
        <v>16016</v>
      </c>
      <c r="C534">
        <v>22000</v>
      </c>
      <c r="D534">
        <v>16169</v>
      </c>
      <c r="E534">
        <v>6785</v>
      </c>
      <c r="F534">
        <v>226</v>
      </c>
      <c r="G534" t="s">
        <v>20</v>
      </c>
      <c r="H534" t="str">
        <f>IF(Grammys[[#This Row],[date]] &gt;= DATE(2022, 2, 1), "Grammys", "Grammys + TRA")</f>
        <v>Grammys + TRA</v>
      </c>
      <c r="I534">
        <f>_xlfn.XLOOKUP(Grammys[[#This Row],[date]], mobile_visits[date], mobile_visits[mobile_visitors], 0)</f>
        <v>0</v>
      </c>
    </row>
    <row r="535" spans="1:9" x14ac:dyDescent="0.2">
      <c r="A535" s="1">
        <v>43269</v>
      </c>
      <c r="B535">
        <v>11613</v>
      </c>
      <c r="C535">
        <v>16463</v>
      </c>
      <c r="D535">
        <v>11690</v>
      </c>
      <c r="E535">
        <v>6368</v>
      </c>
      <c r="F535">
        <v>283</v>
      </c>
      <c r="G535" t="s">
        <v>20</v>
      </c>
      <c r="H535" t="str">
        <f>IF(Grammys[[#This Row],[date]] &gt;= DATE(2022, 2, 1), "Grammys", "Grammys + TRA")</f>
        <v>Grammys + TRA</v>
      </c>
      <c r="I535">
        <f>_xlfn.XLOOKUP(Grammys[[#This Row],[date]], mobile_visits[date], mobile_visits[mobile_visitors], 0)</f>
        <v>0</v>
      </c>
    </row>
    <row r="536" spans="1:9" x14ac:dyDescent="0.2">
      <c r="A536" s="1">
        <v>43270</v>
      </c>
      <c r="B536">
        <v>6673</v>
      </c>
      <c r="C536">
        <v>9858</v>
      </c>
      <c r="D536">
        <v>6680</v>
      </c>
      <c r="E536">
        <v>3683</v>
      </c>
      <c r="F536">
        <v>276</v>
      </c>
      <c r="G536" t="s">
        <v>20</v>
      </c>
      <c r="H536" t="str">
        <f>IF(Grammys[[#This Row],[date]] &gt;= DATE(2022, 2, 1), "Grammys", "Grammys + TRA")</f>
        <v>Grammys + TRA</v>
      </c>
      <c r="I536">
        <f>_xlfn.XLOOKUP(Grammys[[#This Row],[date]], mobile_visits[date], mobile_visits[mobile_visitors], 0)</f>
        <v>0</v>
      </c>
    </row>
    <row r="537" spans="1:9" x14ac:dyDescent="0.2">
      <c r="A537" s="1">
        <v>43271</v>
      </c>
      <c r="B537">
        <v>8828</v>
      </c>
      <c r="C537">
        <v>13029</v>
      </c>
      <c r="D537">
        <v>8899</v>
      </c>
      <c r="E537">
        <v>4739</v>
      </c>
      <c r="F537">
        <v>265</v>
      </c>
      <c r="G537" t="s">
        <v>20</v>
      </c>
      <c r="H537" t="str">
        <f>IF(Grammys[[#This Row],[date]] &gt;= DATE(2022, 2, 1), "Grammys", "Grammys + TRA")</f>
        <v>Grammys + TRA</v>
      </c>
      <c r="I537">
        <f>_xlfn.XLOOKUP(Grammys[[#This Row],[date]], mobile_visits[date], mobile_visits[mobile_visitors], 0)</f>
        <v>0</v>
      </c>
    </row>
    <row r="538" spans="1:9" x14ac:dyDescent="0.2">
      <c r="A538" s="1">
        <v>43272</v>
      </c>
      <c r="B538">
        <v>15204</v>
      </c>
      <c r="C538">
        <v>20501</v>
      </c>
      <c r="D538">
        <v>15259</v>
      </c>
      <c r="E538">
        <v>6945</v>
      </c>
      <c r="F538">
        <v>212</v>
      </c>
      <c r="G538" t="s">
        <v>20</v>
      </c>
      <c r="H538" t="str">
        <f>IF(Grammys[[#This Row],[date]] &gt;= DATE(2022, 2, 1), "Grammys", "Grammys + TRA")</f>
        <v>Grammys + TRA</v>
      </c>
      <c r="I538">
        <f>_xlfn.XLOOKUP(Grammys[[#This Row],[date]], mobile_visits[date], mobile_visits[mobile_visitors], 0)</f>
        <v>0</v>
      </c>
    </row>
    <row r="539" spans="1:9" x14ac:dyDescent="0.2">
      <c r="A539" s="1">
        <v>43273</v>
      </c>
      <c r="B539">
        <v>10595</v>
      </c>
      <c r="C539">
        <v>14895</v>
      </c>
      <c r="D539">
        <v>10683</v>
      </c>
      <c r="E539">
        <v>5893</v>
      </c>
      <c r="F539">
        <v>255</v>
      </c>
      <c r="G539" t="s">
        <v>20</v>
      </c>
      <c r="H539" t="str">
        <f>IF(Grammys[[#This Row],[date]] &gt;= DATE(2022, 2, 1), "Grammys", "Grammys + TRA")</f>
        <v>Grammys + TRA</v>
      </c>
      <c r="I539">
        <f>_xlfn.XLOOKUP(Grammys[[#This Row],[date]], mobile_visits[date], mobile_visits[mobile_visitors], 0)</f>
        <v>0</v>
      </c>
    </row>
    <row r="540" spans="1:9" x14ac:dyDescent="0.2">
      <c r="A540" s="1">
        <v>43274</v>
      </c>
      <c r="B540">
        <v>9752</v>
      </c>
      <c r="C540">
        <v>13361</v>
      </c>
      <c r="D540">
        <v>9719</v>
      </c>
      <c r="E540">
        <v>5500</v>
      </c>
      <c r="F540">
        <v>257</v>
      </c>
      <c r="G540" t="s">
        <v>20</v>
      </c>
      <c r="H540" t="str">
        <f>IF(Grammys[[#This Row],[date]] &gt;= DATE(2022, 2, 1), "Grammys", "Grammys + TRA")</f>
        <v>Grammys + TRA</v>
      </c>
      <c r="I540">
        <f>_xlfn.XLOOKUP(Grammys[[#This Row],[date]], mobile_visits[date], mobile_visits[mobile_visitors], 0)</f>
        <v>0</v>
      </c>
    </row>
    <row r="541" spans="1:9" x14ac:dyDescent="0.2">
      <c r="A541" s="1">
        <v>43275</v>
      </c>
      <c r="B541">
        <v>9781</v>
      </c>
      <c r="C541">
        <v>13669</v>
      </c>
      <c r="D541">
        <v>9712</v>
      </c>
      <c r="E541">
        <v>5614</v>
      </c>
      <c r="F541">
        <v>272</v>
      </c>
      <c r="G541" t="s">
        <v>20</v>
      </c>
      <c r="H541" t="str">
        <f>IF(Grammys[[#This Row],[date]] &gt;= DATE(2022, 2, 1), "Grammys", "Grammys + TRA")</f>
        <v>Grammys + TRA</v>
      </c>
      <c r="I541">
        <f>_xlfn.XLOOKUP(Grammys[[#This Row],[date]], mobile_visits[date], mobile_visits[mobile_visitors], 0)</f>
        <v>0</v>
      </c>
    </row>
    <row r="542" spans="1:9" x14ac:dyDescent="0.2">
      <c r="A542" s="1">
        <v>43276</v>
      </c>
      <c r="B542">
        <v>10033</v>
      </c>
      <c r="C542">
        <v>14251</v>
      </c>
      <c r="D542">
        <v>9973</v>
      </c>
      <c r="E542">
        <v>5690</v>
      </c>
      <c r="F542">
        <v>266</v>
      </c>
      <c r="G542" t="s">
        <v>20</v>
      </c>
      <c r="H542" t="str">
        <f>IF(Grammys[[#This Row],[date]] &gt;= DATE(2022, 2, 1), "Grammys", "Grammys + TRA")</f>
        <v>Grammys + TRA</v>
      </c>
      <c r="I542">
        <f>_xlfn.XLOOKUP(Grammys[[#This Row],[date]], mobile_visits[date], mobile_visits[mobile_visitors], 0)</f>
        <v>0</v>
      </c>
    </row>
    <row r="543" spans="1:9" x14ac:dyDescent="0.2">
      <c r="A543" s="1">
        <v>43277</v>
      </c>
      <c r="B543">
        <v>10997</v>
      </c>
      <c r="C543">
        <v>15810</v>
      </c>
      <c r="D543">
        <v>11090</v>
      </c>
      <c r="E543">
        <v>6151</v>
      </c>
      <c r="F543">
        <v>275</v>
      </c>
      <c r="G543" t="s">
        <v>20</v>
      </c>
      <c r="H543" t="str">
        <f>IF(Grammys[[#This Row],[date]] &gt;= DATE(2022, 2, 1), "Grammys", "Grammys + TRA")</f>
        <v>Grammys + TRA</v>
      </c>
      <c r="I543">
        <f>_xlfn.XLOOKUP(Grammys[[#This Row],[date]], mobile_visits[date], mobile_visits[mobile_visitors], 0)</f>
        <v>0</v>
      </c>
    </row>
    <row r="544" spans="1:9" x14ac:dyDescent="0.2">
      <c r="A544" s="1">
        <v>43278</v>
      </c>
      <c r="B544">
        <v>10292</v>
      </c>
      <c r="C544">
        <v>14653</v>
      </c>
      <c r="D544">
        <v>10391</v>
      </c>
      <c r="E544">
        <v>5697</v>
      </c>
      <c r="F544">
        <v>277</v>
      </c>
      <c r="G544" t="s">
        <v>20</v>
      </c>
      <c r="H544" t="str">
        <f>IF(Grammys[[#This Row],[date]] &gt;= DATE(2022, 2, 1), "Grammys", "Grammys + TRA")</f>
        <v>Grammys + TRA</v>
      </c>
      <c r="I544">
        <f>_xlfn.XLOOKUP(Grammys[[#This Row],[date]], mobile_visits[date], mobile_visits[mobile_visitors], 0)</f>
        <v>0</v>
      </c>
    </row>
    <row r="545" spans="1:9" x14ac:dyDescent="0.2">
      <c r="A545" s="1">
        <v>43279</v>
      </c>
      <c r="B545">
        <v>10581</v>
      </c>
      <c r="C545">
        <v>14784</v>
      </c>
      <c r="D545">
        <v>10542</v>
      </c>
      <c r="E545">
        <v>6003</v>
      </c>
      <c r="F545">
        <v>287</v>
      </c>
      <c r="G545" t="s">
        <v>20</v>
      </c>
      <c r="H545" t="str">
        <f>IF(Grammys[[#This Row],[date]] &gt;= DATE(2022, 2, 1), "Grammys", "Grammys + TRA")</f>
        <v>Grammys + TRA</v>
      </c>
      <c r="I545">
        <f>_xlfn.XLOOKUP(Grammys[[#This Row],[date]], mobile_visits[date], mobile_visits[mobile_visitors], 0)</f>
        <v>0</v>
      </c>
    </row>
    <row r="546" spans="1:9" x14ac:dyDescent="0.2">
      <c r="A546" s="1">
        <v>43280</v>
      </c>
      <c r="B546">
        <v>10195</v>
      </c>
      <c r="C546">
        <v>14621</v>
      </c>
      <c r="D546">
        <v>10260</v>
      </c>
      <c r="E546">
        <v>5853</v>
      </c>
      <c r="F546">
        <v>300</v>
      </c>
      <c r="G546" t="s">
        <v>20</v>
      </c>
      <c r="H546" t="str">
        <f>IF(Grammys[[#This Row],[date]] &gt;= DATE(2022, 2, 1), "Grammys", "Grammys + TRA")</f>
        <v>Grammys + TRA</v>
      </c>
      <c r="I546">
        <f>_xlfn.XLOOKUP(Grammys[[#This Row],[date]], mobile_visits[date], mobile_visits[mobile_visitors], 0)</f>
        <v>0</v>
      </c>
    </row>
    <row r="547" spans="1:9" x14ac:dyDescent="0.2">
      <c r="A547" s="1">
        <v>43281</v>
      </c>
      <c r="B547">
        <v>11166</v>
      </c>
      <c r="C547">
        <v>14892</v>
      </c>
      <c r="D547">
        <v>11289</v>
      </c>
      <c r="E547">
        <v>5640</v>
      </c>
      <c r="F547">
        <v>226</v>
      </c>
      <c r="G547" t="s">
        <v>20</v>
      </c>
      <c r="H547" t="str">
        <f>IF(Grammys[[#This Row],[date]] &gt;= DATE(2022, 2, 1), "Grammys", "Grammys + TRA")</f>
        <v>Grammys + TRA</v>
      </c>
      <c r="I547">
        <f>_xlfn.XLOOKUP(Grammys[[#This Row],[date]], mobile_visits[date], mobile_visits[mobile_visitors], 0)</f>
        <v>0</v>
      </c>
    </row>
    <row r="548" spans="1:9" x14ac:dyDescent="0.2">
      <c r="A548" s="1">
        <v>43282</v>
      </c>
      <c r="B548">
        <v>67364</v>
      </c>
      <c r="C548">
        <v>91866</v>
      </c>
      <c r="D548">
        <v>70234</v>
      </c>
      <c r="E548">
        <v>10304</v>
      </c>
      <c r="F548">
        <v>213</v>
      </c>
      <c r="G548" t="s">
        <v>20</v>
      </c>
      <c r="H548" t="str">
        <f>IF(Grammys[[#This Row],[date]] &gt;= DATE(2022, 2, 1), "Grammys", "Grammys + TRA")</f>
        <v>Grammys + TRA</v>
      </c>
      <c r="I548">
        <f>_xlfn.XLOOKUP(Grammys[[#This Row],[date]], mobile_visits[date], mobile_visits[mobile_visitors], 0)</f>
        <v>0</v>
      </c>
    </row>
    <row r="549" spans="1:9" x14ac:dyDescent="0.2">
      <c r="A549" s="1">
        <v>43283</v>
      </c>
      <c r="B549">
        <v>49869</v>
      </c>
      <c r="C549">
        <v>69493</v>
      </c>
      <c r="D549">
        <v>51147</v>
      </c>
      <c r="E549">
        <v>11064</v>
      </c>
      <c r="F549">
        <v>246</v>
      </c>
      <c r="G549" t="s">
        <v>20</v>
      </c>
      <c r="H549" t="str">
        <f>IF(Grammys[[#This Row],[date]] &gt;= DATE(2022, 2, 1), "Grammys", "Grammys + TRA")</f>
        <v>Grammys + TRA</v>
      </c>
      <c r="I549">
        <f>_xlfn.XLOOKUP(Grammys[[#This Row],[date]], mobile_visits[date], mobile_visits[mobile_visitors], 0)</f>
        <v>0</v>
      </c>
    </row>
    <row r="550" spans="1:9" x14ac:dyDescent="0.2">
      <c r="A550" s="1">
        <v>43284</v>
      </c>
      <c r="B550">
        <v>20157</v>
      </c>
      <c r="C550">
        <v>28519</v>
      </c>
      <c r="D550">
        <v>20511</v>
      </c>
      <c r="E550">
        <v>7924</v>
      </c>
      <c r="F550">
        <v>311</v>
      </c>
      <c r="G550" t="s">
        <v>20</v>
      </c>
      <c r="H550" t="str">
        <f>IF(Grammys[[#This Row],[date]] &gt;= DATE(2022, 2, 1), "Grammys", "Grammys + TRA")</f>
        <v>Grammys + TRA</v>
      </c>
      <c r="I550">
        <f>_xlfn.XLOOKUP(Grammys[[#This Row],[date]], mobile_visits[date], mobile_visits[mobile_visitors], 0)</f>
        <v>0</v>
      </c>
    </row>
    <row r="551" spans="1:9" x14ac:dyDescent="0.2">
      <c r="A551" s="1">
        <v>43285</v>
      </c>
      <c r="B551">
        <v>16373</v>
      </c>
      <c r="C551">
        <v>23245</v>
      </c>
      <c r="D551">
        <v>16712</v>
      </c>
      <c r="E551">
        <v>6682</v>
      </c>
      <c r="F551">
        <v>278</v>
      </c>
      <c r="G551" t="s">
        <v>20</v>
      </c>
      <c r="H551" t="str">
        <f>IF(Grammys[[#This Row],[date]] &gt;= DATE(2022, 2, 1), "Grammys", "Grammys + TRA")</f>
        <v>Grammys + TRA</v>
      </c>
      <c r="I551">
        <f>_xlfn.XLOOKUP(Grammys[[#This Row],[date]], mobile_visits[date], mobile_visits[mobile_visitors], 0)</f>
        <v>0</v>
      </c>
    </row>
    <row r="552" spans="1:9" x14ac:dyDescent="0.2">
      <c r="A552" s="1">
        <v>43286</v>
      </c>
      <c r="B552">
        <v>30550</v>
      </c>
      <c r="C552">
        <v>46992</v>
      </c>
      <c r="D552">
        <v>30868</v>
      </c>
      <c r="E552">
        <v>10400</v>
      </c>
      <c r="F552">
        <v>285</v>
      </c>
      <c r="G552" t="s">
        <v>20</v>
      </c>
      <c r="H552" t="str">
        <f>IF(Grammys[[#This Row],[date]] &gt;= DATE(2022, 2, 1), "Grammys", "Grammys + TRA")</f>
        <v>Grammys + TRA</v>
      </c>
      <c r="I552">
        <f>_xlfn.XLOOKUP(Grammys[[#This Row],[date]], mobile_visits[date], mobile_visits[mobile_visitors], 0)</f>
        <v>0</v>
      </c>
    </row>
    <row r="553" spans="1:9" x14ac:dyDescent="0.2">
      <c r="A553" s="1">
        <v>43287</v>
      </c>
      <c r="B553">
        <v>30732</v>
      </c>
      <c r="C553">
        <v>46183</v>
      </c>
      <c r="D553">
        <v>32035</v>
      </c>
      <c r="E553">
        <v>10271</v>
      </c>
      <c r="F553">
        <v>280</v>
      </c>
      <c r="G553" t="s">
        <v>20</v>
      </c>
      <c r="H553" t="str">
        <f>IF(Grammys[[#This Row],[date]] &gt;= DATE(2022, 2, 1), "Grammys", "Grammys + TRA")</f>
        <v>Grammys + TRA</v>
      </c>
      <c r="I553">
        <f>_xlfn.XLOOKUP(Grammys[[#This Row],[date]], mobile_visits[date], mobile_visits[mobile_visitors], 0)</f>
        <v>0</v>
      </c>
    </row>
    <row r="554" spans="1:9" x14ac:dyDescent="0.2">
      <c r="A554" s="1">
        <v>43288</v>
      </c>
      <c r="B554">
        <v>16025</v>
      </c>
      <c r="C554">
        <v>22846</v>
      </c>
      <c r="D554">
        <v>16185</v>
      </c>
      <c r="E554">
        <v>6955</v>
      </c>
      <c r="F554">
        <v>298</v>
      </c>
      <c r="G554" t="s">
        <v>20</v>
      </c>
      <c r="H554" t="str">
        <f>IF(Grammys[[#This Row],[date]] &gt;= DATE(2022, 2, 1), "Grammys", "Grammys + TRA")</f>
        <v>Grammys + TRA</v>
      </c>
      <c r="I554">
        <f>_xlfn.XLOOKUP(Grammys[[#This Row],[date]], mobile_visits[date], mobile_visits[mobile_visitors], 0)</f>
        <v>0</v>
      </c>
    </row>
    <row r="555" spans="1:9" x14ac:dyDescent="0.2">
      <c r="A555" s="1">
        <v>43289</v>
      </c>
      <c r="B555">
        <v>25783</v>
      </c>
      <c r="C555">
        <v>35809</v>
      </c>
      <c r="D555">
        <v>26316</v>
      </c>
      <c r="E555">
        <v>9211</v>
      </c>
      <c r="F555">
        <v>265</v>
      </c>
      <c r="G555" t="s">
        <v>20</v>
      </c>
      <c r="H555" t="str">
        <f>IF(Grammys[[#This Row],[date]] &gt;= DATE(2022, 2, 1), "Grammys", "Grammys + TRA")</f>
        <v>Grammys + TRA</v>
      </c>
      <c r="I555">
        <f>_xlfn.XLOOKUP(Grammys[[#This Row],[date]], mobile_visits[date], mobile_visits[mobile_visitors], 0)</f>
        <v>0</v>
      </c>
    </row>
    <row r="556" spans="1:9" x14ac:dyDescent="0.2">
      <c r="A556" s="1">
        <v>43290</v>
      </c>
      <c r="B556">
        <v>23247</v>
      </c>
      <c r="C556">
        <v>34600</v>
      </c>
      <c r="D556">
        <v>24161</v>
      </c>
      <c r="E556">
        <v>9302</v>
      </c>
      <c r="F556">
        <v>355</v>
      </c>
      <c r="G556" t="s">
        <v>20</v>
      </c>
      <c r="H556" t="str">
        <f>IF(Grammys[[#This Row],[date]] &gt;= DATE(2022, 2, 1), "Grammys", "Grammys + TRA")</f>
        <v>Grammys + TRA</v>
      </c>
      <c r="I556">
        <f>_xlfn.XLOOKUP(Grammys[[#This Row],[date]], mobile_visits[date], mobile_visits[mobile_visitors], 0)</f>
        <v>0</v>
      </c>
    </row>
    <row r="557" spans="1:9" x14ac:dyDescent="0.2">
      <c r="A557" s="1">
        <v>43291</v>
      </c>
      <c r="B557">
        <v>16213</v>
      </c>
      <c r="C557">
        <v>23675</v>
      </c>
      <c r="D557">
        <v>16309</v>
      </c>
      <c r="E557">
        <v>7424</v>
      </c>
      <c r="F557">
        <v>320</v>
      </c>
      <c r="G557" t="s">
        <v>20</v>
      </c>
      <c r="H557" t="str">
        <f>IF(Grammys[[#This Row],[date]] &gt;= DATE(2022, 2, 1), "Grammys", "Grammys + TRA")</f>
        <v>Grammys + TRA</v>
      </c>
      <c r="I557">
        <f>_xlfn.XLOOKUP(Grammys[[#This Row],[date]], mobile_visits[date], mobile_visits[mobile_visitors], 0)</f>
        <v>0</v>
      </c>
    </row>
    <row r="558" spans="1:9" x14ac:dyDescent="0.2">
      <c r="A558" s="1">
        <v>43292</v>
      </c>
      <c r="B558">
        <v>13469</v>
      </c>
      <c r="C558">
        <v>19585</v>
      </c>
      <c r="D558">
        <v>13614</v>
      </c>
      <c r="E558">
        <v>6576</v>
      </c>
      <c r="F558">
        <v>318</v>
      </c>
      <c r="G558" t="s">
        <v>20</v>
      </c>
      <c r="H558" t="str">
        <f>IF(Grammys[[#This Row],[date]] &gt;= DATE(2022, 2, 1), "Grammys", "Grammys + TRA")</f>
        <v>Grammys + TRA</v>
      </c>
      <c r="I558">
        <f>_xlfn.XLOOKUP(Grammys[[#This Row],[date]], mobile_visits[date], mobile_visits[mobile_visitors], 0)</f>
        <v>0</v>
      </c>
    </row>
    <row r="559" spans="1:9" x14ac:dyDescent="0.2">
      <c r="A559" s="1">
        <v>43293</v>
      </c>
      <c r="B559">
        <v>13044</v>
      </c>
      <c r="C559">
        <v>18823</v>
      </c>
      <c r="D559">
        <v>13031</v>
      </c>
      <c r="E559">
        <v>6628</v>
      </c>
      <c r="F559">
        <v>319</v>
      </c>
      <c r="G559" t="s">
        <v>20</v>
      </c>
      <c r="H559" t="str">
        <f>IF(Grammys[[#This Row],[date]] &gt;= DATE(2022, 2, 1), "Grammys", "Grammys + TRA")</f>
        <v>Grammys + TRA</v>
      </c>
      <c r="I559">
        <f>_xlfn.XLOOKUP(Grammys[[#This Row],[date]], mobile_visits[date], mobile_visits[mobile_visitors], 0)</f>
        <v>0</v>
      </c>
    </row>
    <row r="560" spans="1:9" x14ac:dyDescent="0.2">
      <c r="A560" s="1">
        <v>43294</v>
      </c>
      <c r="B560">
        <v>12756</v>
      </c>
      <c r="C560">
        <v>18378</v>
      </c>
      <c r="D560">
        <v>12875</v>
      </c>
      <c r="E560">
        <v>6343</v>
      </c>
      <c r="F560">
        <v>312</v>
      </c>
      <c r="G560" t="s">
        <v>20</v>
      </c>
      <c r="H560" t="str">
        <f>IF(Grammys[[#This Row],[date]] &gt;= DATE(2022, 2, 1), "Grammys", "Grammys + TRA")</f>
        <v>Grammys + TRA</v>
      </c>
      <c r="I560">
        <f>_xlfn.XLOOKUP(Grammys[[#This Row],[date]], mobile_visits[date], mobile_visits[mobile_visitors], 0)</f>
        <v>0</v>
      </c>
    </row>
    <row r="561" spans="1:9" x14ac:dyDescent="0.2">
      <c r="A561" s="1">
        <v>43295</v>
      </c>
      <c r="B561">
        <v>12056</v>
      </c>
      <c r="C561">
        <v>17576</v>
      </c>
      <c r="D561">
        <v>12218</v>
      </c>
      <c r="E561">
        <v>6013</v>
      </c>
      <c r="F561">
        <v>296</v>
      </c>
      <c r="G561" t="s">
        <v>20</v>
      </c>
      <c r="H561" t="str">
        <f>IF(Grammys[[#This Row],[date]] &gt;= DATE(2022, 2, 1), "Grammys", "Grammys + TRA")</f>
        <v>Grammys + TRA</v>
      </c>
      <c r="I561">
        <f>_xlfn.XLOOKUP(Grammys[[#This Row],[date]], mobile_visits[date], mobile_visits[mobile_visitors], 0)</f>
        <v>0</v>
      </c>
    </row>
    <row r="562" spans="1:9" x14ac:dyDescent="0.2">
      <c r="A562" s="1">
        <v>43296</v>
      </c>
      <c r="B562">
        <v>10760</v>
      </c>
      <c r="C562">
        <v>15569</v>
      </c>
      <c r="D562">
        <v>10970</v>
      </c>
      <c r="E562">
        <v>5416</v>
      </c>
      <c r="F562">
        <v>330</v>
      </c>
      <c r="G562" t="s">
        <v>20</v>
      </c>
      <c r="H562" t="str">
        <f>IF(Grammys[[#This Row],[date]] &gt;= DATE(2022, 2, 1), "Grammys", "Grammys + TRA")</f>
        <v>Grammys + TRA</v>
      </c>
      <c r="I562">
        <f>_xlfn.XLOOKUP(Grammys[[#This Row],[date]], mobile_visits[date], mobile_visits[mobile_visitors], 0)</f>
        <v>0</v>
      </c>
    </row>
    <row r="563" spans="1:9" x14ac:dyDescent="0.2">
      <c r="A563" s="1">
        <v>43297</v>
      </c>
      <c r="B563">
        <v>15624</v>
      </c>
      <c r="C563">
        <v>22251</v>
      </c>
      <c r="D563">
        <v>16045</v>
      </c>
      <c r="E563">
        <v>6871</v>
      </c>
      <c r="F563">
        <v>330</v>
      </c>
      <c r="G563" t="s">
        <v>20</v>
      </c>
      <c r="H563" t="str">
        <f>IF(Grammys[[#This Row],[date]] &gt;= DATE(2022, 2, 1), "Grammys", "Grammys + TRA")</f>
        <v>Grammys + TRA</v>
      </c>
      <c r="I563">
        <f>_xlfn.XLOOKUP(Grammys[[#This Row],[date]], mobile_visits[date], mobile_visits[mobile_visitors], 0)</f>
        <v>0</v>
      </c>
    </row>
    <row r="564" spans="1:9" x14ac:dyDescent="0.2">
      <c r="A564" s="1">
        <v>43298</v>
      </c>
      <c r="B564">
        <v>16345</v>
      </c>
      <c r="C564">
        <v>23123</v>
      </c>
      <c r="D564">
        <v>16655</v>
      </c>
      <c r="E564">
        <v>7928</v>
      </c>
      <c r="F564">
        <v>264</v>
      </c>
      <c r="G564" t="s">
        <v>20</v>
      </c>
      <c r="H564" t="str">
        <f>IF(Grammys[[#This Row],[date]] &gt;= DATE(2022, 2, 1), "Grammys", "Grammys + TRA")</f>
        <v>Grammys + TRA</v>
      </c>
      <c r="I564">
        <f>_xlfn.XLOOKUP(Grammys[[#This Row],[date]], mobile_visits[date], mobile_visits[mobile_visitors], 0)</f>
        <v>0</v>
      </c>
    </row>
    <row r="565" spans="1:9" x14ac:dyDescent="0.2">
      <c r="A565" s="1">
        <v>43299</v>
      </c>
      <c r="B565">
        <v>15970</v>
      </c>
      <c r="C565">
        <v>21344</v>
      </c>
      <c r="D565">
        <v>16284</v>
      </c>
      <c r="E565">
        <v>9911</v>
      </c>
      <c r="F565">
        <v>231</v>
      </c>
      <c r="G565" t="s">
        <v>20</v>
      </c>
      <c r="H565" t="str">
        <f>IF(Grammys[[#This Row],[date]] &gt;= DATE(2022, 2, 1), "Grammys", "Grammys + TRA")</f>
        <v>Grammys + TRA</v>
      </c>
      <c r="I565">
        <f>_xlfn.XLOOKUP(Grammys[[#This Row],[date]], mobile_visits[date], mobile_visits[mobile_visitors], 0)</f>
        <v>0</v>
      </c>
    </row>
    <row r="566" spans="1:9" x14ac:dyDescent="0.2">
      <c r="A566" s="1">
        <v>43300</v>
      </c>
      <c r="B566">
        <v>9734</v>
      </c>
      <c r="C566">
        <v>14262</v>
      </c>
      <c r="D566">
        <v>9946</v>
      </c>
      <c r="E566">
        <v>5626</v>
      </c>
      <c r="F566">
        <v>287</v>
      </c>
      <c r="G566" t="s">
        <v>20</v>
      </c>
      <c r="H566" t="str">
        <f>IF(Grammys[[#This Row],[date]] &gt;= DATE(2022, 2, 1), "Grammys", "Grammys + TRA")</f>
        <v>Grammys + TRA</v>
      </c>
      <c r="I566">
        <f>_xlfn.XLOOKUP(Grammys[[#This Row],[date]], mobile_visits[date], mobile_visits[mobile_visitors], 0)</f>
        <v>0</v>
      </c>
    </row>
    <row r="567" spans="1:9" x14ac:dyDescent="0.2">
      <c r="A567" s="1">
        <v>43301</v>
      </c>
      <c r="B567">
        <v>9257</v>
      </c>
      <c r="C567">
        <v>13378</v>
      </c>
      <c r="D567">
        <v>9375</v>
      </c>
      <c r="E567">
        <v>5270</v>
      </c>
      <c r="F567">
        <v>258</v>
      </c>
      <c r="G567" t="s">
        <v>20</v>
      </c>
      <c r="H567" t="str">
        <f>IF(Grammys[[#This Row],[date]] &gt;= DATE(2022, 2, 1), "Grammys", "Grammys + TRA")</f>
        <v>Grammys + TRA</v>
      </c>
      <c r="I567">
        <f>_xlfn.XLOOKUP(Grammys[[#This Row],[date]], mobile_visits[date], mobile_visits[mobile_visitors], 0)</f>
        <v>0</v>
      </c>
    </row>
    <row r="568" spans="1:9" x14ac:dyDescent="0.2">
      <c r="A568" s="1">
        <v>43302</v>
      </c>
      <c r="B568">
        <v>9987</v>
      </c>
      <c r="C568">
        <v>14081</v>
      </c>
      <c r="D568">
        <v>9965</v>
      </c>
      <c r="E568">
        <v>5170</v>
      </c>
      <c r="F568">
        <v>279</v>
      </c>
      <c r="G568" t="s">
        <v>20</v>
      </c>
      <c r="H568" t="str">
        <f>IF(Grammys[[#This Row],[date]] &gt;= DATE(2022, 2, 1), "Grammys", "Grammys + TRA")</f>
        <v>Grammys + TRA</v>
      </c>
      <c r="I568">
        <f>_xlfn.XLOOKUP(Grammys[[#This Row],[date]], mobile_visits[date], mobile_visits[mobile_visitors], 0)</f>
        <v>0</v>
      </c>
    </row>
    <row r="569" spans="1:9" x14ac:dyDescent="0.2">
      <c r="A569" s="1">
        <v>43303</v>
      </c>
      <c r="B569">
        <v>14751</v>
      </c>
      <c r="C569">
        <v>22115</v>
      </c>
      <c r="D569">
        <v>15158</v>
      </c>
      <c r="E569">
        <v>7232</v>
      </c>
      <c r="F569">
        <v>266</v>
      </c>
      <c r="G569" t="s">
        <v>20</v>
      </c>
      <c r="H569" t="str">
        <f>IF(Grammys[[#This Row],[date]] &gt;= DATE(2022, 2, 1), "Grammys", "Grammys + TRA")</f>
        <v>Grammys + TRA</v>
      </c>
      <c r="I569">
        <f>_xlfn.XLOOKUP(Grammys[[#This Row],[date]], mobile_visits[date], mobile_visits[mobile_visitors], 0)</f>
        <v>0</v>
      </c>
    </row>
    <row r="570" spans="1:9" x14ac:dyDescent="0.2">
      <c r="A570" s="1">
        <v>43304</v>
      </c>
      <c r="B570">
        <v>11891</v>
      </c>
      <c r="C570">
        <v>18826</v>
      </c>
      <c r="D570">
        <v>12264</v>
      </c>
      <c r="E570">
        <v>6064</v>
      </c>
      <c r="F570">
        <v>318</v>
      </c>
      <c r="G570" t="s">
        <v>20</v>
      </c>
      <c r="H570" t="str">
        <f>IF(Grammys[[#This Row],[date]] &gt;= DATE(2022, 2, 1), "Grammys", "Grammys + TRA")</f>
        <v>Grammys + TRA</v>
      </c>
      <c r="I570">
        <f>_xlfn.XLOOKUP(Grammys[[#This Row],[date]], mobile_visits[date], mobile_visits[mobile_visitors], 0)</f>
        <v>0</v>
      </c>
    </row>
    <row r="571" spans="1:9" x14ac:dyDescent="0.2">
      <c r="A571" s="1">
        <v>43305</v>
      </c>
      <c r="B571">
        <v>9892</v>
      </c>
      <c r="C571">
        <v>15171</v>
      </c>
      <c r="D571">
        <v>9910</v>
      </c>
      <c r="E571">
        <v>5237</v>
      </c>
      <c r="F571">
        <v>320</v>
      </c>
      <c r="G571" t="s">
        <v>20</v>
      </c>
      <c r="H571" t="str">
        <f>IF(Grammys[[#This Row],[date]] &gt;= DATE(2022, 2, 1), "Grammys", "Grammys + TRA")</f>
        <v>Grammys + TRA</v>
      </c>
      <c r="I571">
        <f>_xlfn.XLOOKUP(Grammys[[#This Row],[date]], mobile_visits[date], mobile_visits[mobile_visitors], 0)</f>
        <v>0</v>
      </c>
    </row>
    <row r="572" spans="1:9" x14ac:dyDescent="0.2">
      <c r="A572" s="1">
        <v>43306</v>
      </c>
      <c r="B572">
        <v>8862</v>
      </c>
      <c r="C572">
        <v>13174</v>
      </c>
      <c r="D572">
        <v>8920</v>
      </c>
      <c r="E572">
        <v>4972</v>
      </c>
      <c r="F572">
        <v>333</v>
      </c>
      <c r="G572" t="s">
        <v>20</v>
      </c>
      <c r="H572" t="str">
        <f>IF(Grammys[[#This Row],[date]] &gt;= DATE(2022, 2, 1), "Grammys", "Grammys + TRA")</f>
        <v>Grammys + TRA</v>
      </c>
      <c r="I572">
        <f>_xlfn.XLOOKUP(Grammys[[#This Row],[date]], mobile_visits[date], mobile_visits[mobile_visitors], 0)</f>
        <v>0</v>
      </c>
    </row>
    <row r="573" spans="1:9" x14ac:dyDescent="0.2">
      <c r="A573" s="1">
        <v>43307</v>
      </c>
      <c r="B573">
        <v>10174</v>
      </c>
      <c r="C573">
        <v>14910</v>
      </c>
      <c r="D573">
        <v>10313</v>
      </c>
      <c r="E573">
        <v>5358</v>
      </c>
      <c r="F573">
        <v>265</v>
      </c>
      <c r="G573" t="s">
        <v>20</v>
      </c>
      <c r="H573" t="str">
        <f>IF(Grammys[[#This Row],[date]] &gt;= DATE(2022, 2, 1), "Grammys", "Grammys + TRA")</f>
        <v>Grammys + TRA</v>
      </c>
      <c r="I573">
        <f>_xlfn.XLOOKUP(Grammys[[#This Row],[date]], mobile_visits[date], mobile_visits[mobile_visitors], 0)</f>
        <v>0</v>
      </c>
    </row>
    <row r="574" spans="1:9" x14ac:dyDescent="0.2">
      <c r="A574" s="1">
        <v>43308</v>
      </c>
      <c r="B574">
        <v>9225</v>
      </c>
      <c r="C574">
        <v>13393</v>
      </c>
      <c r="D574">
        <v>9374</v>
      </c>
      <c r="E574">
        <v>5077</v>
      </c>
      <c r="F574">
        <v>308</v>
      </c>
      <c r="G574" t="s">
        <v>20</v>
      </c>
      <c r="H574" t="str">
        <f>IF(Grammys[[#This Row],[date]] &gt;= DATE(2022, 2, 1), "Grammys", "Grammys + TRA")</f>
        <v>Grammys + TRA</v>
      </c>
      <c r="I574">
        <f>_xlfn.XLOOKUP(Grammys[[#This Row],[date]], mobile_visits[date], mobile_visits[mobile_visitors], 0)</f>
        <v>0</v>
      </c>
    </row>
    <row r="575" spans="1:9" x14ac:dyDescent="0.2">
      <c r="A575" s="1">
        <v>43309</v>
      </c>
      <c r="B575">
        <v>9197</v>
      </c>
      <c r="C575">
        <v>13075</v>
      </c>
      <c r="D575">
        <v>9385</v>
      </c>
      <c r="E575">
        <v>4804</v>
      </c>
      <c r="F575">
        <v>281</v>
      </c>
      <c r="G575" t="s">
        <v>20</v>
      </c>
      <c r="H575" t="str">
        <f>IF(Grammys[[#This Row],[date]] &gt;= DATE(2022, 2, 1), "Grammys", "Grammys + TRA")</f>
        <v>Grammys + TRA</v>
      </c>
      <c r="I575">
        <f>_xlfn.XLOOKUP(Grammys[[#This Row],[date]], mobile_visits[date], mobile_visits[mobile_visitors], 0)</f>
        <v>0</v>
      </c>
    </row>
    <row r="576" spans="1:9" x14ac:dyDescent="0.2">
      <c r="A576" s="1">
        <v>43310</v>
      </c>
      <c r="B576">
        <v>8828</v>
      </c>
      <c r="C576">
        <v>12721</v>
      </c>
      <c r="D576">
        <v>8845</v>
      </c>
      <c r="E576">
        <v>4700</v>
      </c>
      <c r="F576">
        <v>289</v>
      </c>
      <c r="G576" t="s">
        <v>20</v>
      </c>
      <c r="H576" t="str">
        <f>IF(Grammys[[#This Row],[date]] &gt;= DATE(2022, 2, 1), "Grammys", "Grammys + TRA")</f>
        <v>Grammys + TRA</v>
      </c>
      <c r="I576">
        <f>_xlfn.XLOOKUP(Grammys[[#This Row],[date]], mobile_visits[date], mobile_visits[mobile_visitors], 0)</f>
        <v>0</v>
      </c>
    </row>
    <row r="577" spans="1:9" x14ac:dyDescent="0.2">
      <c r="A577" s="1">
        <v>43311</v>
      </c>
      <c r="B577">
        <v>9379</v>
      </c>
      <c r="C577">
        <v>13757</v>
      </c>
      <c r="D577">
        <v>9448</v>
      </c>
      <c r="E577">
        <v>5095</v>
      </c>
      <c r="F577">
        <v>320</v>
      </c>
      <c r="G577" t="s">
        <v>20</v>
      </c>
      <c r="H577" t="str">
        <f>IF(Grammys[[#This Row],[date]] &gt;= DATE(2022, 2, 1), "Grammys", "Grammys + TRA")</f>
        <v>Grammys + TRA</v>
      </c>
      <c r="I577">
        <f>_xlfn.XLOOKUP(Grammys[[#This Row],[date]], mobile_visits[date], mobile_visits[mobile_visitors], 0)</f>
        <v>0</v>
      </c>
    </row>
    <row r="578" spans="1:9" x14ac:dyDescent="0.2">
      <c r="A578" s="1">
        <v>43312</v>
      </c>
      <c r="B578">
        <v>11026</v>
      </c>
      <c r="C578">
        <v>15377</v>
      </c>
      <c r="D578">
        <v>11083</v>
      </c>
      <c r="E578">
        <v>5518</v>
      </c>
      <c r="F578">
        <v>297</v>
      </c>
      <c r="G578" t="s">
        <v>20</v>
      </c>
      <c r="H578" t="str">
        <f>IF(Grammys[[#This Row],[date]] &gt;= DATE(2022, 2, 1), "Grammys", "Grammys + TRA")</f>
        <v>Grammys + TRA</v>
      </c>
      <c r="I578">
        <f>_xlfn.XLOOKUP(Grammys[[#This Row],[date]], mobile_visits[date], mobile_visits[mobile_visitors], 0)</f>
        <v>0</v>
      </c>
    </row>
    <row r="579" spans="1:9" x14ac:dyDescent="0.2">
      <c r="A579" s="1">
        <v>43313</v>
      </c>
      <c r="B579">
        <v>10924</v>
      </c>
      <c r="C579">
        <v>14813</v>
      </c>
      <c r="D579">
        <v>11003</v>
      </c>
      <c r="E579">
        <v>5258</v>
      </c>
      <c r="F579">
        <v>295</v>
      </c>
      <c r="G579" t="s">
        <v>20</v>
      </c>
      <c r="H579" t="str">
        <f>IF(Grammys[[#This Row],[date]] &gt;= DATE(2022, 2, 1), "Grammys", "Grammys + TRA")</f>
        <v>Grammys + TRA</v>
      </c>
      <c r="I579">
        <f>_xlfn.XLOOKUP(Grammys[[#This Row],[date]], mobile_visits[date], mobile_visits[mobile_visitors], 0)</f>
        <v>0</v>
      </c>
    </row>
    <row r="580" spans="1:9" x14ac:dyDescent="0.2">
      <c r="A580" s="1">
        <v>43314</v>
      </c>
      <c r="B580">
        <v>9393</v>
      </c>
      <c r="C580">
        <v>13447</v>
      </c>
      <c r="D580">
        <v>9506</v>
      </c>
      <c r="E580">
        <v>4875</v>
      </c>
      <c r="F580">
        <v>298</v>
      </c>
      <c r="G580" t="s">
        <v>20</v>
      </c>
      <c r="H580" t="str">
        <f>IF(Grammys[[#This Row],[date]] &gt;= DATE(2022, 2, 1), "Grammys", "Grammys + TRA")</f>
        <v>Grammys + TRA</v>
      </c>
      <c r="I580">
        <f>_xlfn.XLOOKUP(Grammys[[#This Row],[date]], mobile_visits[date], mobile_visits[mobile_visitors], 0)</f>
        <v>0</v>
      </c>
    </row>
    <row r="581" spans="1:9" x14ac:dyDescent="0.2">
      <c r="A581" s="1">
        <v>43315</v>
      </c>
      <c r="B581">
        <v>8612</v>
      </c>
      <c r="C581">
        <v>12808</v>
      </c>
      <c r="D581">
        <v>8770</v>
      </c>
      <c r="E581">
        <v>4811</v>
      </c>
      <c r="F581">
        <v>301</v>
      </c>
      <c r="G581" t="s">
        <v>20</v>
      </c>
      <c r="H581" t="str">
        <f>IF(Grammys[[#This Row],[date]] &gt;= DATE(2022, 2, 1), "Grammys", "Grammys + TRA")</f>
        <v>Grammys + TRA</v>
      </c>
      <c r="I581">
        <f>_xlfn.XLOOKUP(Grammys[[#This Row],[date]], mobile_visits[date], mobile_visits[mobile_visitors], 0)</f>
        <v>0</v>
      </c>
    </row>
    <row r="582" spans="1:9" x14ac:dyDescent="0.2">
      <c r="A582" s="1">
        <v>43316</v>
      </c>
      <c r="B582">
        <v>8130</v>
      </c>
      <c r="C582">
        <v>11814</v>
      </c>
      <c r="D582">
        <v>8172</v>
      </c>
      <c r="E582">
        <v>4640</v>
      </c>
      <c r="F582">
        <v>255</v>
      </c>
      <c r="G582" t="s">
        <v>20</v>
      </c>
      <c r="H582" t="str">
        <f>IF(Grammys[[#This Row],[date]] &gt;= DATE(2022, 2, 1), "Grammys", "Grammys + TRA")</f>
        <v>Grammys + TRA</v>
      </c>
      <c r="I582">
        <f>_xlfn.XLOOKUP(Grammys[[#This Row],[date]], mobile_visits[date], mobile_visits[mobile_visitors], 0)</f>
        <v>0</v>
      </c>
    </row>
    <row r="583" spans="1:9" x14ac:dyDescent="0.2">
      <c r="A583" s="1">
        <v>43317</v>
      </c>
      <c r="B583">
        <v>9189</v>
      </c>
      <c r="C583">
        <v>12984</v>
      </c>
      <c r="D583">
        <v>9302</v>
      </c>
      <c r="E583">
        <v>4905</v>
      </c>
      <c r="F583">
        <v>271</v>
      </c>
      <c r="G583" t="s">
        <v>20</v>
      </c>
      <c r="H583" t="str">
        <f>IF(Grammys[[#This Row],[date]] &gt;= DATE(2022, 2, 1), "Grammys", "Grammys + TRA")</f>
        <v>Grammys + TRA</v>
      </c>
      <c r="I583">
        <f>_xlfn.XLOOKUP(Grammys[[#This Row],[date]], mobile_visits[date], mobile_visits[mobile_visitors], 0)</f>
        <v>0</v>
      </c>
    </row>
    <row r="584" spans="1:9" x14ac:dyDescent="0.2">
      <c r="A584" s="1">
        <v>43318</v>
      </c>
      <c r="B584">
        <v>8193</v>
      </c>
      <c r="C584">
        <v>11929</v>
      </c>
      <c r="D584">
        <v>8238</v>
      </c>
      <c r="E584">
        <v>4652</v>
      </c>
      <c r="F584">
        <v>310</v>
      </c>
      <c r="G584" t="s">
        <v>20</v>
      </c>
      <c r="H584" t="str">
        <f>IF(Grammys[[#This Row],[date]] &gt;= DATE(2022, 2, 1), "Grammys", "Grammys + TRA")</f>
        <v>Grammys + TRA</v>
      </c>
      <c r="I584">
        <f>_xlfn.XLOOKUP(Grammys[[#This Row],[date]], mobile_visits[date], mobile_visits[mobile_visitors], 0)</f>
        <v>0</v>
      </c>
    </row>
    <row r="585" spans="1:9" x14ac:dyDescent="0.2">
      <c r="A585" s="1">
        <v>43319</v>
      </c>
      <c r="B585">
        <v>8916</v>
      </c>
      <c r="C585">
        <v>12945</v>
      </c>
      <c r="D585">
        <v>9027</v>
      </c>
      <c r="E585">
        <v>4849</v>
      </c>
      <c r="F585">
        <v>293</v>
      </c>
      <c r="G585" t="s">
        <v>20</v>
      </c>
      <c r="H585" t="str">
        <f>IF(Grammys[[#This Row],[date]] &gt;= DATE(2022, 2, 1), "Grammys", "Grammys + TRA")</f>
        <v>Grammys + TRA</v>
      </c>
      <c r="I585">
        <f>_xlfn.XLOOKUP(Grammys[[#This Row],[date]], mobile_visits[date], mobile_visits[mobile_visitors], 0)</f>
        <v>0</v>
      </c>
    </row>
    <row r="586" spans="1:9" x14ac:dyDescent="0.2">
      <c r="A586" s="1">
        <v>43320</v>
      </c>
      <c r="B586">
        <v>9225</v>
      </c>
      <c r="C586">
        <v>13631</v>
      </c>
      <c r="D586">
        <v>9342</v>
      </c>
      <c r="E586">
        <v>5097</v>
      </c>
      <c r="F586">
        <v>330</v>
      </c>
      <c r="G586" t="s">
        <v>20</v>
      </c>
      <c r="H586" t="str">
        <f>IF(Grammys[[#This Row],[date]] &gt;= DATE(2022, 2, 1), "Grammys", "Grammys + TRA")</f>
        <v>Grammys + TRA</v>
      </c>
      <c r="I586">
        <f>_xlfn.XLOOKUP(Grammys[[#This Row],[date]], mobile_visits[date], mobile_visits[mobile_visitors], 0)</f>
        <v>0</v>
      </c>
    </row>
    <row r="587" spans="1:9" x14ac:dyDescent="0.2">
      <c r="A587" s="1">
        <v>43321</v>
      </c>
      <c r="B587">
        <v>24499</v>
      </c>
      <c r="C587">
        <v>31433</v>
      </c>
      <c r="D587">
        <v>25040</v>
      </c>
      <c r="E587">
        <v>10572</v>
      </c>
      <c r="F587">
        <v>225</v>
      </c>
      <c r="G587" t="s">
        <v>20</v>
      </c>
      <c r="H587" t="str">
        <f>IF(Grammys[[#This Row],[date]] &gt;= DATE(2022, 2, 1), "Grammys", "Grammys + TRA")</f>
        <v>Grammys + TRA</v>
      </c>
      <c r="I587">
        <f>_xlfn.XLOOKUP(Grammys[[#This Row],[date]], mobile_visits[date], mobile_visits[mobile_visitors], 0)</f>
        <v>0</v>
      </c>
    </row>
    <row r="588" spans="1:9" x14ac:dyDescent="0.2">
      <c r="A588" s="1">
        <v>43322</v>
      </c>
      <c r="B588">
        <v>16517</v>
      </c>
      <c r="C588">
        <v>22140</v>
      </c>
      <c r="D588">
        <v>16832</v>
      </c>
      <c r="E588">
        <v>7779</v>
      </c>
      <c r="F588">
        <v>282</v>
      </c>
      <c r="G588" t="s">
        <v>20</v>
      </c>
      <c r="H588" t="str">
        <f>IF(Grammys[[#This Row],[date]] &gt;= DATE(2022, 2, 1), "Grammys", "Grammys + TRA")</f>
        <v>Grammys + TRA</v>
      </c>
      <c r="I588">
        <f>_xlfn.XLOOKUP(Grammys[[#This Row],[date]], mobile_visits[date], mobile_visits[mobile_visitors], 0)</f>
        <v>0</v>
      </c>
    </row>
    <row r="589" spans="1:9" x14ac:dyDescent="0.2">
      <c r="A589" s="1">
        <v>43323</v>
      </c>
      <c r="B589">
        <v>11421</v>
      </c>
      <c r="C589">
        <v>16046</v>
      </c>
      <c r="D589">
        <v>11629</v>
      </c>
      <c r="E589">
        <v>5781</v>
      </c>
      <c r="F589">
        <v>286</v>
      </c>
      <c r="G589" t="s">
        <v>20</v>
      </c>
      <c r="H589" t="str">
        <f>IF(Grammys[[#This Row],[date]] &gt;= DATE(2022, 2, 1), "Grammys", "Grammys + TRA")</f>
        <v>Grammys + TRA</v>
      </c>
      <c r="I589">
        <f>_xlfn.XLOOKUP(Grammys[[#This Row],[date]], mobile_visits[date], mobile_visits[mobile_visitors], 0)</f>
        <v>0</v>
      </c>
    </row>
    <row r="590" spans="1:9" x14ac:dyDescent="0.2">
      <c r="A590" s="1">
        <v>43324</v>
      </c>
      <c r="B590">
        <v>10167</v>
      </c>
      <c r="C590">
        <v>14776</v>
      </c>
      <c r="D590">
        <v>10476</v>
      </c>
      <c r="E590">
        <v>5173</v>
      </c>
      <c r="F590">
        <v>283</v>
      </c>
      <c r="G590" t="s">
        <v>20</v>
      </c>
      <c r="H590" t="str">
        <f>IF(Grammys[[#This Row],[date]] &gt;= DATE(2022, 2, 1), "Grammys", "Grammys + TRA")</f>
        <v>Grammys + TRA</v>
      </c>
      <c r="I590">
        <f>_xlfn.XLOOKUP(Grammys[[#This Row],[date]], mobile_visits[date], mobile_visits[mobile_visitors], 0)</f>
        <v>0</v>
      </c>
    </row>
    <row r="591" spans="1:9" x14ac:dyDescent="0.2">
      <c r="A591" s="1">
        <v>43325</v>
      </c>
      <c r="B591">
        <v>10238</v>
      </c>
      <c r="C591">
        <v>15782</v>
      </c>
      <c r="D591">
        <v>10413</v>
      </c>
      <c r="E591">
        <v>5747</v>
      </c>
      <c r="F591">
        <v>348</v>
      </c>
      <c r="G591" t="s">
        <v>20</v>
      </c>
      <c r="H591" t="str">
        <f>IF(Grammys[[#This Row],[date]] &gt;= DATE(2022, 2, 1), "Grammys", "Grammys + TRA")</f>
        <v>Grammys + TRA</v>
      </c>
      <c r="I591">
        <f>_xlfn.XLOOKUP(Grammys[[#This Row],[date]], mobile_visits[date], mobile_visits[mobile_visitors], 0)</f>
        <v>0</v>
      </c>
    </row>
    <row r="592" spans="1:9" x14ac:dyDescent="0.2">
      <c r="A592" s="1">
        <v>43326</v>
      </c>
      <c r="B592">
        <v>10163</v>
      </c>
      <c r="C592">
        <v>15071</v>
      </c>
      <c r="D592">
        <v>10301</v>
      </c>
      <c r="E592">
        <v>5799</v>
      </c>
      <c r="F592">
        <v>292</v>
      </c>
      <c r="G592" t="s">
        <v>20</v>
      </c>
      <c r="H592" t="str">
        <f>IF(Grammys[[#This Row],[date]] &gt;= DATE(2022, 2, 1), "Grammys", "Grammys + TRA")</f>
        <v>Grammys + TRA</v>
      </c>
      <c r="I592">
        <f>_xlfn.XLOOKUP(Grammys[[#This Row],[date]], mobile_visits[date], mobile_visits[mobile_visitors], 0)</f>
        <v>0</v>
      </c>
    </row>
    <row r="593" spans="1:9" x14ac:dyDescent="0.2">
      <c r="A593" s="1">
        <v>43327</v>
      </c>
      <c r="B593">
        <v>9199</v>
      </c>
      <c r="C593">
        <v>13865</v>
      </c>
      <c r="D593">
        <v>9330</v>
      </c>
      <c r="E593">
        <v>5199</v>
      </c>
      <c r="F593">
        <v>291</v>
      </c>
      <c r="G593" t="s">
        <v>20</v>
      </c>
      <c r="H593" t="str">
        <f>IF(Grammys[[#This Row],[date]] &gt;= DATE(2022, 2, 1), "Grammys", "Grammys + TRA")</f>
        <v>Grammys + TRA</v>
      </c>
      <c r="I593">
        <f>_xlfn.XLOOKUP(Grammys[[#This Row],[date]], mobile_visits[date], mobile_visits[mobile_visitors], 0)</f>
        <v>0</v>
      </c>
    </row>
    <row r="594" spans="1:9" x14ac:dyDescent="0.2">
      <c r="A594" s="1">
        <v>43328</v>
      </c>
      <c r="B594">
        <v>15712</v>
      </c>
      <c r="C594">
        <v>23476</v>
      </c>
      <c r="D594">
        <v>16046</v>
      </c>
      <c r="E594">
        <v>9177</v>
      </c>
      <c r="F594">
        <v>247</v>
      </c>
      <c r="G594" t="s">
        <v>20</v>
      </c>
      <c r="H594" t="str">
        <f>IF(Grammys[[#This Row],[date]] &gt;= DATE(2022, 2, 1), "Grammys", "Grammys + TRA")</f>
        <v>Grammys + TRA</v>
      </c>
      <c r="I594">
        <f>_xlfn.XLOOKUP(Grammys[[#This Row],[date]], mobile_visits[date], mobile_visits[mobile_visitors], 0)</f>
        <v>0</v>
      </c>
    </row>
    <row r="595" spans="1:9" x14ac:dyDescent="0.2">
      <c r="A595" s="1">
        <v>43329</v>
      </c>
      <c r="B595">
        <v>11571</v>
      </c>
      <c r="C595">
        <v>17293</v>
      </c>
      <c r="D595">
        <v>11787</v>
      </c>
      <c r="E595">
        <v>6877</v>
      </c>
      <c r="F595">
        <v>256</v>
      </c>
      <c r="G595" t="s">
        <v>20</v>
      </c>
      <c r="H595" t="str">
        <f>IF(Grammys[[#This Row],[date]] &gt;= DATE(2022, 2, 1), "Grammys", "Grammys + TRA")</f>
        <v>Grammys + TRA</v>
      </c>
      <c r="I595">
        <f>_xlfn.XLOOKUP(Grammys[[#This Row],[date]], mobile_visits[date], mobile_visits[mobile_visitors], 0)</f>
        <v>0</v>
      </c>
    </row>
    <row r="596" spans="1:9" x14ac:dyDescent="0.2">
      <c r="A596" s="1">
        <v>43330</v>
      </c>
      <c r="B596">
        <v>9539</v>
      </c>
      <c r="C596">
        <v>14508</v>
      </c>
      <c r="D596">
        <v>9642</v>
      </c>
      <c r="E596">
        <v>5405</v>
      </c>
      <c r="F596">
        <v>284</v>
      </c>
      <c r="G596" t="s">
        <v>20</v>
      </c>
      <c r="H596" t="str">
        <f>IF(Grammys[[#This Row],[date]] &gt;= DATE(2022, 2, 1), "Grammys", "Grammys + TRA")</f>
        <v>Grammys + TRA</v>
      </c>
      <c r="I596">
        <f>_xlfn.XLOOKUP(Grammys[[#This Row],[date]], mobile_visits[date], mobile_visits[mobile_visitors], 0)</f>
        <v>0</v>
      </c>
    </row>
    <row r="597" spans="1:9" x14ac:dyDescent="0.2">
      <c r="A597" s="1">
        <v>43331</v>
      </c>
      <c r="B597">
        <v>8731</v>
      </c>
      <c r="C597">
        <v>13394</v>
      </c>
      <c r="D597">
        <v>8809</v>
      </c>
      <c r="E597">
        <v>4890</v>
      </c>
      <c r="F597">
        <v>288</v>
      </c>
      <c r="G597" t="s">
        <v>20</v>
      </c>
      <c r="H597" t="str">
        <f>IF(Grammys[[#This Row],[date]] &gt;= DATE(2022, 2, 1), "Grammys", "Grammys + TRA")</f>
        <v>Grammys + TRA</v>
      </c>
      <c r="I597">
        <f>_xlfn.XLOOKUP(Grammys[[#This Row],[date]], mobile_visits[date], mobile_visits[mobile_visitors], 0)</f>
        <v>0</v>
      </c>
    </row>
    <row r="598" spans="1:9" x14ac:dyDescent="0.2">
      <c r="A598" s="1">
        <v>43332</v>
      </c>
      <c r="B598">
        <v>9854</v>
      </c>
      <c r="C598">
        <v>15232</v>
      </c>
      <c r="D598">
        <v>9871</v>
      </c>
      <c r="E598">
        <v>5566</v>
      </c>
      <c r="F598">
        <v>300</v>
      </c>
      <c r="G598" t="s">
        <v>20</v>
      </c>
      <c r="H598" t="str">
        <f>IF(Grammys[[#This Row],[date]] &gt;= DATE(2022, 2, 1), "Grammys", "Grammys + TRA")</f>
        <v>Grammys + TRA</v>
      </c>
      <c r="I598">
        <f>_xlfn.XLOOKUP(Grammys[[#This Row],[date]], mobile_visits[date], mobile_visits[mobile_visitors], 0)</f>
        <v>0</v>
      </c>
    </row>
    <row r="599" spans="1:9" x14ac:dyDescent="0.2">
      <c r="A599" s="1">
        <v>43333</v>
      </c>
      <c r="B599">
        <v>11491</v>
      </c>
      <c r="C599">
        <v>17676</v>
      </c>
      <c r="D599">
        <v>11565</v>
      </c>
      <c r="E599">
        <v>6263</v>
      </c>
      <c r="F599">
        <v>299</v>
      </c>
      <c r="G599" t="s">
        <v>20</v>
      </c>
      <c r="H599" t="str">
        <f>IF(Grammys[[#This Row],[date]] &gt;= DATE(2022, 2, 1), "Grammys", "Grammys + TRA")</f>
        <v>Grammys + TRA</v>
      </c>
      <c r="I599">
        <f>_xlfn.XLOOKUP(Grammys[[#This Row],[date]], mobile_visits[date], mobile_visits[mobile_visitors], 0)</f>
        <v>0</v>
      </c>
    </row>
    <row r="600" spans="1:9" x14ac:dyDescent="0.2">
      <c r="A600" s="1">
        <v>43334</v>
      </c>
      <c r="B600">
        <v>9866</v>
      </c>
      <c r="C600">
        <v>14917</v>
      </c>
      <c r="D600">
        <v>10002</v>
      </c>
      <c r="E600">
        <v>5556</v>
      </c>
      <c r="F600">
        <v>319</v>
      </c>
      <c r="G600" t="s">
        <v>20</v>
      </c>
      <c r="H600" t="str">
        <f>IF(Grammys[[#This Row],[date]] &gt;= DATE(2022, 2, 1), "Grammys", "Grammys + TRA")</f>
        <v>Grammys + TRA</v>
      </c>
      <c r="I600">
        <f>_xlfn.XLOOKUP(Grammys[[#This Row],[date]], mobile_visits[date], mobile_visits[mobile_visitors], 0)</f>
        <v>0</v>
      </c>
    </row>
    <row r="601" spans="1:9" x14ac:dyDescent="0.2">
      <c r="A601" s="1">
        <v>43335</v>
      </c>
      <c r="B601">
        <v>9532</v>
      </c>
      <c r="C601">
        <v>14272</v>
      </c>
      <c r="D601">
        <v>9681</v>
      </c>
      <c r="E601">
        <v>5356</v>
      </c>
      <c r="F601">
        <v>269</v>
      </c>
      <c r="G601" t="s">
        <v>20</v>
      </c>
      <c r="H601" t="str">
        <f>IF(Grammys[[#This Row],[date]] &gt;= DATE(2022, 2, 1), "Grammys", "Grammys + TRA")</f>
        <v>Grammys + TRA</v>
      </c>
      <c r="I601">
        <f>_xlfn.XLOOKUP(Grammys[[#This Row],[date]], mobile_visits[date], mobile_visits[mobile_visitors], 0)</f>
        <v>0</v>
      </c>
    </row>
    <row r="602" spans="1:9" x14ac:dyDescent="0.2">
      <c r="A602" s="1">
        <v>43336</v>
      </c>
      <c r="B602">
        <v>12500</v>
      </c>
      <c r="C602">
        <v>18400</v>
      </c>
      <c r="D602">
        <v>12641</v>
      </c>
      <c r="E602">
        <v>6368</v>
      </c>
      <c r="F602">
        <v>247</v>
      </c>
      <c r="G602" t="s">
        <v>20</v>
      </c>
      <c r="H602" t="str">
        <f>IF(Grammys[[#This Row],[date]] &gt;= DATE(2022, 2, 1), "Grammys", "Grammys + TRA")</f>
        <v>Grammys + TRA</v>
      </c>
      <c r="I602">
        <f>_xlfn.XLOOKUP(Grammys[[#This Row],[date]], mobile_visits[date], mobile_visits[mobile_visitors], 0)</f>
        <v>0</v>
      </c>
    </row>
    <row r="603" spans="1:9" x14ac:dyDescent="0.2">
      <c r="A603" s="1">
        <v>43337</v>
      </c>
      <c r="B603">
        <v>10492</v>
      </c>
      <c r="C603">
        <v>16080</v>
      </c>
      <c r="D603">
        <v>10578</v>
      </c>
      <c r="E603">
        <v>5364</v>
      </c>
      <c r="F603">
        <v>281</v>
      </c>
      <c r="G603" t="s">
        <v>20</v>
      </c>
      <c r="H603" t="str">
        <f>IF(Grammys[[#This Row],[date]] &gt;= DATE(2022, 2, 1), "Grammys", "Grammys + TRA")</f>
        <v>Grammys + TRA</v>
      </c>
      <c r="I603">
        <f>_xlfn.XLOOKUP(Grammys[[#This Row],[date]], mobile_visits[date], mobile_visits[mobile_visitors], 0)</f>
        <v>0</v>
      </c>
    </row>
    <row r="604" spans="1:9" x14ac:dyDescent="0.2">
      <c r="A604" s="1">
        <v>43338</v>
      </c>
      <c r="B604">
        <v>10211</v>
      </c>
      <c r="C604">
        <v>15215</v>
      </c>
      <c r="D604">
        <v>10368</v>
      </c>
      <c r="E604">
        <v>5229</v>
      </c>
      <c r="F604">
        <v>255</v>
      </c>
      <c r="G604" t="s">
        <v>20</v>
      </c>
      <c r="H604" t="str">
        <f>IF(Grammys[[#This Row],[date]] &gt;= DATE(2022, 2, 1), "Grammys", "Grammys + TRA")</f>
        <v>Grammys + TRA</v>
      </c>
      <c r="I604">
        <f>_xlfn.XLOOKUP(Grammys[[#This Row],[date]], mobile_visits[date], mobile_visits[mobile_visitors], 0)</f>
        <v>0</v>
      </c>
    </row>
    <row r="605" spans="1:9" x14ac:dyDescent="0.2">
      <c r="A605" s="1">
        <v>43339</v>
      </c>
      <c r="B605">
        <v>9868</v>
      </c>
      <c r="C605">
        <v>15578</v>
      </c>
      <c r="D605">
        <v>10002</v>
      </c>
      <c r="E605">
        <v>5456</v>
      </c>
      <c r="F605">
        <v>296</v>
      </c>
      <c r="G605" t="s">
        <v>20</v>
      </c>
      <c r="H605" t="str">
        <f>IF(Grammys[[#This Row],[date]] &gt;= DATE(2022, 2, 1), "Grammys", "Grammys + TRA")</f>
        <v>Grammys + TRA</v>
      </c>
      <c r="I605">
        <f>_xlfn.XLOOKUP(Grammys[[#This Row],[date]], mobile_visits[date], mobile_visits[mobile_visitors], 0)</f>
        <v>0</v>
      </c>
    </row>
    <row r="606" spans="1:9" x14ac:dyDescent="0.2">
      <c r="A606" s="1">
        <v>43340</v>
      </c>
      <c r="B606">
        <v>11417</v>
      </c>
      <c r="C606">
        <v>17155</v>
      </c>
      <c r="D606">
        <v>11434</v>
      </c>
      <c r="E606">
        <v>6604</v>
      </c>
      <c r="F606">
        <v>264</v>
      </c>
      <c r="G606" t="s">
        <v>20</v>
      </c>
      <c r="H606" t="str">
        <f>IF(Grammys[[#This Row],[date]] &gt;= DATE(2022, 2, 1), "Grammys", "Grammys + TRA")</f>
        <v>Grammys + TRA</v>
      </c>
      <c r="I606">
        <f>_xlfn.XLOOKUP(Grammys[[#This Row],[date]], mobile_visits[date], mobile_visits[mobile_visitors], 0)</f>
        <v>0</v>
      </c>
    </row>
    <row r="607" spans="1:9" x14ac:dyDescent="0.2">
      <c r="A607" s="1">
        <v>43341</v>
      </c>
      <c r="B607">
        <v>9398</v>
      </c>
      <c r="C607">
        <v>14372</v>
      </c>
      <c r="D607">
        <v>9476</v>
      </c>
      <c r="E607">
        <v>5474</v>
      </c>
      <c r="F607">
        <v>275</v>
      </c>
      <c r="G607" t="s">
        <v>20</v>
      </c>
      <c r="H607" t="str">
        <f>IF(Grammys[[#This Row],[date]] &gt;= DATE(2022, 2, 1), "Grammys", "Grammys + TRA")</f>
        <v>Grammys + TRA</v>
      </c>
      <c r="I607">
        <f>_xlfn.XLOOKUP(Grammys[[#This Row],[date]], mobile_visits[date], mobile_visits[mobile_visitors], 0)</f>
        <v>0</v>
      </c>
    </row>
    <row r="608" spans="1:9" x14ac:dyDescent="0.2">
      <c r="A608" s="1">
        <v>43342</v>
      </c>
      <c r="B608">
        <v>8888</v>
      </c>
      <c r="C608">
        <v>13367</v>
      </c>
      <c r="D608">
        <v>8876</v>
      </c>
      <c r="E608">
        <v>5288</v>
      </c>
      <c r="F608">
        <v>280</v>
      </c>
      <c r="G608" t="s">
        <v>20</v>
      </c>
      <c r="H608" t="str">
        <f>IF(Grammys[[#This Row],[date]] &gt;= DATE(2022, 2, 1), "Grammys", "Grammys + TRA")</f>
        <v>Grammys + TRA</v>
      </c>
      <c r="I608">
        <f>_xlfn.XLOOKUP(Grammys[[#This Row],[date]], mobile_visits[date], mobile_visits[mobile_visitors], 0)</f>
        <v>0</v>
      </c>
    </row>
    <row r="609" spans="1:9" x14ac:dyDescent="0.2">
      <c r="A609" s="1">
        <v>43343</v>
      </c>
      <c r="B609">
        <v>10104</v>
      </c>
      <c r="C609">
        <v>15053</v>
      </c>
      <c r="D609">
        <v>10166</v>
      </c>
      <c r="E609">
        <v>6113</v>
      </c>
      <c r="F609">
        <v>233</v>
      </c>
      <c r="G609" t="s">
        <v>20</v>
      </c>
      <c r="H609" t="str">
        <f>IF(Grammys[[#This Row],[date]] &gt;= DATE(2022, 2, 1), "Grammys", "Grammys + TRA")</f>
        <v>Grammys + TRA</v>
      </c>
      <c r="I609">
        <f>_xlfn.XLOOKUP(Grammys[[#This Row],[date]], mobile_visits[date], mobile_visits[mobile_visitors], 0)</f>
        <v>0</v>
      </c>
    </row>
    <row r="610" spans="1:9" x14ac:dyDescent="0.2">
      <c r="A610" s="1">
        <v>43344</v>
      </c>
      <c r="B610">
        <v>8068</v>
      </c>
      <c r="C610">
        <v>12752</v>
      </c>
      <c r="D610">
        <v>8130</v>
      </c>
      <c r="E610">
        <v>4791</v>
      </c>
      <c r="F610">
        <v>276</v>
      </c>
      <c r="G610" t="s">
        <v>20</v>
      </c>
      <c r="H610" t="str">
        <f>IF(Grammys[[#This Row],[date]] &gt;= DATE(2022, 2, 1), "Grammys", "Grammys + TRA")</f>
        <v>Grammys + TRA</v>
      </c>
      <c r="I610">
        <f>_xlfn.XLOOKUP(Grammys[[#This Row],[date]], mobile_visits[date], mobile_visits[mobile_visitors], 0)</f>
        <v>0</v>
      </c>
    </row>
    <row r="611" spans="1:9" x14ac:dyDescent="0.2">
      <c r="A611" s="1">
        <v>43345</v>
      </c>
      <c r="B611">
        <v>8418</v>
      </c>
      <c r="C611">
        <v>13215</v>
      </c>
      <c r="D611">
        <v>8518</v>
      </c>
      <c r="E611">
        <v>4924</v>
      </c>
      <c r="F611">
        <v>267</v>
      </c>
      <c r="G611" t="s">
        <v>20</v>
      </c>
      <c r="H611" t="str">
        <f>IF(Grammys[[#This Row],[date]] &gt;= DATE(2022, 2, 1), "Grammys", "Grammys + TRA")</f>
        <v>Grammys + TRA</v>
      </c>
      <c r="I611">
        <f>_xlfn.XLOOKUP(Grammys[[#This Row],[date]], mobile_visits[date], mobile_visits[mobile_visitors], 0)</f>
        <v>0</v>
      </c>
    </row>
    <row r="612" spans="1:9" x14ac:dyDescent="0.2">
      <c r="A612" s="1">
        <v>43346</v>
      </c>
      <c r="B612">
        <v>8811</v>
      </c>
      <c r="C612">
        <v>13675</v>
      </c>
      <c r="D612">
        <v>8878</v>
      </c>
      <c r="E612">
        <v>5194</v>
      </c>
      <c r="F612">
        <v>253</v>
      </c>
      <c r="G612" t="s">
        <v>20</v>
      </c>
      <c r="H612" t="str">
        <f>IF(Grammys[[#This Row],[date]] &gt;= DATE(2022, 2, 1), "Grammys", "Grammys + TRA")</f>
        <v>Grammys + TRA</v>
      </c>
      <c r="I612">
        <f>_xlfn.XLOOKUP(Grammys[[#This Row],[date]], mobile_visits[date], mobile_visits[mobile_visitors], 0)</f>
        <v>0</v>
      </c>
    </row>
    <row r="613" spans="1:9" x14ac:dyDescent="0.2">
      <c r="A613" s="1">
        <v>43347</v>
      </c>
      <c r="B613">
        <v>9484</v>
      </c>
      <c r="C613">
        <v>14242</v>
      </c>
      <c r="D613">
        <v>9360</v>
      </c>
      <c r="E613">
        <v>5578</v>
      </c>
      <c r="F613">
        <v>278</v>
      </c>
      <c r="G613" t="s">
        <v>20</v>
      </c>
      <c r="H613" t="str">
        <f>IF(Grammys[[#This Row],[date]] &gt;= DATE(2022, 2, 1), "Grammys", "Grammys + TRA")</f>
        <v>Grammys + TRA</v>
      </c>
      <c r="I613">
        <f>_xlfn.XLOOKUP(Grammys[[#This Row],[date]], mobile_visits[date], mobile_visits[mobile_visitors], 0)</f>
        <v>0</v>
      </c>
    </row>
    <row r="614" spans="1:9" x14ac:dyDescent="0.2">
      <c r="A614" s="1">
        <v>43348</v>
      </c>
      <c r="B614">
        <v>9866</v>
      </c>
      <c r="C614">
        <v>14843</v>
      </c>
      <c r="D614">
        <v>9928</v>
      </c>
      <c r="E614">
        <v>6065</v>
      </c>
      <c r="F614">
        <v>249</v>
      </c>
      <c r="G614" t="s">
        <v>20</v>
      </c>
      <c r="H614" t="str">
        <f>IF(Grammys[[#This Row],[date]] &gt;= DATE(2022, 2, 1), "Grammys", "Grammys + TRA")</f>
        <v>Grammys + TRA</v>
      </c>
      <c r="I614">
        <f>_xlfn.XLOOKUP(Grammys[[#This Row],[date]], mobile_visits[date], mobile_visits[mobile_visitors], 0)</f>
        <v>0</v>
      </c>
    </row>
    <row r="615" spans="1:9" x14ac:dyDescent="0.2">
      <c r="A615" s="1">
        <v>43349</v>
      </c>
      <c r="B615">
        <v>9203</v>
      </c>
      <c r="C615">
        <v>14189</v>
      </c>
      <c r="D615">
        <v>9303</v>
      </c>
      <c r="E615">
        <v>5654</v>
      </c>
      <c r="F615">
        <v>255</v>
      </c>
      <c r="G615" t="s">
        <v>20</v>
      </c>
      <c r="H615" t="str">
        <f>IF(Grammys[[#This Row],[date]] &gt;= DATE(2022, 2, 1), "Grammys", "Grammys + TRA")</f>
        <v>Grammys + TRA</v>
      </c>
      <c r="I615">
        <f>_xlfn.XLOOKUP(Grammys[[#This Row],[date]], mobile_visits[date], mobile_visits[mobile_visitors], 0)</f>
        <v>0</v>
      </c>
    </row>
    <row r="616" spans="1:9" x14ac:dyDescent="0.2">
      <c r="A616" s="1">
        <v>43350</v>
      </c>
      <c r="B616">
        <v>9303</v>
      </c>
      <c r="C616">
        <v>14019</v>
      </c>
      <c r="D616">
        <v>9401</v>
      </c>
      <c r="E616">
        <v>5526</v>
      </c>
      <c r="F616">
        <v>256</v>
      </c>
      <c r="G616" t="s">
        <v>20</v>
      </c>
      <c r="H616" t="str">
        <f>IF(Grammys[[#This Row],[date]] &gt;= DATE(2022, 2, 1), "Grammys", "Grammys + TRA")</f>
        <v>Grammys + TRA</v>
      </c>
      <c r="I616">
        <f>_xlfn.XLOOKUP(Grammys[[#This Row],[date]], mobile_visits[date], mobile_visits[mobile_visitors], 0)</f>
        <v>0</v>
      </c>
    </row>
    <row r="617" spans="1:9" x14ac:dyDescent="0.2">
      <c r="A617" s="1">
        <v>43351</v>
      </c>
      <c r="B617">
        <v>8487</v>
      </c>
      <c r="C617">
        <v>12870</v>
      </c>
      <c r="D617">
        <v>8483</v>
      </c>
      <c r="E617">
        <v>4999</v>
      </c>
      <c r="F617">
        <v>243</v>
      </c>
      <c r="G617" t="s">
        <v>20</v>
      </c>
      <c r="H617" t="str">
        <f>IF(Grammys[[#This Row],[date]] &gt;= DATE(2022, 2, 1), "Grammys", "Grammys + TRA")</f>
        <v>Grammys + TRA</v>
      </c>
      <c r="I617">
        <f>_xlfn.XLOOKUP(Grammys[[#This Row],[date]], mobile_visits[date], mobile_visits[mobile_visitors], 0)</f>
        <v>0</v>
      </c>
    </row>
    <row r="618" spans="1:9" x14ac:dyDescent="0.2">
      <c r="A618" s="1">
        <v>43352</v>
      </c>
      <c r="B618">
        <v>8107</v>
      </c>
      <c r="C618">
        <v>12271</v>
      </c>
      <c r="D618">
        <v>8111</v>
      </c>
      <c r="E618">
        <v>4770</v>
      </c>
      <c r="F618">
        <v>295</v>
      </c>
      <c r="G618" t="s">
        <v>20</v>
      </c>
      <c r="H618" t="str">
        <f>IF(Grammys[[#This Row],[date]] &gt;= DATE(2022, 2, 1), "Grammys", "Grammys + TRA")</f>
        <v>Grammys + TRA</v>
      </c>
      <c r="I618">
        <f>_xlfn.XLOOKUP(Grammys[[#This Row],[date]], mobile_visits[date], mobile_visits[mobile_visitors], 0)</f>
        <v>0</v>
      </c>
    </row>
    <row r="619" spans="1:9" x14ac:dyDescent="0.2">
      <c r="A619" s="1">
        <v>43353</v>
      </c>
      <c r="B619">
        <v>9589</v>
      </c>
      <c r="C619">
        <v>14836</v>
      </c>
      <c r="D619">
        <v>9686</v>
      </c>
      <c r="E619">
        <v>5561</v>
      </c>
      <c r="F619">
        <v>256</v>
      </c>
      <c r="G619" t="s">
        <v>20</v>
      </c>
      <c r="H619" t="str">
        <f>IF(Grammys[[#This Row],[date]] &gt;= DATE(2022, 2, 1), "Grammys", "Grammys + TRA")</f>
        <v>Grammys + TRA</v>
      </c>
      <c r="I619">
        <f>_xlfn.XLOOKUP(Grammys[[#This Row],[date]], mobile_visits[date], mobile_visits[mobile_visitors], 0)</f>
        <v>0</v>
      </c>
    </row>
    <row r="620" spans="1:9" x14ac:dyDescent="0.2">
      <c r="A620" s="1">
        <v>43354</v>
      </c>
      <c r="B620">
        <v>11365</v>
      </c>
      <c r="C620">
        <v>18947</v>
      </c>
      <c r="D620">
        <v>11575</v>
      </c>
      <c r="E620">
        <v>6493</v>
      </c>
      <c r="F620">
        <v>312</v>
      </c>
      <c r="G620" t="s">
        <v>20</v>
      </c>
      <c r="H620" t="str">
        <f>IF(Grammys[[#This Row],[date]] &gt;= DATE(2022, 2, 1), "Grammys", "Grammys + TRA")</f>
        <v>Grammys + TRA</v>
      </c>
      <c r="I620">
        <f>_xlfn.XLOOKUP(Grammys[[#This Row],[date]], mobile_visits[date], mobile_visits[mobile_visitors], 0)</f>
        <v>0</v>
      </c>
    </row>
    <row r="621" spans="1:9" x14ac:dyDescent="0.2">
      <c r="A621" s="1">
        <v>43355</v>
      </c>
      <c r="B621">
        <v>34804</v>
      </c>
      <c r="C621">
        <v>45342</v>
      </c>
      <c r="D621">
        <v>35866</v>
      </c>
      <c r="E621">
        <v>14067</v>
      </c>
      <c r="F621">
        <v>234</v>
      </c>
      <c r="G621" t="s">
        <v>20</v>
      </c>
      <c r="H621" t="str">
        <f>IF(Grammys[[#This Row],[date]] &gt;= DATE(2022, 2, 1), "Grammys", "Grammys + TRA")</f>
        <v>Grammys + TRA</v>
      </c>
      <c r="I621">
        <f>_xlfn.XLOOKUP(Grammys[[#This Row],[date]], mobile_visits[date], mobile_visits[mobile_visitors], 0)</f>
        <v>0</v>
      </c>
    </row>
    <row r="622" spans="1:9" x14ac:dyDescent="0.2">
      <c r="A622" s="1">
        <v>43356</v>
      </c>
      <c r="B622">
        <v>38017</v>
      </c>
      <c r="C622">
        <v>51866</v>
      </c>
      <c r="D622">
        <v>39928</v>
      </c>
      <c r="E622">
        <v>17114</v>
      </c>
      <c r="F622">
        <v>269</v>
      </c>
      <c r="G622" t="s">
        <v>20</v>
      </c>
      <c r="H622" t="str">
        <f>IF(Grammys[[#This Row],[date]] &gt;= DATE(2022, 2, 1), "Grammys", "Grammys + TRA")</f>
        <v>Grammys + TRA</v>
      </c>
      <c r="I622">
        <f>_xlfn.XLOOKUP(Grammys[[#This Row],[date]], mobile_visits[date], mobile_visits[mobile_visitors], 0)</f>
        <v>0</v>
      </c>
    </row>
    <row r="623" spans="1:9" x14ac:dyDescent="0.2">
      <c r="A623" s="1">
        <v>43357</v>
      </c>
      <c r="B623">
        <v>22600</v>
      </c>
      <c r="C623">
        <v>32157</v>
      </c>
      <c r="D623">
        <v>23539</v>
      </c>
      <c r="E623">
        <v>11979</v>
      </c>
      <c r="F623">
        <v>300</v>
      </c>
      <c r="G623" t="s">
        <v>20</v>
      </c>
      <c r="H623" t="str">
        <f>IF(Grammys[[#This Row],[date]] &gt;= DATE(2022, 2, 1), "Grammys", "Grammys + TRA")</f>
        <v>Grammys + TRA</v>
      </c>
      <c r="I623">
        <f>_xlfn.XLOOKUP(Grammys[[#This Row],[date]], mobile_visits[date], mobile_visits[mobile_visitors], 0)</f>
        <v>0</v>
      </c>
    </row>
    <row r="624" spans="1:9" x14ac:dyDescent="0.2">
      <c r="A624" s="1">
        <v>43358</v>
      </c>
      <c r="B624">
        <v>17046</v>
      </c>
      <c r="C624">
        <v>24855</v>
      </c>
      <c r="D624">
        <v>17446</v>
      </c>
      <c r="E624">
        <v>9256</v>
      </c>
      <c r="F624">
        <v>264</v>
      </c>
      <c r="G624" t="s">
        <v>20</v>
      </c>
      <c r="H624" t="str">
        <f>IF(Grammys[[#This Row],[date]] &gt;= DATE(2022, 2, 1), "Grammys", "Grammys + TRA")</f>
        <v>Grammys + TRA</v>
      </c>
      <c r="I624">
        <f>_xlfn.XLOOKUP(Grammys[[#This Row],[date]], mobile_visits[date], mobile_visits[mobile_visitors], 0)</f>
        <v>0</v>
      </c>
    </row>
    <row r="625" spans="1:9" x14ac:dyDescent="0.2">
      <c r="A625" s="1">
        <v>43359</v>
      </c>
      <c r="B625">
        <v>10883</v>
      </c>
      <c r="C625">
        <v>16956</v>
      </c>
      <c r="D625">
        <v>11197</v>
      </c>
      <c r="E625">
        <v>6234</v>
      </c>
      <c r="F625">
        <v>335</v>
      </c>
      <c r="G625" t="s">
        <v>20</v>
      </c>
      <c r="H625" t="str">
        <f>IF(Grammys[[#This Row],[date]] &gt;= DATE(2022, 2, 1), "Grammys", "Grammys + TRA")</f>
        <v>Grammys + TRA</v>
      </c>
      <c r="I625">
        <f>_xlfn.XLOOKUP(Grammys[[#This Row],[date]], mobile_visits[date], mobile_visits[mobile_visitors], 0)</f>
        <v>0</v>
      </c>
    </row>
    <row r="626" spans="1:9" x14ac:dyDescent="0.2">
      <c r="A626" s="1">
        <v>43360</v>
      </c>
      <c r="B626">
        <v>11636</v>
      </c>
      <c r="C626">
        <v>18299</v>
      </c>
      <c r="D626">
        <v>11737</v>
      </c>
      <c r="E626">
        <v>6788</v>
      </c>
      <c r="F626">
        <v>296</v>
      </c>
      <c r="G626" t="s">
        <v>20</v>
      </c>
      <c r="H626" t="str">
        <f>IF(Grammys[[#This Row],[date]] &gt;= DATE(2022, 2, 1), "Grammys", "Grammys + TRA")</f>
        <v>Grammys + TRA</v>
      </c>
      <c r="I626">
        <f>_xlfn.XLOOKUP(Grammys[[#This Row],[date]], mobile_visits[date], mobile_visits[mobile_visitors], 0)</f>
        <v>0</v>
      </c>
    </row>
    <row r="627" spans="1:9" x14ac:dyDescent="0.2">
      <c r="A627" s="1">
        <v>43361</v>
      </c>
      <c r="B627">
        <v>12115</v>
      </c>
      <c r="C627">
        <v>18369</v>
      </c>
      <c r="D627">
        <v>12050</v>
      </c>
      <c r="E627">
        <v>6988</v>
      </c>
      <c r="F627">
        <v>288</v>
      </c>
      <c r="G627" t="s">
        <v>20</v>
      </c>
      <c r="H627" t="str">
        <f>IF(Grammys[[#This Row],[date]] &gt;= DATE(2022, 2, 1), "Grammys", "Grammys + TRA")</f>
        <v>Grammys + TRA</v>
      </c>
      <c r="I627">
        <f>_xlfn.XLOOKUP(Grammys[[#This Row],[date]], mobile_visits[date], mobile_visits[mobile_visitors], 0)</f>
        <v>0</v>
      </c>
    </row>
    <row r="628" spans="1:9" x14ac:dyDescent="0.2">
      <c r="A628" s="1">
        <v>43362</v>
      </c>
      <c r="B628">
        <v>12838</v>
      </c>
      <c r="C628">
        <v>19122</v>
      </c>
      <c r="D628">
        <v>12950</v>
      </c>
      <c r="E628">
        <v>6860</v>
      </c>
      <c r="F628">
        <v>313</v>
      </c>
      <c r="G628" t="s">
        <v>20</v>
      </c>
      <c r="H628" t="str">
        <f>IF(Grammys[[#This Row],[date]] &gt;= DATE(2022, 2, 1), "Grammys", "Grammys + TRA")</f>
        <v>Grammys + TRA</v>
      </c>
      <c r="I628">
        <f>_xlfn.XLOOKUP(Grammys[[#This Row],[date]], mobile_visits[date], mobile_visits[mobile_visitors], 0)</f>
        <v>0</v>
      </c>
    </row>
    <row r="629" spans="1:9" x14ac:dyDescent="0.2">
      <c r="A629" s="1">
        <v>43363</v>
      </c>
      <c r="B629">
        <v>13749</v>
      </c>
      <c r="C629">
        <v>22108</v>
      </c>
      <c r="D629">
        <v>14144</v>
      </c>
      <c r="E629">
        <v>7628</v>
      </c>
      <c r="F629">
        <v>268</v>
      </c>
      <c r="G629" t="s">
        <v>20</v>
      </c>
      <c r="H629" t="str">
        <f>IF(Grammys[[#This Row],[date]] &gt;= DATE(2022, 2, 1), "Grammys", "Grammys + TRA")</f>
        <v>Grammys + TRA</v>
      </c>
      <c r="I629">
        <f>_xlfn.XLOOKUP(Grammys[[#This Row],[date]], mobile_visits[date], mobile_visits[mobile_visitors], 0)</f>
        <v>0</v>
      </c>
    </row>
    <row r="630" spans="1:9" x14ac:dyDescent="0.2">
      <c r="A630" s="1">
        <v>43364</v>
      </c>
      <c r="B630">
        <v>11174</v>
      </c>
      <c r="C630">
        <v>17922</v>
      </c>
      <c r="D630">
        <v>11356</v>
      </c>
      <c r="E630">
        <v>6334</v>
      </c>
      <c r="F630">
        <v>277</v>
      </c>
      <c r="G630" t="s">
        <v>20</v>
      </c>
      <c r="H630" t="str">
        <f>IF(Grammys[[#This Row],[date]] &gt;= DATE(2022, 2, 1), "Grammys", "Grammys + TRA")</f>
        <v>Grammys + TRA</v>
      </c>
      <c r="I630">
        <f>_xlfn.XLOOKUP(Grammys[[#This Row],[date]], mobile_visits[date], mobile_visits[mobile_visitors], 0)</f>
        <v>0</v>
      </c>
    </row>
    <row r="631" spans="1:9" x14ac:dyDescent="0.2">
      <c r="A631" s="1">
        <v>43365</v>
      </c>
      <c r="B631">
        <v>9108</v>
      </c>
      <c r="C631">
        <v>14240</v>
      </c>
      <c r="D631">
        <v>9151</v>
      </c>
      <c r="E631">
        <v>5232</v>
      </c>
      <c r="F631">
        <v>290</v>
      </c>
      <c r="G631" t="s">
        <v>20</v>
      </c>
      <c r="H631" t="str">
        <f>IF(Grammys[[#This Row],[date]] &gt;= DATE(2022, 2, 1), "Grammys", "Grammys + TRA")</f>
        <v>Grammys + TRA</v>
      </c>
      <c r="I631">
        <f>_xlfn.XLOOKUP(Grammys[[#This Row],[date]], mobile_visits[date], mobile_visits[mobile_visitors], 0)</f>
        <v>0</v>
      </c>
    </row>
    <row r="632" spans="1:9" x14ac:dyDescent="0.2">
      <c r="A632" s="1">
        <v>43366</v>
      </c>
      <c r="B632">
        <v>9115</v>
      </c>
      <c r="C632">
        <v>13905</v>
      </c>
      <c r="D632">
        <v>9162</v>
      </c>
      <c r="E632">
        <v>5347</v>
      </c>
      <c r="F632">
        <v>290</v>
      </c>
      <c r="G632" t="s">
        <v>20</v>
      </c>
      <c r="H632" t="str">
        <f>IF(Grammys[[#This Row],[date]] &gt;= DATE(2022, 2, 1), "Grammys", "Grammys + TRA")</f>
        <v>Grammys + TRA</v>
      </c>
      <c r="I632">
        <f>_xlfn.XLOOKUP(Grammys[[#This Row],[date]], mobile_visits[date], mobile_visits[mobile_visitors], 0)</f>
        <v>0</v>
      </c>
    </row>
    <row r="633" spans="1:9" x14ac:dyDescent="0.2">
      <c r="A633" s="1">
        <v>43367</v>
      </c>
      <c r="B633">
        <v>10172</v>
      </c>
      <c r="C633">
        <v>15820</v>
      </c>
      <c r="D633">
        <v>10368</v>
      </c>
      <c r="E633">
        <v>5860</v>
      </c>
      <c r="F633">
        <v>275</v>
      </c>
      <c r="G633" t="s">
        <v>20</v>
      </c>
      <c r="H633" t="str">
        <f>IF(Grammys[[#This Row],[date]] &gt;= DATE(2022, 2, 1), "Grammys", "Grammys + TRA")</f>
        <v>Grammys + TRA</v>
      </c>
      <c r="I633">
        <f>_xlfn.XLOOKUP(Grammys[[#This Row],[date]], mobile_visits[date], mobile_visits[mobile_visitors], 0)</f>
        <v>0</v>
      </c>
    </row>
    <row r="634" spans="1:9" x14ac:dyDescent="0.2">
      <c r="A634" s="1">
        <v>43368</v>
      </c>
      <c r="B634">
        <v>10572</v>
      </c>
      <c r="C634">
        <v>16927</v>
      </c>
      <c r="D634">
        <v>10863</v>
      </c>
      <c r="E634">
        <v>6260</v>
      </c>
      <c r="F634">
        <v>278</v>
      </c>
      <c r="G634" t="s">
        <v>20</v>
      </c>
      <c r="H634" t="str">
        <f>IF(Grammys[[#This Row],[date]] &gt;= DATE(2022, 2, 1), "Grammys", "Grammys + TRA")</f>
        <v>Grammys + TRA</v>
      </c>
      <c r="I634">
        <f>_xlfn.XLOOKUP(Grammys[[#This Row],[date]], mobile_visits[date], mobile_visits[mobile_visitors], 0)</f>
        <v>0</v>
      </c>
    </row>
    <row r="635" spans="1:9" x14ac:dyDescent="0.2">
      <c r="A635" s="1">
        <v>43369</v>
      </c>
      <c r="B635">
        <v>11873</v>
      </c>
      <c r="C635">
        <v>18343</v>
      </c>
      <c r="D635">
        <v>11970</v>
      </c>
      <c r="E635">
        <v>6993</v>
      </c>
      <c r="F635">
        <v>290</v>
      </c>
      <c r="G635" t="s">
        <v>20</v>
      </c>
      <c r="H635" t="str">
        <f>IF(Grammys[[#This Row],[date]] &gt;= DATE(2022, 2, 1), "Grammys", "Grammys + TRA")</f>
        <v>Grammys + TRA</v>
      </c>
      <c r="I635">
        <f>_xlfn.XLOOKUP(Grammys[[#This Row],[date]], mobile_visits[date], mobile_visits[mobile_visitors], 0)</f>
        <v>0</v>
      </c>
    </row>
    <row r="636" spans="1:9" x14ac:dyDescent="0.2">
      <c r="A636" s="1">
        <v>43370</v>
      </c>
      <c r="B636">
        <v>12056</v>
      </c>
      <c r="C636">
        <v>18037</v>
      </c>
      <c r="D636">
        <v>12121</v>
      </c>
      <c r="E636">
        <v>7017</v>
      </c>
      <c r="F636">
        <v>277</v>
      </c>
      <c r="G636" t="s">
        <v>20</v>
      </c>
      <c r="H636" t="str">
        <f>IF(Grammys[[#This Row],[date]] &gt;= DATE(2022, 2, 1), "Grammys", "Grammys + TRA")</f>
        <v>Grammys + TRA</v>
      </c>
      <c r="I636">
        <f>_xlfn.XLOOKUP(Grammys[[#This Row],[date]], mobile_visits[date], mobile_visits[mobile_visitors], 0)</f>
        <v>0</v>
      </c>
    </row>
    <row r="637" spans="1:9" x14ac:dyDescent="0.2">
      <c r="A637" s="1">
        <v>43371</v>
      </c>
      <c r="B637">
        <v>10128</v>
      </c>
      <c r="C637">
        <v>15767</v>
      </c>
      <c r="D637">
        <v>10243</v>
      </c>
      <c r="E637">
        <v>6049</v>
      </c>
      <c r="F637">
        <v>303</v>
      </c>
      <c r="G637" t="s">
        <v>20</v>
      </c>
      <c r="H637" t="str">
        <f>IF(Grammys[[#This Row],[date]] &gt;= DATE(2022, 2, 1), "Grammys", "Grammys + TRA")</f>
        <v>Grammys + TRA</v>
      </c>
      <c r="I637">
        <f>_xlfn.XLOOKUP(Grammys[[#This Row],[date]], mobile_visits[date], mobile_visits[mobile_visitors], 0)</f>
        <v>0</v>
      </c>
    </row>
    <row r="638" spans="1:9" x14ac:dyDescent="0.2">
      <c r="A638" s="1">
        <v>43372</v>
      </c>
      <c r="B638">
        <v>9150</v>
      </c>
      <c r="C638">
        <v>14105</v>
      </c>
      <c r="D638">
        <v>9216</v>
      </c>
      <c r="E638">
        <v>5345</v>
      </c>
      <c r="F638">
        <v>272</v>
      </c>
      <c r="G638" t="s">
        <v>20</v>
      </c>
      <c r="H638" t="str">
        <f>IF(Grammys[[#This Row],[date]] &gt;= DATE(2022, 2, 1), "Grammys", "Grammys + TRA")</f>
        <v>Grammys + TRA</v>
      </c>
      <c r="I638">
        <f>_xlfn.XLOOKUP(Grammys[[#This Row],[date]], mobile_visits[date], mobile_visits[mobile_visitors], 0)</f>
        <v>0</v>
      </c>
    </row>
    <row r="639" spans="1:9" x14ac:dyDescent="0.2">
      <c r="A639" s="1">
        <v>43373</v>
      </c>
      <c r="B639">
        <v>9987</v>
      </c>
      <c r="C639">
        <v>15655</v>
      </c>
      <c r="D639">
        <v>10145</v>
      </c>
      <c r="E639">
        <v>5931</v>
      </c>
      <c r="F639">
        <v>282</v>
      </c>
      <c r="G639" t="s">
        <v>20</v>
      </c>
      <c r="H639" t="str">
        <f>IF(Grammys[[#This Row],[date]] &gt;= DATE(2022, 2, 1), "Grammys", "Grammys + TRA")</f>
        <v>Grammys + TRA</v>
      </c>
      <c r="I639">
        <f>_xlfn.XLOOKUP(Grammys[[#This Row],[date]], mobile_visits[date], mobile_visits[mobile_visitors], 0)</f>
        <v>0</v>
      </c>
    </row>
    <row r="640" spans="1:9" x14ac:dyDescent="0.2">
      <c r="A640" s="1">
        <v>43374</v>
      </c>
      <c r="B640">
        <v>10623</v>
      </c>
      <c r="C640">
        <v>16516</v>
      </c>
      <c r="D640">
        <v>10725</v>
      </c>
      <c r="E640">
        <v>6215</v>
      </c>
      <c r="F640">
        <v>264</v>
      </c>
      <c r="G640" t="s">
        <v>20</v>
      </c>
      <c r="H640" t="str">
        <f>IF(Grammys[[#This Row],[date]] &gt;= DATE(2022, 2, 1), "Grammys", "Grammys + TRA")</f>
        <v>Grammys + TRA</v>
      </c>
      <c r="I640">
        <f>_xlfn.XLOOKUP(Grammys[[#This Row],[date]], mobile_visits[date], mobile_visits[mobile_visitors], 0)</f>
        <v>0</v>
      </c>
    </row>
    <row r="641" spans="1:9" x14ac:dyDescent="0.2">
      <c r="A641" s="1">
        <v>43375</v>
      </c>
      <c r="B641">
        <v>11575</v>
      </c>
      <c r="C641">
        <v>17267</v>
      </c>
      <c r="D641">
        <v>11682</v>
      </c>
      <c r="E641">
        <v>6622</v>
      </c>
      <c r="F641">
        <v>286</v>
      </c>
      <c r="G641" t="s">
        <v>20</v>
      </c>
      <c r="H641" t="str">
        <f>IF(Grammys[[#This Row],[date]] &gt;= DATE(2022, 2, 1), "Grammys", "Grammys + TRA")</f>
        <v>Grammys + TRA</v>
      </c>
      <c r="I641">
        <f>_xlfn.XLOOKUP(Grammys[[#This Row],[date]], mobile_visits[date], mobile_visits[mobile_visitors], 0)</f>
        <v>0</v>
      </c>
    </row>
    <row r="642" spans="1:9" x14ac:dyDescent="0.2">
      <c r="A642" s="1">
        <v>43376</v>
      </c>
      <c r="B642">
        <v>11211</v>
      </c>
      <c r="C642">
        <v>16801</v>
      </c>
      <c r="D642">
        <v>11193</v>
      </c>
      <c r="E642">
        <v>6396</v>
      </c>
      <c r="F642">
        <v>262</v>
      </c>
      <c r="G642" t="s">
        <v>20</v>
      </c>
      <c r="H642" t="str">
        <f>IF(Grammys[[#This Row],[date]] &gt;= DATE(2022, 2, 1), "Grammys", "Grammys + TRA")</f>
        <v>Grammys + TRA</v>
      </c>
      <c r="I642">
        <f>_xlfn.XLOOKUP(Grammys[[#This Row],[date]], mobile_visits[date], mobile_visits[mobile_visitors], 0)</f>
        <v>0</v>
      </c>
    </row>
    <row r="643" spans="1:9" x14ac:dyDescent="0.2">
      <c r="A643" s="1">
        <v>43377</v>
      </c>
      <c r="B643">
        <v>11693</v>
      </c>
      <c r="C643">
        <v>16939</v>
      </c>
      <c r="D643">
        <v>11467</v>
      </c>
      <c r="E643">
        <v>6594</v>
      </c>
      <c r="F643">
        <v>259</v>
      </c>
      <c r="G643" t="s">
        <v>20</v>
      </c>
      <c r="H643" t="str">
        <f>IF(Grammys[[#This Row],[date]] &gt;= DATE(2022, 2, 1), "Grammys", "Grammys + TRA")</f>
        <v>Grammys + TRA</v>
      </c>
      <c r="I643">
        <f>_xlfn.XLOOKUP(Grammys[[#This Row],[date]], mobile_visits[date], mobile_visits[mobile_visitors], 0)</f>
        <v>0</v>
      </c>
    </row>
    <row r="644" spans="1:9" x14ac:dyDescent="0.2">
      <c r="A644" s="1">
        <v>43378</v>
      </c>
      <c r="B644">
        <v>11749</v>
      </c>
      <c r="C644">
        <v>18060</v>
      </c>
      <c r="D644">
        <v>11737</v>
      </c>
      <c r="E644">
        <v>6587</v>
      </c>
      <c r="F644">
        <v>255</v>
      </c>
      <c r="G644" t="s">
        <v>20</v>
      </c>
      <c r="H644" t="str">
        <f>IF(Grammys[[#This Row],[date]] &gt;= DATE(2022, 2, 1), "Grammys", "Grammys + TRA")</f>
        <v>Grammys + TRA</v>
      </c>
      <c r="I644">
        <f>_xlfn.XLOOKUP(Grammys[[#This Row],[date]], mobile_visits[date], mobile_visits[mobile_visitors], 0)</f>
        <v>0</v>
      </c>
    </row>
    <row r="645" spans="1:9" x14ac:dyDescent="0.2">
      <c r="A645" s="1">
        <v>43379</v>
      </c>
      <c r="B645">
        <v>9752</v>
      </c>
      <c r="C645">
        <v>14806</v>
      </c>
      <c r="D645">
        <v>9731</v>
      </c>
      <c r="E645">
        <v>5717</v>
      </c>
      <c r="F645">
        <v>284</v>
      </c>
      <c r="G645" t="s">
        <v>20</v>
      </c>
      <c r="H645" t="str">
        <f>IF(Grammys[[#This Row],[date]] &gt;= DATE(2022, 2, 1), "Grammys", "Grammys + TRA")</f>
        <v>Grammys + TRA</v>
      </c>
      <c r="I645">
        <f>_xlfn.XLOOKUP(Grammys[[#This Row],[date]], mobile_visits[date], mobile_visits[mobile_visitors], 0)</f>
        <v>0</v>
      </c>
    </row>
    <row r="646" spans="1:9" x14ac:dyDescent="0.2">
      <c r="A646" s="1">
        <v>43380</v>
      </c>
      <c r="B646">
        <v>9552</v>
      </c>
      <c r="C646">
        <v>14551</v>
      </c>
      <c r="D646">
        <v>9646</v>
      </c>
      <c r="E646">
        <v>5599</v>
      </c>
      <c r="F646">
        <v>271</v>
      </c>
      <c r="G646" t="s">
        <v>20</v>
      </c>
      <c r="H646" t="str">
        <f>IF(Grammys[[#This Row],[date]] &gt;= DATE(2022, 2, 1), "Grammys", "Grammys + TRA")</f>
        <v>Grammys + TRA</v>
      </c>
      <c r="I646">
        <f>_xlfn.XLOOKUP(Grammys[[#This Row],[date]], mobile_visits[date], mobile_visits[mobile_visitors], 0)</f>
        <v>0</v>
      </c>
    </row>
    <row r="647" spans="1:9" x14ac:dyDescent="0.2">
      <c r="A647" s="1">
        <v>43381</v>
      </c>
      <c r="B647">
        <v>12069</v>
      </c>
      <c r="C647">
        <v>17962</v>
      </c>
      <c r="D647">
        <v>12161</v>
      </c>
      <c r="E647">
        <v>6497</v>
      </c>
      <c r="F647">
        <v>253</v>
      </c>
      <c r="G647" t="s">
        <v>20</v>
      </c>
      <c r="H647" t="str">
        <f>IF(Grammys[[#This Row],[date]] &gt;= DATE(2022, 2, 1), "Grammys", "Grammys + TRA")</f>
        <v>Grammys + TRA</v>
      </c>
      <c r="I647">
        <f>_xlfn.XLOOKUP(Grammys[[#This Row],[date]], mobile_visits[date], mobile_visits[mobile_visitors], 0)</f>
        <v>0</v>
      </c>
    </row>
    <row r="648" spans="1:9" x14ac:dyDescent="0.2">
      <c r="A648" s="1">
        <v>43382</v>
      </c>
      <c r="B648">
        <v>14755</v>
      </c>
      <c r="C648">
        <v>22843</v>
      </c>
      <c r="D648">
        <v>14954</v>
      </c>
      <c r="E648">
        <v>7904</v>
      </c>
      <c r="F648">
        <v>326</v>
      </c>
      <c r="G648" t="s">
        <v>20</v>
      </c>
      <c r="H648" t="str">
        <f>IF(Grammys[[#This Row],[date]] &gt;= DATE(2022, 2, 1), "Grammys", "Grammys + TRA")</f>
        <v>Grammys + TRA</v>
      </c>
      <c r="I648">
        <f>_xlfn.XLOOKUP(Grammys[[#This Row],[date]], mobile_visits[date], mobile_visits[mobile_visitors], 0)</f>
        <v>0</v>
      </c>
    </row>
    <row r="649" spans="1:9" x14ac:dyDescent="0.2">
      <c r="A649" s="1">
        <v>43383</v>
      </c>
      <c r="B649">
        <v>14698</v>
      </c>
      <c r="C649">
        <v>22695</v>
      </c>
      <c r="D649">
        <v>14922</v>
      </c>
      <c r="E649">
        <v>7885</v>
      </c>
      <c r="F649">
        <v>292</v>
      </c>
      <c r="G649" t="s">
        <v>20</v>
      </c>
      <c r="H649" t="str">
        <f>IF(Grammys[[#This Row],[date]] &gt;= DATE(2022, 2, 1), "Grammys", "Grammys + TRA")</f>
        <v>Grammys + TRA</v>
      </c>
      <c r="I649">
        <f>_xlfn.XLOOKUP(Grammys[[#This Row],[date]], mobile_visits[date], mobile_visits[mobile_visitors], 0)</f>
        <v>0</v>
      </c>
    </row>
    <row r="650" spans="1:9" x14ac:dyDescent="0.2">
      <c r="A650" s="1">
        <v>43384</v>
      </c>
      <c r="B650">
        <v>17087</v>
      </c>
      <c r="C650">
        <v>24788</v>
      </c>
      <c r="D650">
        <v>17238</v>
      </c>
      <c r="E650">
        <v>9019</v>
      </c>
      <c r="F650">
        <v>265</v>
      </c>
      <c r="G650" t="s">
        <v>20</v>
      </c>
      <c r="H650" t="str">
        <f>IF(Grammys[[#This Row],[date]] &gt;= DATE(2022, 2, 1), "Grammys", "Grammys + TRA")</f>
        <v>Grammys + TRA</v>
      </c>
      <c r="I650">
        <f>_xlfn.XLOOKUP(Grammys[[#This Row],[date]], mobile_visits[date], mobile_visits[mobile_visitors], 0)</f>
        <v>0</v>
      </c>
    </row>
    <row r="651" spans="1:9" x14ac:dyDescent="0.2">
      <c r="A651" s="1">
        <v>43385</v>
      </c>
      <c r="B651">
        <v>13107</v>
      </c>
      <c r="C651">
        <v>19372</v>
      </c>
      <c r="D651">
        <v>13348</v>
      </c>
      <c r="E651">
        <v>7685</v>
      </c>
      <c r="F651">
        <v>282</v>
      </c>
      <c r="G651" t="s">
        <v>20</v>
      </c>
      <c r="H651" t="str">
        <f>IF(Grammys[[#This Row],[date]] &gt;= DATE(2022, 2, 1), "Grammys", "Grammys + TRA")</f>
        <v>Grammys + TRA</v>
      </c>
      <c r="I651">
        <f>_xlfn.XLOOKUP(Grammys[[#This Row],[date]], mobile_visits[date], mobile_visits[mobile_visitors], 0)</f>
        <v>0</v>
      </c>
    </row>
    <row r="652" spans="1:9" x14ac:dyDescent="0.2">
      <c r="A652" s="1">
        <v>43386</v>
      </c>
      <c r="B652">
        <v>9656</v>
      </c>
      <c r="C652">
        <v>15072</v>
      </c>
      <c r="D652">
        <v>9868</v>
      </c>
      <c r="E652">
        <v>5688</v>
      </c>
      <c r="F652">
        <v>276</v>
      </c>
      <c r="G652" t="s">
        <v>20</v>
      </c>
      <c r="H652" t="str">
        <f>IF(Grammys[[#This Row],[date]] &gt;= DATE(2022, 2, 1), "Grammys", "Grammys + TRA")</f>
        <v>Grammys + TRA</v>
      </c>
      <c r="I652">
        <f>_xlfn.XLOOKUP(Grammys[[#This Row],[date]], mobile_visits[date], mobile_visits[mobile_visitors], 0)</f>
        <v>0</v>
      </c>
    </row>
    <row r="653" spans="1:9" x14ac:dyDescent="0.2">
      <c r="A653" s="1">
        <v>43387</v>
      </c>
      <c r="B653">
        <v>9806</v>
      </c>
      <c r="C653">
        <v>15620</v>
      </c>
      <c r="D653">
        <v>11992</v>
      </c>
      <c r="E653">
        <v>7424</v>
      </c>
      <c r="F653">
        <v>18</v>
      </c>
      <c r="G653" t="s">
        <v>20</v>
      </c>
      <c r="H653" t="str">
        <f>IF(Grammys[[#This Row],[date]] &gt;= DATE(2022, 2, 1), "Grammys", "Grammys + TRA")</f>
        <v>Grammys + TRA</v>
      </c>
      <c r="I653">
        <f>_xlfn.XLOOKUP(Grammys[[#This Row],[date]], mobile_visits[date], mobile_visits[mobile_visitors], 0)</f>
        <v>0</v>
      </c>
    </row>
    <row r="654" spans="1:9" x14ac:dyDescent="0.2">
      <c r="A654" s="1">
        <v>43388</v>
      </c>
      <c r="B654">
        <v>11399</v>
      </c>
      <c r="C654">
        <v>18164</v>
      </c>
      <c r="D654">
        <v>14149</v>
      </c>
      <c r="E654">
        <v>8527</v>
      </c>
      <c r="F654">
        <v>18</v>
      </c>
      <c r="G654" t="s">
        <v>20</v>
      </c>
      <c r="H654" t="str">
        <f>IF(Grammys[[#This Row],[date]] &gt;= DATE(2022, 2, 1), "Grammys", "Grammys + TRA")</f>
        <v>Grammys + TRA</v>
      </c>
      <c r="I654">
        <f>_xlfn.XLOOKUP(Grammys[[#This Row],[date]], mobile_visits[date], mobile_visits[mobile_visitors], 0)</f>
        <v>0</v>
      </c>
    </row>
    <row r="655" spans="1:9" x14ac:dyDescent="0.2">
      <c r="A655" s="1">
        <v>43389</v>
      </c>
      <c r="B655">
        <v>11089</v>
      </c>
      <c r="C655">
        <v>17435</v>
      </c>
      <c r="D655">
        <v>13719</v>
      </c>
      <c r="E655">
        <v>8188</v>
      </c>
      <c r="F655">
        <v>18</v>
      </c>
      <c r="G655" t="s">
        <v>20</v>
      </c>
      <c r="H655" t="str">
        <f>IF(Grammys[[#This Row],[date]] &gt;= DATE(2022, 2, 1), "Grammys", "Grammys + TRA")</f>
        <v>Grammys + TRA</v>
      </c>
      <c r="I655">
        <f>_xlfn.XLOOKUP(Grammys[[#This Row],[date]], mobile_visits[date], mobile_visits[mobile_visitors], 0)</f>
        <v>0</v>
      </c>
    </row>
    <row r="656" spans="1:9" x14ac:dyDescent="0.2">
      <c r="A656" s="1">
        <v>43390</v>
      </c>
      <c r="B656">
        <v>14046</v>
      </c>
      <c r="C656">
        <v>24466</v>
      </c>
      <c r="D656">
        <v>17660</v>
      </c>
      <c r="E656">
        <v>9459</v>
      </c>
      <c r="F656">
        <v>21</v>
      </c>
      <c r="G656" t="s">
        <v>20</v>
      </c>
      <c r="H656" t="str">
        <f>IF(Grammys[[#This Row],[date]] &gt;= DATE(2022, 2, 1), "Grammys", "Grammys + TRA")</f>
        <v>Grammys + TRA</v>
      </c>
      <c r="I656">
        <f>_xlfn.XLOOKUP(Grammys[[#This Row],[date]], mobile_visits[date], mobile_visits[mobile_visitors], 0)</f>
        <v>0</v>
      </c>
    </row>
    <row r="657" spans="1:9" x14ac:dyDescent="0.2">
      <c r="A657" s="1">
        <v>43391</v>
      </c>
      <c r="B657">
        <v>15779</v>
      </c>
      <c r="C657">
        <v>27970</v>
      </c>
      <c r="D657">
        <v>19366</v>
      </c>
      <c r="E657">
        <v>10867</v>
      </c>
      <c r="F657">
        <v>20</v>
      </c>
      <c r="G657" t="s">
        <v>20</v>
      </c>
      <c r="H657" t="str">
        <f>IF(Grammys[[#This Row],[date]] &gt;= DATE(2022, 2, 1), "Grammys", "Grammys + TRA")</f>
        <v>Grammys + TRA</v>
      </c>
      <c r="I657">
        <f>_xlfn.XLOOKUP(Grammys[[#This Row],[date]], mobile_visits[date], mobile_visits[mobile_visitors], 0)</f>
        <v>0</v>
      </c>
    </row>
    <row r="658" spans="1:9" x14ac:dyDescent="0.2">
      <c r="A658" s="1">
        <v>43392</v>
      </c>
      <c r="B658">
        <v>14546</v>
      </c>
      <c r="C658">
        <v>25714</v>
      </c>
      <c r="D658">
        <v>17821</v>
      </c>
      <c r="E658">
        <v>9843</v>
      </c>
      <c r="F658">
        <v>21</v>
      </c>
      <c r="G658" t="s">
        <v>20</v>
      </c>
      <c r="H658" t="str">
        <f>IF(Grammys[[#This Row],[date]] &gt;= DATE(2022, 2, 1), "Grammys", "Grammys + TRA")</f>
        <v>Grammys + TRA</v>
      </c>
      <c r="I658">
        <f>_xlfn.XLOOKUP(Grammys[[#This Row],[date]], mobile_visits[date], mobile_visits[mobile_visitors], 0)</f>
        <v>0</v>
      </c>
    </row>
    <row r="659" spans="1:9" x14ac:dyDescent="0.2">
      <c r="A659" s="1">
        <v>43393</v>
      </c>
      <c r="B659">
        <v>12101</v>
      </c>
      <c r="C659">
        <v>21293</v>
      </c>
      <c r="D659">
        <v>14783</v>
      </c>
      <c r="E659">
        <v>8193</v>
      </c>
      <c r="F659">
        <v>21</v>
      </c>
      <c r="G659" t="s">
        <v>20</v>
      </c>
      <c r="H659" t="str">
        <f>IF(Grammys[[#This Row],[date]] &gt;= DATE(2022, 2, 1), "Grammys", "Grammys + TRA")</f>
        <v>Grammys + TRA</v>
      </c>
      <c r="I659">
        <f>_xlfn.XLOOKUP(Grammys[[#This Row],[date]], mobile_visits[date], mobile_visits[mobile_visitors], 0)</f>
        <v>0</v>
      </c>
    </row>
    <row r="660" spans="1:9" x14ac:dyDescent="0.2">
      <c r="A660" s="1">
        <v>43394</v>
      </c>
      <c r="B660">
        <v>12445</v>
      </c>
      <c r="C660">
        <v>20525</v>
      </c>
      <c r="D660">
        <v>12774</v>
      </c>
      <c r="E660">
        <v>6163</v>
      </c>
      <c r="F660">
        <v>259</v>
      </c>
      <c r="G660" t="s">
        <v>20</v>
      </c>
      <c r="H660" t="str">
        <f>IF(Grammys[[#This Row],[date]] &gt;= DATE(2022, 2, 1), "Grammys", "Grammys + TRA")</f>
        <v>Grammys + TRA</v>
      </c>
      <c r="I660">
        <f>_xlfn.XLOOKUP(Grammys[[#This Row],[date]], mobile_visits[date], mobile_visits[mobile_visitors], 0)</f>
        <v>0</v>
      </c>
    </row>
    <row r="661" spans="1:9" x14ac:dyDescent="0.2">
      <c r="A661" s="1">
        <v>43395</v>
      </c>
      <c r="B661">
        <v>15770</v>
      </c>
      <c r="C661">
        <v>24647</v>
      </c>
      <c r="D661">
        <v>18560</v>
      </c>
      <c r="E661">
        <v>9841</v>
      </c>
      <c r="F661">
        <v>20</v>
      </c>
      <c r="G661" t="s">
        <v>20</v>
      </c>
      <c r="H661" t="str">
        <f>IF(Grammys[[#This Row],[date]] &gt;= DATE(2022, 2, 1), "Grammys", "Grammys + TRA")</f>
        <v>Grammys + TRA</v>
      </c>
      <c r="I661">
        <f>_xlfn.XLOOKUP(Grammys[[#This Row],[date]], mobile_visits[date], mobile_visits[mobile_visitors], 0)</f>
        <v>0</v>
      </c>
    </row>
    <row r="662" spans="1:9" x14ac:dyDescent="0.2">
      <c r="A662" s="1">
        <v>43396</v>
      </c>
      <c r="B662">
        <v>13986</v>
      </c>
      <c r="C662">
        <v>23469</v>
      </c>
      <c r="D662">
        <v>17127</v>
      </c>
      <c r="E662">
        <v>9662</v>
      </c>
      <c r="F662">
        <v>20</v>
      </c>
      <c r="G662" t="s">
        <v>20</v>
      </c>
      <c r="H662" t="str">
        <f>IF(Grammys[[#This Row],[date]] &gt;= DATE(2022, 2, 1), "Grammys", "Grammys + TRA")</f>
        <v>Grammys + TRA</v>
      </c>
      <c r="I662">
        <f>_xlfn.XLOOKUP(Grammys[[#This Row],[date]], mobile_visits[date], mobile_visits[mobile_visitors], 0)</f>
        <v>0</v>
      </c>
    </row>
    <row r="663" spans="1:9" x14ac:dyDescent="0.2">
      <c r="A663" s="1">
        <v>43397</v>
      </c>
      <c r="B663">
        <v>13059</v>
      </c>
      <c r="C663">
        <v>21149</v>
      </c>
      <c r="D663">
        <v>15620</v>
      </c>
      <c r="E663">
        <v>9221</v>
      </c>
      <c r="F663">
        <v>19</v>
      </c>
      <c r="G663" t="s">
        <v>20</v>
      </c>
      <c r="H663" t="str">
        <f>IF(Grammys[[#This Row],[date]] &gt;= DATE(2022, 2, 1), "Grammys", "Grammys + TRA")</f>
        <v>Grammys + TRA</v>
      </c>
      <c r="I663">
        <f>_xlfn.XLOOKUP(Grammys[[#This Row],[date]], mobile_visits[date], mobile_visits[mobile_visitors], 0)</f>
        <v>0</v>
      </c>
    </row>
    <row r="664" spans="1:9" x14ac:dyDescent="0.2">
      <c r="A664" s="1">
        <v>43398</v>
      </c>
      <c r="B664">
        <v>12552</v>
      </c>
      <c r="C664">
        <v>20583</v>
      </c>
      <c r="D664">
        <v>15317</v>
      </c>
      <c r="E664">
        <v>9391</v>
      </c>
      <c r="F664">
        <v>17</v>
      </c>
      <c r="G664" t="s">
        <v>20</v>
      </c>
      <c r="H664" t="str">
        <f>IF(Grammys[[#This Row],[date]] &gt;= DATE(2022, 2, 1), "Grammys", "Grammys + TRA")</f>
        <v>Grammys + TRA</v>
      </c>
      <c r="I664">
        <f>_xlfn.XLOOKUP(Grammys[[#This Row],[date]], mobile_visits[date], mobile_visits[mobile_visitors], 0)</f>
        <v>0</v>
      </c>
    </row>
    <row r="665" spans="1:9" x14ac:dyDescent="0.2">
      <c r="A665" s="1">
        <v>43399</v>
      </c>
      <c r="B665">
        <v>12348</v>
      </c>
      <c r="C665">
        <v>19645</v>
      </c>
      <c r="D665">
        <v>14655</v>
      </c>
      <c r="E665">
        <v>8971</v>
      </c>
      <c r="F665">
        <v>17</v>
      </c>
      <c r="G665" t="s">
        <v>20</v>
      </c>
      <c r="H665" t="str">
        <f>IF(Grammys[[#This Row],[date]] &gt;= DATE(2022, 2, 1), "Grammys", "Grammys + TRA")</f>
        <v>Grammys + TRA</v>
      </c>
      <c r="I665">
        <f>_xlfn.XLOOKUP(Grammys[[#This Row],[date]], mobile_visits[date], mobile_visits[mobile_visitors], 0)</f>
        <v>0</v>
      </c>
    </row>
    <row r="666" spans="1:9" x14ac:dyDescent="0.2">
      <c r="A666" s="1">
        <v>43400</v>
      </c>
      <c r="B666">
        <v>10442</v>
      </c>
      <c r="C666">
        <v>16872</v>
      </c>
      <c r="D666">
        <v>12581</v>
      </c>
      <c r="E666">
        <v>7665</v>
      </c>
      <c r="F666">
        <v>18</v>
      </c>
      <c r="G666" t="s">
        <v>20</v>
      </c>
      <c r="H666" t="str">
        <f>IF(Grammys[[#This Row],[date]] &gt;= DATE(2022, 2, 1), "Grammys", "Grammys + TRA")</f>
        <v>Grammys + TRA</v>
      </c>
      <c r="I666">
        <f>_xlfn.XLOOKUP(Grammys[[#This Row],[date]], mobile_visits[date], mobile_visits[mobile_visitors], 0)</f>
        <v>0</v>
      </c>
    </row>
    <row r="667" spans="1:9" x14ac:dyDescent="0.2">
      <c r="A667" s="1">
        <v>43401</v>
      </c>
      <c r="B667">
        <v>9750</v>
      </c>
      <c r="C667">
        <v>15950</v>
      </c>
      <c r="D667">
        <v>12018</v>
      </c>
      <c r="E667">
        <v>7557</v>
      </c>
      <c r="F667">
        <v>17</v>
      </c>
      <c r="G667" t="s">
        <v>20</v>
      </c>
      <c r="H667" t="str">
        <f>IF(Grammys[[#This Row],[date]] &gt;= DATE(2022, 2, 1), "Grammys", "Grammys + TRA")</f>
        <v>Grammys + TRA</v>
      </c>
      <c r="I667">
        <f>_xlfn.XLOOKUP(Grammys[[#This Row],[date]], mobile_visits[date], mobile_visits[mobile_visitors], 0)</f>
        <v>0</v>
      </c>
    </row>
    <row r="668" spans="1:9" x14ac:dyDescent="0.2">
      <c r="A668" s="1">
        <v>43402</v>
      </c>
      <c r="B668">
        <v>12609</v>
      </c>
      <c r="C668">
        <v>20919</v>
      </c>
      <c r="D668">
        <v>15208</v>
      </c>
      <c r="E668">
        <v>8648</v>
      </c>
      <c r="F668">
        <v>19</v>
      </c>
      <c r="G668" t="s">
        <v>20</v>
      </c>
      <c r="H668" t="str">
        <f>IF(Grammys[[#This Row],[date]] &gt;= DATE(2022, 2, 1), "Grammys", "Grammys + TRA")</f>
        <v>Grammys + TRA</v>
      </c>
      <c r="I668">
        <f>_xlfn.XLOOKUP(Grammys[[#This Row],[date]], mobile_visits[date], mobile_visits[mobile_visitors], 0)</f>
        <v>0</v>
      </c>
    </row>
    <row r="669" spans="1:9" x14ac:dyDescent="0.2">
      <c r="A669" s="1">
        <v>43403</v>
      </c>
      <c r="B669">
        <v>12068</v>
      </c>
      <c r="C669">
        <v>19818</v>
      </c>
      <c r="D669">
        <v>14388</v>
      </c>
      <c r="E669">
        <v>8394</v>
      </c>
      <c r="F669">
        <v>19</v>
      </c>
      <c r="G669" t="s">
        <v>20</v>
      </c>
      <c r="H669" t="str">
        <f>IF(Grammys[[#This Row],[date]] &gt;= DATE(2022, 2, 1), "Grammys", "Grammys + TRA")</f>
        <v>Grammys + TRA</v>
      </c>
      <c r="I669">
        <f>_xlfn.XLOOKUP(Grammys[[#This Row],[date]], mobile_visits[date], mobile_visits[mobile_visitors], 0)</f>
        <v>0</v>
      </c>
    </row>
    <row r="670" spans="1:9" x14ac:dyDescent="0.2">
      <c r="A670" s="1">
        <v>43404</v>
      </c>
      <c r="B670">
        <v>12904</v>
      </c>
      <c r="C670">
        <v>20528</v>
      </c>
      <c r="D670">
        <v>15621</v>
      </c>
      <c r="E670">
        <v>8031</v>
      </c>
      <c r="F670">
        <v>19</v>
      </c>
      <c r="G670" t="s">
        <v>20</v>
      </c>
      <c r="H670" t="str">
        <f>IF(Grammys[[#This Row],[date]] &gt;= DATE(2022, 2, 1), "Grammys", "Grammys + TRA")</f>
        <v>Grammys + TRA</v>
      </c>
      <c r="I670">
        <f>_xlfn.XLOOKUP(Grammys[[#This Row],[date]], mobile_visits[date], mobile_visits[mobile_visitors], 0)</f>
        <v>0</v>
      </c>
    </row>
    <row r="671" spans="1:9" x14ac:dyDescent="0.2">
      <c r="A671" s="1">
        <v>43405</v>
      </c>
      <c r="B671">
        <v>11369</v>
      </c>
      <c r="C671">
        <v>17448</v>
      </c>
      <c r="D671">
        <v>13505</v>
      </c>
      <c r="E671">
        <v>8324</v>
      </c>
      <c r="F671">
        <v>16</v>
      </c>
      <c r="G671" t="s">
        <v>20</v>
      </c>
      <c r="H671" t="str">
        <f>IF(Grammys[[#This Row],[date]] &gt;= DATE(2022, 2, 1), "Grammys", "Grammys + TRA")</f>
        <v>Grammys + TRA</v>
      </c>
      <c r="I671">
        <f>_xlfn.XLOOKUP(Grammys[[#This Row],[date]], mobile_visits[date], mobile_visits[mobile_visitors], 0)</f>
        <v>0</v>
      </c>
    </row>
    <row r="672" spans="1:9" x14ac:dyDescent="0.2">
      <c r="A672" s="1">
        <v>43406</v>
      </c>
      <c r="B672">
        <v>10765</v>
      </c>
      <c r="C672">
        <v>16969</v>
      </c>
      <c r="D672">
        <v>12763</v>
      </c>
      <c r="E672">
        <v>8101</v>
      </c>
      <c r="F672">
        <v>17</v>
      </c>
      <c r="G672" t="s">
        <v>20</v>
      </c>
      <c r="H672" t="str">
        <f>IF(Grammys[[#This Row],[date]] &gt;= DATE(2022, 2, 1), "Grammys", "Grammys + TRA")</f>
        <v>Grammys + TRA</v>
      </c>
      <c r="I672">
        <f>_xlfn.XLOOKUP(Grammys[[#This Row],[date]], mobile_visits[date], mobile_visits[mobile_visitors], 0)</f>
        <v>0</v>
      </c>
    </row>
    <row r="673" spans="1:9" x14ac:dyDescent="0.2">
      <c r="A673" s="1">
        <v>43407</v>
      </c>
      <c r="B673">
        <v>9907</v>
      </c>
      <c r="C673">
        <v>15391</v>
      </c>
      <c r="D673">
        <v>11562</v>
      </c>
      <c r="E673">
        <v>7394</v>
      </c>
      <c r="F673">
        <v>18</v>
      </c>
      <c r="G673" t="s">
        <v>20</v>
      </c>
      <c r="H673" t="str">
        <f>IF(Grammys[[#This Row],[date]] &gt;= DATE(2022, 2, 1), "Grammys", "Grammys + TRA")</f>
        <v>Grammys + TRA</v>
      </c>
      <c r="I673">
        <f>_xlfn.XLOOKUP(Grammys[[#This Row],[date]], mobile_visits[date], mobile_visits[mobile_visitors], 0)</f>
        <v>0</v>
      </c>
    </row>
    <row r="674" spans="1:9" x14ac:dyDescent="0.2">
      <c r="A674" s="1">
        <v>43408</v>
      </c>
      <c r="B674">
        <v>10296</v>
      </c>
      <c r="C674">
        <v>16757</v>
      </c>
      <c r="D674">
        <v>12356</v>
      </c>
      <c r="E674">
        <v>7849</v>
      </c>
      <c r="F674">
        <v>18</v>
      </c>
      <c r="G674" t="s">
        <v>20</v>
      </c>
      <c r="H674" t="str">
        <f>IF(Grammys[[#This Row],[date]] &gt;= DATE(2022, 2, 1), "Grammys", "Grammys + TRA")</f>
        <v>Grammys + TRA</v>
      </c>
      <c r="I674">
        <f>_xlfn.XLOOKUP(Grammys[[#This Row],[date]], mobile_visits[date], mobile_visits[mobile_visitors], 0)</f>
        <v>0</v>
      </c>
    </row>
    <row r="675" spans="1:9" x14ac:dyDescent="0.2">
      <c r="A675" s="1">
        <v>43409</v>
      </c>
      <c r="B675">
        <v>10967</v>
      </c>
      <c r="C675">
        <v>16957</v>
      </c>
      <c r="D675">
        <v>11205</v>
      </c>
      <c r="E675">
        <v>6741</v>
      </c>
      <c r="F675">
        <v>73</v>
      </c>
      <c r="G675" t="s">
        <v>20</v>
      </c>
      <c r="H675" t="str">
        <f>IF(Grammys[[#This Row],[date]] &gt;= DATE(2022, 2, 1), "Grammys", "Grammys + TRA")</f>
        <v>Grammys + TRA</v>
      </c>
      <c r="I675">
        <f>_xlfn.XLOOKUP(Grammys[[#This Row],[date]], mobile_visits[date], mobile_visits[mobile_visitors], 0)</f>
        <v>0</v>
      </c>
    </row>
    <row r="676" spans="1:9" x14ac:dyDescent="0.2">
      <c r="A676" s="1">
        <v>43410</v>
      </c>
      <c r="B676">
        <v>10920</v>
      </c>
      <c r="C676">
        <v>17389</v>
      </c>
      <c r="D676">
        <v>11398</v>
      </c>
      <c r="E676">
        <v>6869</v>
      </c>
      <c r="F676">
        <v>72</v>
      </c>
      <c r="G676" t="s">
        <v>20</v>
      </c>
      <c r="H676" t="str">
        <f>IF(Grammys[[#This Row],[date]] &gt;= DATE(2022, 2, 1), "Grammys", "Grammys + TRA")</f>
        <v>Grammys + TRA</v>
      </c>
      <c r="I676">
        <f>_xlfn.XLOOKUP(Grammys[[#This Row],[date]], mobile_visits[date], mobile_visits[mobile_visitors], 0)</f>
        <v>0</v>
      </c>
    </row>
    <row r="677" spans="1:9" x14ac:dyDescent="0.2">
      <c r="A677" s="1">
        <v>43411</v>
      </c>
      <c r="B677">
        <v>10030</v>
      </c>
      <c r="C677">
        <v>15838</v>
      </c>
      <c r="D677">
        <v>10534</v>
      </c>
      <c r="E677">
        <v>6468</v>
      </c>
      <c r="F677">
        <v>72</v>
      </c>
      <c r="G677" t="s">
        <v>20</v>
      </c>
      <c r="H677" t="str">
        <f>IF(Grammys[[#This Row],[date]] &gt;= DATE(2022, 2, 1), "Grammys", "Grammys + TRA")</f>
        <v>Grammys + TRA</v>
      </c>
      <c r="I677">
        <f>_xlfn.XLOOKUP(Grammys[[#This Row],[date]], mobile_visits[date], mobile_visits[mobile_visitors], 0)</f>
        <v>0</v>
      </c>
    </row>
    <row r="678" spans="1:9" x14ac:dyDescent="0.2">
      <c r="A678" s="1">
        <v>43412</v>
      </c>
      <c r="B678">
        <v>10093</v>
      </c>
      <c r="C678">
        <v>15361</v>
      </c>
      <c r="D678">
        <v>10469</v>
      </c>
      <c r="E678">
        <v>6430</v>
      </c>
      <c r="F678">
        <v>65</v>
      </c>
      <c r="G678" t="s">
        <v>20</v>
      </c>
      <c r="H678" t="str">
        <f>IF(Grammys[[#This Row],[date]] &gt;= DATE(2022, 2, 1), "Grammys", "Grammys + TRA")</f>
        <v>Grammys + TRA</v>
      </c>
      <c r="I678">
        <f>_xlfn.XLOOKUP(Grammys[[#This Row],[date]], mobile_visits[date], mobile_visits[mobile_visitors], 0)</f>
        <v>0</v>
      </c>
    </row>
    <row r="679" spans="1:9" x14ac:dyDescent="0.2">
      <c r="A679" s="1">
        <v>43413</v>
      </c>
      <c r="B679">
        <v>10185</v>
      </c>
      <c r="C679">
        <v>15312</v>
      </c>
      <c r="D679">
        <v>10605</v>
      </c>
      <c r="E679">
        <v>6600</v>
      </c>
      <c r="F679">
        <v>68</v>
      </c>
      <c r="G679" t="s">
        <v>20</v>
      </c>
      <c r="H679" t="str">
        <f>IF(Grammys[[#This Row],[date]] &gt;= DATE(2022, 2, 1), "Grammys", "Grammys + TRA")</f>
        <v>Grammys + TRA</v>
      </c>
      <c r="I679">
        <f>_xlfn.XLOOKUP(Grammys[[#This Row],[date]], mobile_visits[date], mobile_visits[mobile_visitors], 0)</f>
        <v>0</v>
      </c>
    </row>
    <row r="680" spans="1:9" x14ac:dyDescent="0.2">
      <c r="A680" s="1">
        <v>43414</v>
      </c>
      <c r="B680">
        <v>9468</v>
      </c>
      <c r="C680">
        <v>14203</v>
      </c>
      <c r="D680">
        <v>9841</v>
      </c>
      <c r="E680">
        <v>5933</v>
      </c>
      <c r="F680">
        <v>64</v>
      </c>
      <c r="G680" t="s">
        <v>20</v>
      </c>
      <c r="H680" t="str">
        <f>IF(Grammys[[#This Row],[date]] &gt;= DATE(2022, 2, 1), "Grammys", "Grammys + TRA")</f>
        <v>Grammys + TRA</v>
      </c>
      <c r="I680">
        <f>_xlfn.XLOOKUP(Grammys[[#This Row],[date]], mobile_visits[date], mobile_visits[mobile_visitors], 0)</f>
        <v>0</v>
      </c>
    </row>
    <row r="681" spans="1:9" x14ac:dyDescent="0.2">
      <c r="A681" s="1">
        <v>43415</v>
      </c>
      <c r="B681">
        <v>9835</v>
      </c>
      <c r="C681">
        <v>15279</v>
      </c>
      <c r="D681">
        <v>10139</v>
      </c>
      <c r="E681">
        <v>6147</v>
      </c>
      <c r="F681">
        <v>72</v>
      </c>
      <c r="G681" t="s">
        <v>20</v>
      </c>
      <c r="H681" t="str">
        <f>IF(Grammys[[#This Row],[date]] &gt;= DATE(2022, 2, 1), "Grammys", "Grammys + TRA")</f>
        <v>Grammys + TRA</v>
      </c>
      <c r="I681">
        <f>_xlfn.XLOOKUP(Grammys[[#This Row],[date]], mobile_visits[date], mobile_visits[mobile_visitors], 0)</f>
        <v>0</v>
      </c>
    </row>
    <row r="682" spans="1:9" x14ac:dyDescent="0.2">
      <c r="A682" s="1">
        <v>43416</v>
      </c>
      <c r="B682">
        <v>10946</v>
      </c>
      <c r="C682">
        <v>16954</v>
      </c>
      <c r="D682">
        <v>11292</v>
      </c>
      <c r="E682">
        <v>6760</v>
      </c>
      <c r="F682">
        <v>72</v>
      </c>
      <c r="G682" t="s">
        <v>20</v>
      </c>
      <c r="H682" t="str">
        <f>IF(Grammys[[#This Row],[date]] &gt;= DATE(2022, 2, 1), "Grammys", "Grammys + TRA")</f>
        <v>Grammys + TRA</v>
      </c>
      <c r="I682">
        <f>_xlfn.XLOOKUP(Grammys[[#This Row],[date]], mobile_visits[date], mobile_visits[mobile_visitors], 0)</f>
        <v>0</v>
      </c>
    </row>
    <row r="683" spans="1:9" x14ac:dyDescent="0.2">
      <c r="A683" s="1">
        <v>43417</v>
      </c>
      <c r="B683">
        <v>11421</v>
      </c>
      <c r="C683">
        <v>17693</v>
      </c>
      <c r="D683">
        <v>11809</v>
      </c>
      <c r="E683">
        <v>6993</v>
      </c>
      <c r="F683">
        <v>73</v>
      </c>
      <c r="G683" t="s">
        <v>20</v>
      </c>
      <c r="H683" t="str">
        <f>IF(Grammys[[#This Row],[date]] &gt;= DATE(2022, 2, 1), "Grammys", "Grammys + TRA")</f>
        <v>Grammys + TRA</v>
      </c>
      <c r="I683">
        <f>_xlfn.XLOOKUP(Grammys[[#This Row],[date]], mobile_visits[date], mobile_visits[mobile_visitors], 0)</f>
        <v>0</v>
      </c>
    </row>
    <row r="684" spans="1:9" x14ac:dyDescent="0.2">
      <c r="A684" s="1">
        <v>43418</v>
      </c>
      <c r="B684">
        <v>13338</v>
      </c>
      <c r="C684">
        <v>20119</v>
      </c>
      <c r="D684">
        <v>13845</v>
      </c>
      <c r="E684">
        <v>8021</v>
      </c>
      <c r="F684">
        <v>72</v>
      </c>
      <c r="G684" t="s">
        <v>20</v>
      </c>
      <c r="H684" t="str">
        <f>IF(Grammys[[#This Row],[date]] &gt;= DATE(2022, 2, 1), "Grammys", "Grammys + TRA")</f>
        <v>Grammys + TRA</v>
      </c>
      <c r="I684">
        <f>_xlfn.XLOOKUP(Grammys[[#This Row],[date]], mobile_visits[date], mobile_visits[mobile_visitors], 0)</f>
        <v>0</v>
      </c>
    </row>
    <row r="685" spans="1:9" x14ac:dyDescent="0.2">
      <c r="A685" s="1">
        <v>43419</v>
      </c>
      <c r="B685">
        <v>23750</v>
      </c>
      <c r="C685">
        <v>34995</v>
      </c>
      <c r="D685">
        <v>24659</v>
      </c>
      <c r="E685">
        <v>13094</v>
      </c>
      <c r="F685">
        <v>70</v>
      </c>
      <c r="G685" t="s">
        <v>20</v>
      </c>
      <c r="H685" t="str">
        <f>IF(Grammys[[#This Row],[date]] &gt;= DATE(2022, 2, 1), "Grammys", "Grammys + TRA")</f>
        <v>Grammys + TRA</v>
      </c>
      <c r="I685">
        <f>_xlfn.XLOOKUP(Grammys[[#This Row],[date]], mobile_visits[date], mobile_visits[mobile_visitors], 0)</f>
        <v>0</v>
      </c>
    </row>
    <row r="686" spans="1:9" x14ac:dyDescent="0.2">
      <c r="A686" s="1">
        <v>43420</v>
      </c>
      <c r="B686">
        <v>19538</v>
      </c>
      <c r="C686">
        <v>29465</v>
      </c>
      <c r="D686">
        <v>20116</v>
      </c>
      <c r="E686">
        <v>10815</v>
      </c>
      <c r="F686">
        <v>69</v>
      </c>
      <c r="G686" t="s">
        <v>20</v>
      </c>
      <c r="H686" t="str">
        <f>IF(Grammys[[#This Row],[date]] &gt;= DATE(2022, 2, 1), "Grammys", "Grammys + TRA")</f>
        <v>Grammys + TRA</v>
      </c>
      <c r="I686">
        <f>_xlfn.XLOOKUP(Grammys[[#This Row],[date]], mobile_visits[date], mobile_visits[mobile_visitors], 0)</f>
        <v>0</v>
      </c>
    </row>
    <row r="687" spans="1:9" x14ac:dyDescent="0.2">
      <c r="A687" s="1">
        <v>43421</v>
      </c>
      <c r="B687">
        <v>12206</v>
      </c>
      <c r="C687">
        <v>18615</v>
      </c>
      <c r="D687">
        <v>12648</v>
      </c>
      <c r="E687">
        <v>7416</v>
      </c>
      <c r="F687">
        <v>68</v>
      </c>
      <c r="G687" t="s">
        <v>20</v>
      </c>
      <c r="H687" t="str">
        <f>IF(Grammys[[#This Row],[date]] &gt;= DATE(2022, 2, 1), "Grammys", "Grammys + TRA")</f>
        <v>Grammys + TRA</v>
      </c>
      <c r="I687">
        <f>_xlfn.XLOOKUP(Grammys[[#This Row],[date]], mobile_visits[date], mobile_visits[mobile_visitors], 0)</f>
        <v>0</v>
      </c>
    </row>
    <row r="688" spans="1:9" x14ac:dyDescent="0.2">
      <c r="A688" s="1">
        <v>43422</v>
      </c>
      <c r="B688">
        <v>11053</v>
      </c>
      <c r="C688">
        <v>16901</v>
      </c>
      <c r="D688">
        <v>11547</v>
      </c>
      <c r="E688">
        <v>6794</v>
      </c>
      <c r="F688">
        <v>70</v>
      </c>
      <c r="G688" t="s">
        <v>20</v>
      </c>
      <c r="H688" t="str">
        <f>IF(Grammys[[#This Row],[date]] &gt;= DATE(2022, 2, 1), "Grammys", "Grammys + TRA")</f>
        <v>Grammys + TRA</v>
      </c>
      <c r="I688">
        <f>_xlfn.XLOOKUP(Grammys[[#This Row],[date]], mobile_visits[date], mobile_visits[mobile_visitors], 0)</f>
        <v>0</v>
      </c>
    </row>
    <row r="689" spans="1:9" x14ac:dyDescent="0.2">
      <c r="A689" s="1">
        <v>43423</v>
      </c>
      <c r="B689">
        <v>10408</v>
      </c>
      <c r="C689">
        <v>16562</v>
      </c>
      <c r="D689">
        <v>10820</v>
      </c>
      <c r="E689">
        <v>6560</v>
      </c>
      <c r="F689">
        <v>75</v>
      </c>
      <c r="G689" t="s">
        <v>20</v>
      </c>
      <c r="H689" t="str">
        <f>IF(Grammys[[#This Row],[date]] &gt;= DATE(2022, 2, 1), "Grammys", "Grammys + TRA")</f>
        <v>Grammys + TRA</v>
      </c>
      <c r="I689">
        <f>_xlfn.XLOOKUP(Grammys[[#This Row],[date]], mobile_visits[date], mobile_visits[mobile_visitors], 0)</f>
        <v>0</v>
      </c>
    </row>
    <row r="690" spans="1:9" x14ac:dyDescent="0.2">
      <c r="A690" s="1">
        <v>43424</v>
      </c>
      <c r="B690">
        <v>12144</v>
      </c>
      <c r="C690">
        <v>18093</v>
      </c>
      <c r="D690">
        <v>12486</v>
      </c>
      <c r="E690">
        <v>7302</v>
      </c>
      <c r="F690">
        <v>66</v>
      </c>
      <c r="G690" t="s">
        <v>20</v>
      </c>
      <c r="H690" t="str">
        <f>IF(Grammys[[#This Row],[date]] &gt;= DATE(2022, 2, 1), "Grammys", "Grammys + TRA")</f>
        <v>Grammys + TRA</v>
      </c>
      <c r="I690">
        <f>_xlfn.XLOOKUP(Grammys[[#This Row],[date]], mobile_visits[date], mobile_visits[mobile_visitors], 0)</f>
        <v>0</v>
      </c>
    </row>
    <row r="691" spans="1:9" x14ac:dyDescent="0.2">
      <c r="A691" s="1">
        <v>43425</v>
      </c>
      <c r="B691">
        <v>9468</v>
      </c>
      <c r="C691">
        <v>14668</v>
      </c>
      <c r="D691">
        <v>9828</v>
      </c>
      <c r="E691">
        <v>5818</v>
      </c>
      <c r="F691">
        <v>73</v>
      </c>
      <c r="G691" t="s">
        <v>20</v>
      </c>
      <c r="H691" t="str">
        <f>IF(Grammys[[#This Row],[date]] &gt;= DATE(2022, 2, 1), "Grammys", "Grammys + TRA")</f>
        <v>Grammys + TRA</v>
      </c>
      <c r="I691">
        <f>_xlfn.XLOOKUP(Grammys[[#This Row],[date]], mobile_visits[date], mobile_visits[mobile_visitors], 0)</f>
        <v>0</v>
      </c>
    </row>
    <row r="692" spans="1:9" x14ac:dyDescent="0.2">
      <c r="A692" s="1">
        <v>43426</v>
      </c>
      <c r="B692">
        <v>8124</v>
      </c>
      <c r="C692">
        <v>12263</v>
      </c>
      <c r="D692">
        <v>8309</v>
      </c>
      <c r="E692">
        <v>5063</v>
      </c>
      <c r="F692">
        <v>70</v>
      </c>
      <c r="G692" t="s">
        <v>20</v>
      </c>
      <c r="H692" t="str">
        <f>IF(Grammys[[#This Row],[date]] &gt;= DATE(2022, 2, 1), "Grammys", "Grammys + TRA")</f>
        <v>Grammys + TRA</v>
      </c>
      <c r="I692">
        <f>_xlfn.XLOOKUP(Grammys[[#This Row],[date]], mobile_visits[date], mobile_visits[mobile_visitors], 0)</f>
        <v>0</v>
      </c>
    </row>
    <row r="693" spans="1:9" x14ac:dyDescent="0.2">
      <c r="A693" s="1">
        <v>43427</v>
      </c>
      <c r="B693">
        <v>7855</v>
      </c>
      <c r="C693">
        <v>12233</v>
      </c>
      <c r="D693">
        <v>8093</v>
      </c>
      <c r="E693">
        <v>4772</v>
      </c>
      <c r="F693">
        <v>74</v>
      </c>
      <c r="G693" t="s">
        <v>20</v>
      </c>
      <c r="H693" t="str">
        <f>IF(Grammys[[#This Row],[date]] &gt;= DATE(2022, 2, 1), "Grammys", "Grammys + TRA")</f>
        <v>Grammys + TRA</v>
      </c>
      <c r="I693">
        <f>_xlfn.XLOOKUP(Grammys[[#This Row],[date]], mobile_visits[date], mobile_visits[mobile_visitors], 0)</f>
        <v>0</v>
      </c>
    </row>
    <row r="694" spans="1:9" x14ac:dyDescent="0.2">
      <c r="A694" s="1">
        <v>43428</v>
      </c>
      <c r="B694">
        <v>8017</v>
      </c>
      <c r="C694">
        <v>12899</v>
      </c>
      <c r="D694">
        <v>8262</v>
      </c>
      <c r="E694">
        <v>4725</v>
      </c>
      <c r="F694">
        <v>79</v>
      </c>
      <c r="G694" t="s">
        <v>20</v>
      </c>
      <c r="H694" t="str">
        <f>IF(Grammys[[#This Row],[date]] &gt;= DATE(2022, 2, 1), "Grammys", "Grammys + TRA")</f>
        <v>Grammys + TRA</v>
      </c>
      <c r="I694">
        <f>_xlfn.XLOOKUP(Grammys[[#This Row],[date]], mobile_visits[date], mobile_visits[mobile_visitors], 0)</f>
        <v>0</v>
      </c>
    </row>
    <row r="695" spans="1:9" x14ac:dyDescent="0.2">
      <c r="A695" s="1">
        <v>43429</v>
      </c>
      <c r="B695">
        <v>9007</v>
      </c>
      <c r="C695">
        <v>14057</v>
      </c>
      <c r="D695">
        <v>9384</v>
      </c>
      <c r="E695">
        <v>5397</v>
      </c>
      <c r="F695">
        <v>79</v>
      </c>
      <c r="G695" t="s">
        <v>20</v>
      </c>
      <c r="H695" t="str">
        <f>IF(Grammys[[#This Row],[date]] &gt;= DATE(2022, 2, 1), "Grammys", "Grammys + TRA")</f>
        <v>Grammys + TRA</v>
      </c>
      <c r="I695">
        <f>_xlfn.XLOOKUP(Grammys[[#This Row],[date]], mobile_visits[date], mobile_visits[mobile_visitors], 0)</f>
        <v>0</v>
      </c>
    </row>
    <row r="696" spans="1:9" x14ac:dyDescent="0.2">
      <c r="A696" s="1">
        <v>43430</v>
      </c>
      <c r="B696">
        <v>11403</v>
      </c>
      <c r="C696">
        <v>17785</v>
      </c>
      <c r="D696">
        <v>11801</v>
      </c>
      <c r="E696">
        <v>6688</v>
      </c>
      <c r="F696">
        <v>82</v>
      </c>
      <c r="G696" t="s">
        <v>20</v>
      </c>
      <c r="H696" t="str">
        <f>IF(Grammys[[#This Row],[date]] &gt;= DATE(2022, 2, 1), "Grammys", "Grammys + TRA")</f>
        <v>Grammys + TRA</v>
      </c>
      <c r="I696">
        <f>_xlfn.XLOOKUP(Grammys[[#This Row],[date]], mobile_visits[date], mobile_visits[mobile_visitors], 0)</f>
        <v>0</v>
      </c>
    </row>
    <row r="697" spans="1:9" x14ac:dyDescent="0.2">
      <c r="A697" s="1">
        <v>43431</v>
      </c>
      <c r="B697">
        <v>10513</v>
      </c>
      <c r="C697">
        <v>17045</v>
      </c>
      <c r="D697">
        <v>11050</v>
      </c>
      <c r="E697">
        <v>6312</v>
      </c>
      <c r="F697">
        <v>84</v>
      </c>
      <c r="G697" t="s">
        <v>20</v>
      </c>
      <c r="H697" t="str">
        <f>IF(Grammys[[#This Row],[date]] &gt;= DATE(2022, 2, 1), "Grammys", "Grammys + TRA")</f>
        <v>Grammys + TRA</v>
      </c>
      <c r="I697">
        <f>_xlfn.XLOOKUP(Grammys[[#This Row],[date]], mobile_visits[date], mobile_visits[mobile_visitors], 0)</f>
        <v>0</v>
      </c>
    </row>
    <row r="698" spans="1:9" x14ac:dyDescent="0.2">
      <c r="A698" s="1">
        <v>43432</v>
      </c>
      <c r="B698">
        <v>11261</v>
      </c>
      <c r="C698">
        <v>18229</v>
      </c>
      <c r="D698">
        <v>11658</v>
      </c>
      <c r="E698">
        <v>6705</v>
      </c>
      <c r="F698">
        <v>85</v>
      </c>
      <c r="G698" t="s">
        <v>20</v>
      </c>
      <c r="H698" t="str">
        <f>IF(Grammys[[#This Row],[date]] &gt;= DATE(2022, 2, 1), "Grammys", "Grammys + TRA")</f>
        <v>Grammys + TRA</v>
      </c>
      <c r="I698">
        <f>_xlfn.XLOOKUP(Grammys[[#This Row],[date]], mobile_visits[date], mobile_visits[mobile_visitors], 0)</f>
        <v>0</v>
      </c>
    </row>
    <row r="699" spans="1:9" x14ac:dyDescent="0.2">
      <c r="A699" s="1">
        <v>43433</v>
      </c>
      <c r="B699">
        <v>14385</v>
      </c>
      <c r="C699">
        <v>22312</v>
      </c>
      <c r="D699">
        <v>15066</v>
      </c>
      <c r="E699">
        <v>8439</v>
      </c>
      <c r="F699">
        <v>72</v>
      </c>
      <c r="G699" t="s">
        <v>20</v>
      </c>
      <c r="H699" t="str">
        <f>IF(Grammys[[#This Row],[date]] &gt;= DATE(2022, 2, 1), "Grammys", "Grammys + TRA")</f>
        <v>Grammys + TRA</v>
      </c>
      <c r="I699">
        <f>_xlfn.XLOOKUP(Grammys[[#This Row],[date]], mobile_visits[date], mobile_visits[mobile_visitors], 0)</f>
        <v>0</v>
      </c>
    </row>
    <row r="700" spans="1:9" x14ac:dyDescent="0.2">
      <c r="A700" s="1">
        <v>43434</v>
      </c>
      <c r="B700">
        <v>17001</v>
      </c>
      <c r="C700">
        <v>24996</v>
      </c>
      <c r="D700">
        <v>17661</v>
      </c>
      <c r="E700">
        <v>9601</v>
      </c>
      <c r="F700">
        <v>68</v>
      </c>
      <c r="G700" t="s">
        <v>20</v>
      </c>
      <c r="H700" t="str">
        <f>IF(Grammys[[#This Row],[date]] &gt;= DATE(2022, 2, 1), "Grammys", "Grammys + TRA")</f>
        <v>Grammys + TRA</v>
      </c>
      <c r="I700">
        <f>_xlfn.XLOOKUP(Grammys[[#This Row],[date]], mobile_visits[date], mobile_visits[mobile_visitors], 0)</f>
        <v>0</v>
      </c>
    </row>
    <row r="701" spans="1:9" x14ac:dyDescent="0.2">
      <c r="A701" s="1">
        <v>43435</v>
      </c>
      <c r="B701">
        <v>12955</v>
      </c>
      <c r="C701">
        <v>19490</v>
      </c>
      <c r="D701">
        <v>13588</v>
      </c>
      <c r="E701">
        <v>8368</v>
      </c>
      <c r="F701">
        <v>65</v>
      </c>
      <c r="G701" t="s">
        <v>20</v>
      </c>
      <c r="H701" t="str">
        <f>IF(Grammys[[#This Row],[date]] &gt;= DATE(2022, 2, 1), "Grammys", "Grammys + TRA")</f>
        <v>Grammys + TRA</v>
      </c>
      <c r="I701">
        <f>_xlfn.XLOOKUP(Grammys[[#This Row],[date]], mobile_visits[date], mobile_visits[mobile_visitors], 0)</f>
        <v>0</v>
      </c>
    </row>
    <row r="702" spans="1:9" x14ac:dyDescent="0.2">
      <c r="A702" s="1">
        <v>43436</v>
      </c>
      <c r="B702">
        <v>16595</v>
      </c>
      <c r="C702">
        <v>24702</v>
      </c>
      <c r="D702">
        <v>17368</v>
      </c>
      <c r="E702">
        <v>10140</v>
      </c>
      <c r="F702">
        <v>67</v>
      </c>
      <c r="G702" t="s">
        <v>20</v>
      </c>
      <c r="H702" t="str">
        <f>IF(Grammys[[#This Row],[date]] &gt;= DATE(2022, 2, 1), "Grammys", "Grammys + TRA")</f>
        <v>Grammys + TRA</v>
      </c>
      <c r="I702">
        <f>_xlfn.XLOOKUP(Grammys[[#This Row],[date]], mobile_visits[date], mobile_visits[mobile_visitors], 0)</f>
        <v>0</v>
      </c>
    </row>
    <row r="703" spans="1:9" x14ac:dyDescent="0.2">
      <c r="A703" s="1">
        <v>43437</v>
      </c>
      <c r="B703">
        <v>16837</v>
      </c>
      <c r="C703">
        <v>27294</v>
      </c>
      <c r="D703">
        <v>17774</v>
      </c>
      <c r="E703">
        <v>10473</v>
      </c>
      <c r="F703">
        <v>80</v>
      </c>
      <c r="G703" t="s">
        <v>20</v>
      </c>
      <c r="H703" t="str">
        <f>IF(Grammys[[#This Row],[date]] &gt;= DATE(2022, 2, 1), "Grammys", "Grammys + TRA")</f>
        <v>Grammys + TRA</v>
      </c>
      <c r="I703">
        <f>_xlfn.XLOOKUP(Grammys[[#This Row],[date]], mobile_visits[date], mobile_visits[mobile_visitors], 0)</f>
        <v>0</v>
      </c>
    </row>
    <row r="704" spans="1:9" x14ac:dyDescent="0.2">
      <c r="A704" s="1">
        <v>43438</v>
      </c>
      <c r="B704">
        <v>16334</v>
      </c>
      <c r="C704">
        <v>27024</v>
      </c>
      <c r="D704">
        <v>17194</v>
      </c>
      <c r="E704">
        <v>10394</v>
      </c>
      <c r="F704">
        <v>76</v>
      </c>
      <c r="G704" t="s">
        <v>20</v>
      </c>
      <c r="H704" t="str">
        <f>IF(Grammys[[#This Row],[date]] &gt;= DATE(2022, 2, 1), "Grammys", "Grammys + TRA")</f>
        <v>Grammys + TRA</v>
      </c>
      <c r="I704">
        <f>_xlfn.XLOOKUP(Grammys[[#This Row],[date]], mobile_visits[date], mobile_visits[mobile_visitors], 0)</f>
        <v>0</v>
      </c>
    </row>
    <row r="705" spans="1:9" x14ac:dyDescent="0.2">
      <c r="A705" s="1">
        <v>43439</v>
      </c>
      <c r="B705">
        <v>19303</v>
      </c>
      <c r="C705">
        <v>33537</v>
      </c>
      <c r="D705">
        <v>20831</v>
      </c>
      <c r="E705">
        <v>12474</v>
      </c>
      <c r="F705">
        <v>76</v>
      </c>
      <c r="G705" t="s">
        <v>20</v>
      </c>
      <c r="H705" t="str">
        <f>IF(Grammys[[#This Row],[date]] &gt;= DATE(2022, 2, 1), "Grammys", "Grammys + TRA")</f>
        <v>Grammys + TRA</v>
      </c>
      <c r="I705">
        <f>_xlfn.XLOOKUP(Grammys[[#This Row],[date]], mobile_visits[date], mobile_visits[mobile_visitors], 0)</f>
        <v>0</v>
      </c>
    </row>
    <row r="706" spans="1:9" x14ac:dyDescent="0.2">
      <c r="A706" s="1">
        <v>43440</v>
      </c>
      <c r="B706">
        <v>35466</v>
      </c>
      <c r="C706">
        <v>62256</v>
      </c>
      <c r="D706">
        <v>38093</v>
      </c>
      <c r="E706">
        <v>20544</v>
      </c>
      <c r="F706">
        <v>70</v>
      </c>
      <c r="G706" t="s">
        <v>20</v>
      </c>
      <c r="H706" t="str">
        <f>IF(Grammys[[#This Row],[date]] &gt;= DATE(2022, 2, 1), "Grammys", "Grammys + TRA")</f>
        <v>Grammys + TRA</v>
      </c>
      <c r="I706">
        <f>_xlfn.XLOOKUP(Grammys[[#This Row],[date]], mobile_visits[date], mobile_visits[mobile_visitors], 0)</f>
        <v>0</v>
      </c>
    </row>
    <row r="707" spans="1:9" x14ac:dyDescent="0.2">
      <c r="A707" s="1">
        <v>43441</v>
      </c>
      <c r="B707">
        <v>818792</v>
      </c>
      <c r="C707">
        <v>1572079</v>
      </c>
      <c r="D707">
        <v>940177</v>
      </c>
      <c r="E707">
        <v>363567</v>
      </c>
      <c r="F707">
        <v>113</v>
      </c>
      <c r="G707" t="s">
        <v>21</v>
      </c>
      <c r="H707" t="str">
        <f>IF(Grammys[[#This Row],[date]] &gt;= DATE(2022, 2, 1), "Grammys", "Grammys + TRA")</f>
        <v>Grammys + TRA</v>
      </c>
      <c r="I707">
        <f>_xlfn.XLOOKUP(Grammys[[#This Row],[date]], mobile_visits[date], mobile_visits[mobile_visitors], 0)</f>
        <v>0</v>
      </c>
    </row>
    <row r="708" spans="1:9" x14ac:dyDescent="0.2">
      <c r="A708" s="1">
        <v>43442</v>
      </c>
      <c r="B708">
        <v>236576</v>
      </c>
      <c r="C708">
        <v>440312</v>
      </c>
      <c r="D708">
        <v>262488</v>
      </c>
      <c r="E708">
        <v>140825</v>
      </c>
      <c r="F708">
        <v>87</v>
      </c>
      <c r="G708" t="s">
        <v>20</v>
      </c>
      <c r="H708" t="str">
        <f>IF(Grammys[[#This Row],[date]] &gt;= DATE(2022, 2, 1), "Grammys", "Grammys + TRA")</f>
        <v>Grammys + TRA</v>
      </c>
      <c r="I708">
        <f>_xlfn.XLOOKUP(Grammys[[#This Row],[date]], mobile_visits[date], mobile_visits[mobile_visitors], 0)</f>
        <v>0</v>
      </c>
    </row>
    <row r="709" spans="1:9" x14ac:dyDescent="0.2">
      <c r="A709" s="1">
        <v>43443</v>
      </c>
      <c r="B709">
        <v>112219</v>
      </c>
      <c r="C709">
        <v>214665</v>
      </c>
      <c r="D709">
        <v>123438</v>
      </c>
      <c r="E709">
        <v>65423</v>
      </c>
      <c r="F709">
        <v>91</v>
      </c>
      <c r="G709" t="s">
        <v>20</v>
      </c>
      <c r="H709" t="str">
        <f>IF(Grammys[[#This Row],[date]] &gt;= DATE(2022, 2, 1), "Grammys", "Grammys + TRA")</f>
        <v>Grammys + TRA</v>
      </c>
      <c r="I709">
        <f>_xlfn.XLOOKUP(Grammys[[#This Row],[date]], mobile_visits[date], mobile_visits[mobile_visitors], 0)</f>
        <v>0</v>
      </c>
    </row>
    <row r="710" spans="1:9" x14ac:dyDescent="0.2">
      <c r="A710" s="1">
        <v>43444</v>
      </c>
      <c r="B710">
        <v>91037</v>
      </c>
      <c r="C710">
        <v>166528</v>
      </c>
      <c r="D710">
        <v>99749</v>
      </c>
      <c r="E710">
        <v>52887</v>
      </c>
      <c r="F710">
        <v>96</v>
      </c>
      <c r="G710" t="s">
        <v>20</v>
      </c>
      <c r="H710" t="str">
        <f>IF(Grammys[[#This Row],[date]] &gt;= DATE(2022, 2, 1), "Grammys", "Grammys + TRA")</f>
        <v>Grammys + TRA</v>
      </c>
      <c r="I710">
        <f>_xlfn.XLOOKUP(Grammys[[#This Row],[date]], mobile_visits[date], mobile_visits[mobile_visitors], 0)</f>
        <v>0</v>
      </c>
    </row>
    <row r="711" spans="1:9" x14ac:dyDescent="0.2">
      <c r="A711" s="1">
        <v>43445</v>
      </c>
      <c r="B711">
        <v>66312</v>
      </c>
      <c r="C711">
        <v>117292</v>
      </c>
      <c r="D711">
        <v>71977</v>
      </c>
      <c r="E711">
        <v>38213</v>
      </c>
      <c r="F711">
        <v>100</v>
      </c>
      <c r="G711" t="s">
        <v>20</v>
      </c>
      <c r="H711" t="str">
        <f>IF(Grammys[[#This Row],[date]] &gt;= DATE(2022, 2, 1), "Grammys", "Grammys + TRA")</f>
        <v>Grammys + TRA</v>
      </c>
      <c r="I711">
        <f>_xlfn.XLOOKUP(Grammys[[#This Row],[date]], mobile_visits[date], mobile_visits[mobile_visitors], 0)</f>
        <v>0</v>
      </c>
    </row>
    <row r="712" spans="1:9" x14ac:dyDescent="0.2">
      <c r="A712" s="1">
        <v>43446</v>
      </c>
      <c r="B712">
        <v>53198</v>
      </c>
      <c r="C712">
        <v>95091</v>
      </c>
      <c r="D712">
        <v>58518</v>
      </c>
      <c r="E712">
        <v>27399</v>
      </c>
      <c r="F712">
        <v>109</v>
      </c>
      <c r="G712" t="s">
        <v>20</v>
      </c>
      <c r="H712" t="str">
        <f>IF(Grammys[[#This Row],[date]] &gt;= DATE(2022, 2, 1), "Grammys", "Grammys + TRA")</f>
        <v>Grammys + TRA</v>
      </c>
      <c r="I712">
        <f>_xlfn.XLOOKUP(Grammys[[#This Row],[date]], mobile_visits[date], mobile_visits[mobile_visitors], 0)</f>
        <v>0</v>
      </c>
    </row>
    <row r="713" spans="1:9" x14ac:dyDescent="0.2">
      <c r="A713" s="1">
        <v>43447</v>
      </c>
      <c r="B713">
        <v>44162</v>
      </c>
      <c r="C713">
        <v>80658</v>
      </c>
      <c r="D713">
        <v>48118</v>
      </c>
      <c r="E713">
        <v>19065</v>
      </c>
      <c r="F713">
        <v>123</v>
      </c>
      <c r="G713" t="s">
        <v>20</v>
      </c>
      <c r="H713" t="str">
        <f>IF(Grammys[[#This Row],[date]] &gt;= DATE(2022, 2, 1), "Grammys", "Grammys + TRA")</f>
        <v>Grammys + TRA</v>
      </c>
      <c r="I713">
        <f>_xlfn.XLOOKUP(Grammys[[#This Row],[date]], mobile_visits[date], mobile_visits[mobile_visitors], 0)</f>
        <v>0</v>
      </c>
    </row>
    <row r="714" spans="1:9" x14ac:dyDescent="0.2">
      <c r="A714" s="1">
        <v>43448</v>
      </c>
      <c r="B714">
        <v>34731</v>
      </c>
      <c r="C714">
        <v>62964</v>
      </c>
      <c r="D714">
        <v>37956</v>
      </c>
      <c r="E714">
        <v>15718</v>
      </c>
      <c r="F714">
        <v>116</v>
      </c>
      <c r="G714" t="s">
        <v>20</v>
      </c>
      <c r="H714" t="str">
        <f>IF(Grammys[[#This Row],[date]] &gt;= DATE(2022, 2, 1), "Grammys", "Grammys + TRA")</f>
        <v>Grammys + TRA</v>
      </c>
      <c r="I714">
        <f>_xlfn.XLOOKUP(Grammys[[#This Row],[date]], mobile_visits[date], mobile_visits[mobile_visitors], 0)</f>
        <v>0</v>
      </c>
    </row>
    <row r="715" spans="1:9" x14ac:dyDescent="0.2">
      <c r="A715" s="1">
        <v>43449</v>
      </c>
      <c r="B715">
        <v>28664</v>
      </c>
      <c r="C715">
        <v>50486</v>
      </c>
      <c r="D715">
        <v>31083</v>
      </c>
      <c r="E715">
        <v>12987</v>
      </c>
      <c r="F715">
        <v>115</v>
      </c>
      <c r="G715" t="s">
        <v>20</v>
      </c>
      <c r="H715" t="str">
        <f>IF(Grammys[[#This Row],[date]] &gt;= DATE(2022, 2, 1), "Grammys", "Grammys + TRA")</f>
        <v>Grammys + TRA</v>
      </c>
      <c r="I715">
        <f>_xlfn.XLOOKUP(Grammys[[#This Row],[date]], mobile_visits[date], mobile_visits[mobile_visitors], 0)</f>
        <v>0</v>
      </c>
    </row>
    <row r="716" spans="1:9" x14ac:dyDescent="0.2">
      <c r="A716" s="1">
        <v>43450</v>
      </c>
      <c r="B716">
        <v>28095</v>
      </c>
      <c r="C716">
        <v>49743</v>
      </c>
      <c r="D716">
        <v>30334</v>
      </c>
      <c r="E716">
        <v>12695</v>
      </c>
      <c r="F716">
        <v>114</v>
      </c>
      <c r="G716" t="s">
        <v>20</v>
      </c>
      <c r="H716" t="str">
        <f>IF(Grammys[[#This Row],[date]] &gt;= DATE(2022, 2, 1), "Grammys", "Grammys + TRA")</f>
        <v>Grammys + TRA</v>
      </c>
      <c r="I716">
        <f>_xlfn.XLOOKUP(Grammys[[#This Row],[date]], mobile_visits[date], mobile_visits[mobile_visitors], 0)</f>
        <v>0</v>
      </c>
    </row>
    <row r="717" spans="1:9" x14ac:dyDescent="0.2">
      <c r="A717" s="1">
        <v>43451</v>
      </c>
      <c r="B717">
        <v>27811</v>
      </c>
      <c r="C717">
        <v>49407</v>
      </c>
      <c r="D717">
        <v>29959</v>
      </c>
      <c r="E717">
        <v>12511</v>
      </c>
      <c r="F717">
        <v>116</v>
      </c>
      <c r="G717" t="s">
        <v>20</v>
      </c>
      <c r="H717" t="str">
        <f>IF(Grammys[[#This Row],[date]] &gt;= DATE(2022, 2, 1), "Grammys", "Grammys + TRA")</f>
        <v>Grammys + TRA</v>
      </c>
      <c r="I717">
        <f>_xlfn.XLOOKUP(Grammys[[#This Row],[date]], mobile_visits[date], mobile_visits[mobile_visitors], 0)</f>
        <v>0</v>
      </c>
    </row>
    <row r="718" spans="1:9" x14ac:dyDescent="0.2">
      <c r="A718" s="1">
        <v>43452</v>
      </c>
      <c r="B718">
        <v>29905</v>
      </c>
      <c r="C718">
        <v>50588</v>
      </c>
      <c r="D718">
        <v>31823</v>
      </c>
      <c r="E718">
        <v>12494</v>
      </c>
      <c r="F718">
        <v>123</v>
      </c>
      <c r="G718" t="s">
        <v>20</v>
      </c>
      <c r="H718" t="str">
        <f>IF(Grammys[[#This Row],[date]] &gt;= DATE(2022, 2, 1), "Grammys", "Grammys + TRA")</f>
        <v>Grammys + TRA</v>
      </c>
      <c r="I718">
        <f>_xlfn.XLOOKUP(Grammys[[#This Row],[date]], mobile_visits[date], mobile_visits[mobile_visitors], 0)</f>
        <v>0</v>
      </c>
    </row>
    <row r="719" spans="1:9" x14ac:dyDescent="0.2">
      <c r="A719" s="1">
        <v>43453</v>
      </c>
      <c r="B719">
        <v>32623</v>
      </c>
      <c r="C719">
        <v>55388</v>
      </c>
      <c r="D719">
        <v>34998</v>
      </c>
      <c r="E719">
        <v>12803</v>
      </c>
      <c r="F719">
        <v>127</v>
      </c>
      <c r="G719" t="s">
        <v>20</v>
      </c>
      <c r="H719" t="str">
        <f>IF(Grammys[[#This Row],[date]] &gt;= DATE(2022, 2, 1), "Grammys", "Grammys + TRA")</f>
        <v>Grammys + TRA</v>
      </c>
      <c r="I719">
        <f>_xlfn.XLOOKUP(Grammys[[#This Row],[date]], mobile_visits[date], mobile_visits[mobile_visitors], 0)</f>
        <v>0</v>
      </c>
    </row>
    <row r="720" spans="1:9" x14ac:dyDescent="0.2">
      <c r="A720" s="1">
        <v>43454</v>
      </c>
      <c r="B720">
        <v>25702</v>
      </c>
      <c r="C720">
        <v>44186</v>
      </c>
      <c r="D720">
        <v>27304</v>
      </c>
      <c r="E720">
        <v>10827</v>
      </c>
      <c r="F720">
        <v>107</v>
      </c>
      <c r="G720" t="s">
        <v>20</v>
      </c>
      <c r="H720" t="str">
        <f>IF(Grammys[[#This Row],[date]] &gt;= DATE(2022, 2, 1), "Grammys", "Grammys + TRA")</f>
        <v>Grammys + TRA</v>
      </c>
      <c r="I720">
        <f>_xlfn.XLOOKUP(Grammys[[#This Row],[date]], mobile_visits[date], mobile_visits[mobile_visitors], 0)</f>
        <v>0</v>
      </c>
    </row>
    <row r="721" spans="1:9" x14ac:dyDescent="0.2">
      <c r="A721" s="1">
        <v>43455</v>
      </c>
      <c r="B721">
        <v>25186</v>
      </c>
      <c r="C721">
        <v>44597</v>
      </c>
      <c r="D721">
        <v>26204</v>
      </c>
      <c r="E721">
        <v>10807</v>
      </c>
      <c r="F721">
        <v>103</v>
      </c>
      <c r="G721" t="s">
        <v>20</v>
      </c>
      <c r="H721" t="str">
        <f>IF(Grammys[[#This Row],[date]] &gt;= DATE(2022, 2, 1), "Grammys", "Grammys + TRA")</f>
        <v>Grammys + TRA</v>
      </c>
      <c r="I721">
        <f>_xlfn.XLOOKUP(Grammys[[#This Row],[date]], mobile_visits[date], mobile_visits[mobile_visitors], 0)</f>
        <v>0</v>
      </c>
    </row>
    <row r="722" spans="1:9" x14ac:dyDescent="0.2">
      <c r="A722" s="1">
        <v>43456</v>
      </c>
      <c r="B722">
        <v>21301</v>
      </c>
      <c r="C722">
        <v>38493</v>
      </c>
      <c r="D722">
        <v>22834</v>
      </c>
      <c r="E722">
        <v>9751</v>
      </c>
      <c r="F722">
        <v>105</v>
      </c>
      <c r="G722" t="s">
        <v>20</v>
      </c>
      <c r="H722" t="str">
        <f>IF(Grammys[[#This Row],[date]] &gt;= DATE(2022, 2, 1), "Grammys", "Grammys + TRA")</f>
        <v>Grammys + TRA</v>
      </c>
      <c r="I722">
        <f>_xlfn.XLOOKUP(Grammys[[#This Row],[date]], mobile_visits[date], mobile_visits[mobile_visitors], 0)</f>
        <v>0</v>
      </c>
    </row>
    <row r="723" spans="1:9" x14ac:dyDescent="0.2">
      <c r="A723" s="1">
        <v>43457</v>
      </c>
      <c r="B723">
        <v>22409</v>
      </c>
      <c r="C723">
        <v>39980</v>
      </c>
      <c r="D723">
        <v>24140</v>
      </c>
      <c r="E723">
        <v>10726</v>
      </c>
      <c r="F723">
        <v>98</v>
      </c>
      <c r="G723" t="s">
        <v>20</v>
      </c>
      <c r="H723" t="str">
        <f>IF(Grammys[[#This Row],[date]] &gt;= DATE(2022, 2, 1), "Grammys", "Grammys + TRA")</f>
        <v>Grammys + TRA</v>
      </c>
      <c r="I723">
        <f>_xlfn.XLOOKUP(Grammys[[#This Row],[date]], mobile_visits[date], mobile_visits[mobile_visitors], 0)</f>
        <v>0</v>
      </c>
    </row>
    <row r="724" spans="1:9" x14ac:dyDescent="0.2">
      <c r="A724" s="1">
        <v>43458</v>
      </c>
      <c r="B724">
        <v>18133</v>
      </c>
      <c r="C724">
        <v>31711</v>
      </c>
      <c r="D724">
        <v>19176</v>
      </c>
      <c r="E724">
        <v>8492</v>
      </c>
      <c r="F724">
        <v>99</v>
      </c>
      <c r="G724" t="s">
        <v>20</v>
      </c>
      <c r="H724" t="str">
        <f>IF(Grammys[[#This Row],[date]] &gt;= DATE(2022, 2, 1), "Grammys", "Grammys + TRA")</f>
        <v>Grammys + TRA</v>
      </c>
      <c r="I724">
        <f>_xlfn.XLOOKUP(Grammys[[#This Row],[date]], mobile_visits[date], mobile_visits[mobile_visitors], 0)</f>
        <v>0</v>
      </c>
    </row>
    <row r="725" spans="1:9" x14ac:dyDescent="0.2">
      <c r="A725" s="1">
        <v>43459</v>
      </c>
      <c r="B725">
        <v>17230</v>
      </c>
      <c r="C725">
        <v>30036</v>
      </c>
      <c r="D725">
        <v>18289</v>
      </c>
      <c r="E725">
        <v>7795</v>
      </c>
      <c r="F725">
        <v>107</v>
      </c>
      <c r="G725" t="s">
        <v>20</v>
      </c>
      <c r="H725" t="str">
        <f>IF(Grammys[[#This Row],[date]] &gt;= DATE(2022, 2, 1), "Grammys", "Grammys + TRA")</f>
        <v>Grammys + TRA</v>
      </c>
      <c r="I725">
        <f>_xlfn.XLOOKUP(Grammys[[#This Row],[date]], mobile_visits[date], mobile_visits[mobile_visitors], 0)</f>
        <v>0</v>
      </c>
    </row>
    <row r="726" spans="1:9" x14ac:dyDescent="0.2">
      <c r="A726" s="1">
        <v>43460</v>
      </c>
      <c r="B726">
        <v>24720</v>
      </c>
      <c r="C726">
        <v>40634</v>
      </c>
      <c r="D726">
        <v>26178</v>
      </c>
      <c r="E726">
        <v>9652</v>
      </c>
      <c r="F726">
        <v>109</v>
      </c>
      <c r="G726" t="s">
        <v>20</v>
      </c>
      <c r="H726" t="str">
        <f>IF(Grammys[[#This Row],[date]] &gt;= DATE(2022, 2, 1), "Grammys", "Grammys + TRA")</f>
        <v>Grammys + TRA</v>
      </c>
      <c r="I726">
        <f>_xlfn.XLOOKUP(Grammys[[#This Row],[date]], mobile_visits[date], mobile_visits[mobile_visitors], 0)</f>
        <v>0</v>
      </c>
    </row>
    <row r="727" spans="1:9" x14ac:dyDescent="0.2">
      <c r="A727" s="1">
        <v>43461</v>
      </c>
      <c r="B727">
        <v>26447</v>
      </c>
      <c r="C727">
        <v>44501</v>
      </c>
      <c r="D727">
        <v>28228</v>
      </c>
      <c r="E727">
        <v>10611</v>
      </c>
      <c r="F727">
        <v>104</v>
      </c>
      <c r="G727" t="s">
        <v>20</v>
      </c>
      <c r="H727" t="str">
        <f>IF(Grammys[[#This Row],[date]] &gt;= DATE(2022, 2, 1), "Grammys", "Grammys + TRA")</f>
        <v>Grammys + TRA</v>
      </c>
      <c r="I727">
        <f>_xlfn.XLOOKUP(Grammys[[#This Row],[date]], mobile_visits[date], mobile_visits[mobile_visitors], 0)</f>
        <v>0</v>
      </c>
    </row>
    <row r="728" spans="1:9" x14ac:dyDescent="0.2">
      <c r="A728" s="1">
        <v>43462</v>
      </c>
      <c r="B728">
        <v>21935</v>
      </c>
      <c r="C728">
        <v>39348</v>
      </c>
      <c r="D728">
        <v>23355</v>
      </c>
      <c r="E728">
        <v>9410</v>
      </c>
      <c r="F728">
        <v>111</v>
      </c>
      <c r="G728" t="s">
        <v>20</v>
      </c>
      <c r="H728" t="str">
        <f>IF(Grammys[[#This Row],[date]] &gt;= DATE(2022, 2, 1), "Grammys", "Grammys + TRA")</f>
        <v>Grammys + TRA</v>
      </c>
      <c r="I728">
        <f>_xlfn.XLOOKUP(Grammys[[#This Row],[date]], mobile_visits[date], mobile_visits[mobile_visitors], 0)</f>
        <v>0</v>
      </c>
    </row>
    <row r="729" spans="1:9" x14ac:dyDescent="0.2">
      <c r="A729" s="1">
        <v>43463</v>
      </c>
      <c r="B729">
        <v>22570</v>
      </c>
      <c r="C729">
        <v>40028</v>
      </c>
      <c r="D729">
        <v>24247</v>
      </c>
      <c r="E729">
        <v>9277</v>
      </c>
      <c r="F729">
        <v>110</v>
      </c>
      <c r="G729" t="s">
        <v>20</v>
      </c>
      <c r="H729" t="str">
        <f>IF(Grammys[[#This Row],[date]] &gt;= DATE(2022, 2, 1), "Grammys", "Grammys + TRA")</f>
        <v>Grammys + TRA</v>
      </c>
      <c r="I729">
        <f>_xlfn.XLOOKUP(Grammys[[#This Row],[date]], mobile_visits[date], mobile_visits[mobile_visitors], 0)</f>
        <v>0</v>
      </c>
    </row>
    <row r="730" spans="1:9" x14ac:dyDescent="0.2">
      <c r="A730" s="1">
        <v>43464</v>
      </c>
      <c r="B730">
        <v>22830</v>
      </c>
      <c r="C730">
        <v>40143</v>
      </c>
      <c r="D730">
        <v>24225</v>
      </c>
      <c r="E730">
        <v>9741</v>
      </c>
      <c r="F730">
        <v>107</v>
      </c>
      <c r="G730" t="s">
        <v>20</v>
      </c>
      <c r="H730" t="str">
        <f>IF(Grammys[[#This Row],[date]] &gt;= DATE(2022, 2, 1), "Grammys", "Grammys + TRA")</f>
        <v>Grammys + TRA</v>
      </c>
      <c r="I730">
        <f>_xlfn.XLOOKUP(Grammys[[#This Row],[date]], mobile_visits[date], mobile_visits[mobile_visitors], 0)</f>
        <v>0</v>
      </c>
    </row>
    <row r="731" spans="1:9" x14ac:dyDescent="0.2">
      <c r="A731" s="1">
        <v>43465</v>
      </c>
      <c r="B731">
        <v>31358</v>
      </c>
      <c r="C731">
        <v>49465</v>
      </c>
      <c r="D731">
        <v>33002</v>
      </c>
      <c r="E731">
        <v>11766</v>
      </c>
      <c r="F731">
        <v>87</v>
      </c>
      <c r="G731" t="s">
        <v>20</v>
      </c>
      <c r="H731" t="str">
        <f>IF(Grammys[[#This Row],[date]] &gt;= DATE(2022, 2, 1), "Grammys", "Grammys + TRA")</f>
        <v>Grammys + TRA</v>
      </c>
      <c r="I731">
        <f>_xlfn.XLOOKUP(Grammys[[#This Row],[date]], mobile_visits[date], mobile_visits[mobile_visitors], 0)</f>
        <v>0</v>
      </c>
    </row>
    <row r="732" spans="1:9" x14ac:dyDescent="0.2">
      <c r="A732" s="1">
        <v>43466</v>
      </c>
      <c r="B732">
        <v>21417</v>
      </c>
      <c r="C732">
        <v>38124</v>
      </c>
      <c r="D732">
        <v>22787</v>
      </c>
      <c r="E732">
        <v>9724</v>
      </c>
      <c r="F732">
        <v>108</v>
      </c>
      <c r="G732" t="s">
        <v>20</v>
      </c>
      <c r="H732" t="str">
        <f>IF(Grammys[[#This Row],[date]] &gt;= DATE(2022, 2, 1), "Grammys", "Grammys + TRA")</f>
        <v>Grammys + TRA</v>
      </c>
      <c r="I732">
        <f>_xlfn.XLOOKUP(Grammys[[#This Row],[date]], mobile_visits[date], mobile_visits[mobile_visitors], 0)</f>
        <v>0</v>
      </c>
    </row>
    <row r="733" spans="1:9" x14ac:dyDescent="0.2">
      <c r="A733" s="1">
        <v>43467</v>
      </c>
      <c r="B733">
        <v>24533</v>
      </c>
      <c r="C733">
        <v>44342</v>
      </c>
      <c r="D733">
        <v>26414</v>
      </c>
      <c r="E733">
        <v>10402</v>
      </c>
      <c r="F733">
        <v>114</v>
      </c>
      <c r="G733" t="s">
        <v>20</v>
      </c>
      <c r="H733" t="str">
        <f>IF(Grammys[[#This Row],[date]] &gt;= DATE(2022, 2, 1), "Grammys", "Grammys + TRA")</f>
        <v>Grammys + TRA</v>
      </c>
      <c r="I733">
        <f>_xlfn.XLOOKUP(Grammys[[#This Row],[date]], mobile_visits[date], mobile_visits[mobile_visitors], 0)</f>
        <v>0</v>
      </c>
    </row>
    <row r="734" spans="1:9" x14ac:dyDescent="0.2">
      <c r="A734" s="1">
        <v>43468</v>
      </c>
      <c r="B734">
        <v>24163</v>
      </c>
      <c r="C734">
        <v>44051</v>
      </c>
      <c r="D734">
        <v>26006</v>
      </c>
      <c r="E734">
        <v>10426</v>
      </c>
      <c r="F734">
        <v>111</v>
      </c>
      <c r="G734" t="s">
        <v>20</v>
      </c>
      <c r="H734" t="str">
        <f>IF(Grammys[[#This Row],[date]] &gt;= DATE(2022, 2, 1), "Grammys", "Grammys + TRA")</f>
        <v>Grammys + TRA</v>
      </c>
      <c r="I734">
        <f>_xlfn.XLOOKUP(Grammys[[#This Row],[date]], mobile_visits[date], mobile_visits[mobile_visitors], 0)</f>
        <v>0</v>
      </c>
    </row>
    <row r="735" spans="1:9" x14ac:dyDescent="0.2">
      <c r="A735" s="1">
        <v>43469</v>
      </c>
      <c r="B735">
        <v>25232</v>
      </c>
      <c r="C735">
        <v>46178</v>
      </c>
      <c r="D735">
        <v>27086</v>
      </c>
      <c r="E735">
        <v>11060</v>
      </c>
      <c r="F735">
        <v>116</v>
      </c>
      <c r="G735" t="s">
        <v>20</v>
      </c>
      <c r="H735" t="str">
        <f>IF(Grammys[[#This Row],[date]] &gt;= DATE(2022, 2, 1), "Grammys", "Grammys + TRA")</f>
        <v>Grammys + TRA</v>
      </c>
      <c r="I735">
        <f>_xlfn.XLOOKUP(Grammys[[#This Row],[date]], mobile_visits[date], mobile_visits[mobile_visitors], 0)</f>
        <v>0</v>
      </c>
    </row>
    <row r="736" spans="1:9" x14ac:dyDescent="0.2">
      <c r="A736" s="1">
        <v>43470</v>
      </c>
      <c r="B736">
        <v>20213</v>
      </c>
      <c r="C736">
        <v>37101</v>
      </c>
      <c r="D736">
        <v>21798</v>
      </c>
      <c r="E736">
        <v>9472</v>
      </c>
      <c r="F736">
        <v>110</v>
      </c>
      <c r="G736" t="s">
        <v>20</v>
      </c>
      <c r="H736" t="str">
        <f>IF(Grammys[[#This Row],[date]] &gt;= DATE(2022, 2, 1), "Grammys", "Grammys + TRA")</f>
        <v>Grammys + TRA</v>
      </c>
      <c r="I736">
        <f>_xlfn.XLOOKUP(Grammys[[#This Row],[date]], mobile_visits[date], mobile_visits[mobile_visitors], 0)</f>
        <v>0</v>
      </c>
    </row>
    <row r="737" spans="1:9" x14ac:dyDescent="0.2">
      <c r="A737" s="1">
        <v>43471</v>
      </c>
      <c r="B737">
        <v>31493</v>
      </c>
      <c r="C737">
        <v>63585</v>
      </c>
      <c r="D737">
        <v>33980</v>
      </c>
      <c r="E737">
        <v>13453</v>
      </c>
      <c r="F737">
        <v>115</v>
      </c>
      <c r="G737" t="s">
        <v>20</v>
      </c>
      <c r="H737" t="str">
        <f>IF(Grammys[[#This Row],[date]] &gt;= DATE(2022, 2, 1), "Grammys", "Grammys + TRA")</f>
        <v>Grammys + TRA</v>
      </c>
      <c r="I737">
        <f>_xlfn.XLOOKUP(Grammys[[#This Row],[date]], mobile_visits[date], mobile_visits[mobile_visitors], 0)</f>
        <v>0</v>
      </c>
    </row>
    <row r="738" spans="1:9" x14ac:dyDescent="0.2">
      <c r="A738" s="1">
        <v>43472</v>
      </c>
      <c r="B738">
        <v>29682</v>
      </c>
      <c r="C738">
        <v>55397</v>
      </c>
      <c r="D738">
        <v>31450</v>
      </c>
      <c r="E738">
        <v>13857</v>
      </c>
      <c r="F738">
        <v>105</v>
      </c>
      <c r="G738" t="s">
        <v>20</v>
      </c>
      <c r="H738" t="str">
        <f>IF(Grammys[[#This Row],[date]] &gt;= DATE(2022, 2, 1), "Grammys", "Grammys + TRA")</f>
        <v>Grammys + TRA</v>
      </c>
      <c r="I738">
        <f>_xlfn.XLOOKUP(Grammys[[#This Row],[date]], mobile_visits[date], mobile_visits[mobile_visitors], 0)</f>
        <v>0</v>
      </c>
    </row>
    <row r="739" spans="1:9" x14ac:dyDescent="0.2">
      <c r="A739" s="1">
        <v>43473</v>
      </c>
      <c r="B739">
        <v>26337</v>
      </c>
      <c r="C739">
        <v>46816</v>
      </c>
      <c r="D739">
        <v>27975</v>
      </c>
      <c r="E739">
        <v>11895</v>
      </c>
      <c r="F739">
        <v>111</v>
      </c>
      <c r="G739" t="s">
        <v>20</v>
      </c>
      <c r="H739" t="str">
        <f>IF(Grammys[[#This Row],[date]] &gt;= DATE(2022, 2, 1), "Grammys", "Grammys + TRA")</f>
        <v>Grammys + TRA</v>
      </c>
      <c r="I739">
        <f>_xlfn.XLOOKUP(Grammys[[#This Row],[date]], mobile_visits[date], mobile_visits[mobile_visitors], 0)</f>
        <v>0</v>
      </c>
    </row>
    <row r="740" spans="1:9" x14ac:dyDescent="0.2">
      <c r="A740" s="1">
        <v>43474</v>
      </c>
      <c r="B740">
        <v>31050</v>
      </c>
      <c r="C740">
        <v>55619</v>
      </c>
      <c r="D740">
        <v>33313</v>
      </c>
      <c r="E740">
        <v>12763</v>
      </c>
      <c r="F740">
        <v>111</v>
      </c>
      <c r="G740" t="s">
        <v>20</v>
      </c>
      <c r="H740" t="str">
        <f>IF(Grammys[[#This Row],[date]] &gt;= DATE(2022, 2, 1), "Grammys", "Grammys + TRA")</f>
        <v>Grammys + TRA</v>
      </c>
      <c r="I740">
        <f>_xlfn.XLOOKUP(Grammys[[#This Row],[date]], mobile_visits[date], mobile_visits[mobile_visitors], 0)</f>
        <v>0</v>
      </c>
    </row>
    <row r="741" spans="1:9" x14ac:dyDescent="0.2">
      <c r="A741" s="1">
        <v>43475</v>
      </c>
      <c r="B741">
        <v>34999</v>
      </c>
      <c r="C741">
        <v>56375</v>
      </c>
      <c r="D741">
        <v>37426</v>
      </c>
      <c r="E741">
        <v>13665</v>
      </c>
      <c r="F741">
        <v>95</v>
      </c>
      <c r="G741" t="s">
        <v>20</v>
      </c>
      <c r="H741" t="str">
        <f>IF(Grammys[[#This Row],[date]] &gt;= DATE(2022, 2, 1), "Grammys", "Grammys + TRA")</f>
        <v>Grammys + TRA</v>
      </c>
      <c r="I741">
        <f>_xlfn.XLOOKUP(Grammys[[#This Row],[date]], mobile_visits[date], mobile_visits[mobile_visitors], 0)</f>
        <v>0</v>
      </c>
    </row>
    <row r="742" spans="1:9" x14ac:dyDescent="0.2">
      <c r="A742" s="1">
        <v>43476</v>
      </c>
      <c r="B742">
        <v>31253</v>
      </c>
      <c r="C742">
        <v>50135</v>
      </c>
      <c r="D742">
        <v>33438</v>
      </c>
      <c r="E742">
        <v>12814</v>
      </c>
      <c r="F742">
        <v>96</v>
      </c>
      <c r="G742" t="s">
        <v>20</v>
      </c>
      <c r="H742" t="str">
        <f>IF(Grammys[[#This Row],[date]] &gt;= DATE(2022, 2, 1), "Grammys", "Grammys + TRA")</f>
        <v>Grammys + TRA</v>
      </c>
      <c r="I742">
        <f>_xlfn.XLOOKUP(Grammys[[#This Row],[date]], mobile_visits[date], mobile_visits[mobile_visitors], 0)</f>
        <v>0</v>
      </c>
    </row>
    <row r="743" spans="1:9" x14ac:dyDescent="0.2">
      <c r="A743" s="1">
        <v>43477</v>
      </c>
      <c r="B743">
        <v>26998</v>
      </c>
      <c r="C743">
        <v>43730</v>
      </c>
      <c r="D743">
        <v>28595</v>
      </c>
      <c r="E743">
        <v>11218</v>
      </c>
      <c r="F743">
        <v>100</v>
      </c>
      <c r="G743" t="s">
        <v>20</v>
      </c>
      <c r="H743" t="str">
        <f>IF(Grammys[[#This Row],[date]] &gt;= DATE(2022, 2, 1), "Grammys", "Grammys + TRA")</f>
        <v>Grammys + TRA</v>
      </c>
      <c r="I743">
        <f>_xlfn.XLOOKUP(Grammys[[#This Row],[date]], mobile_visits[date], mobile_visits[mobile_visitors], 0)</f>
        <v>0</v>
      </c>
    </row>
    <row r="744" spans="1:9" x14ac:dyDescent="0.2">
      <c r="A744" s="1">
        <v>43478</v>
      </c>
      <c r="B744">
        <v>34839</v>
      </c>
      <c r="C744">
        <v>55601</v>
      </c>
      <c r="D744">
        <v>37569</v>
      </c>
      <c r="E744">
        <v>14006</v>
      </c>
      <c r="F744">
        <v>111</v>
      </c>
      <c r="G744" t="s">
        <v>20</v>
      </c>
      <c r="H744" t="str">
        <f>IF(Grammys[[#This Row],[date]] &gt;= DATE(2022, 2, 1), "Grammys", "Grammys + TRA")</f>
        <v>Grammys + TRA</v>
      </c>
      <c r="I744">
        <f>_xlfn.XLOOKUP(Grammys[[#This Row],[date]], mobile_visits[date], mobile_visits[mobile_visitors], 0)</f>
        <v>0</v>
      </c>
    </row>
    <row r="745" spans="1:9" x14ac:dyDescent="0.2">
      <c r="A745" s="1">
        <v>43479</v>
      </c>
      <c r="B745">
        <v>26990</v>
      </c>
      <c r="C745">
        <v>44739</v>
      </c>
      <c r="D745">
        <v>29045</v>
      </c>
      <c r="E745">
        <v>11822</v>
      </c>
      <c r="F745">
        <v>107</v>
      </c>
      <c r="G745" t="s">
        <v>20</v>
      </c>
      <c r="H745" t="str">
        <f>IF(Grammys[[#This Row],[date]] &gt;= DATE(2022, 2, 1), "Grammys", "Grammys + TRA")</f>
        <v>Grammys + TRA</v>
      </c>
      <c r="I745">
        <f>_xlfn.XLOOKUP(Grammys[[#This Row],[date]], mobile_visits[date], mobile_visits[mobile_visitors], 0)</f>
        <v>0</v>
      </c>
    </row>
    <row r="746" spans="1:9" x14ac:dyDescent="0.2">
      <c r="A746" s="1">
        <v>43480</v>
      </c>
      <c r="B746">
        <v>29177</v>
      </c>
      <c r="C746">
        <v>50994</v>
      </c>
      <c r="D746">
        <v>31692</v>
      </c>
      <c r="E746">
        <v>13010</v>
      </c>
      <c r="F746">
        <v>121</v>
      </c>
      <c r="G746" t="s">
        <v>20</v>
      </c>
      <c r="H746" t="str">
        <f>IF(Grammys[[#This Row],[date]] &gt;= DATE(2022, 2, 1), "Grammys", "Grammys + TRA")</f>
        <v>Grammys + TRA</v>
      </c>
      <c r="I746">
        <f>_xlfn.XLOOKUP(Grammys[[#This Row],[date]], mobile_visits[date], mobile_visits[mobile_visitors], 0)</f>
        <v>0</v>
      </c>
    </row>
    <row r="747" spans="1:9" x14ac:dyDescent="0.2">
      <c r="A747" s="1">
        <v>43481</v>
      </c>
      <c r="B747">
        <v>31616</v>
      </c>
      <c r="C747">
        <v>53170</v>
      </c>
      <c r="D747">
        <v>34107</v>
      </c>
      <c r="E747">
        <v>13817</v>
      </c>
      <c r="F747">
        <v>116</v>
      </c>
      <c r="G747" t="s">
        <v>20</v>
      </c>
      <c r="H747" t="str">
        <f>IF(Grammys[[#This Row],[date]] &gt;= DATE(2022, 2, 1), "Grammys", "Grammys + TRA")</f>
        <v>Grammys + TRA</v>
      </c>
      <c r="I747">
        <f>_xlfn.XLOOKUP(Grammys[[#This Row],[date]], mobile_visits[date], mobile_visits[mobile_visitors], 0)</f>
        <v>0</v>
      </c>
    </row>
    <row r="748" spans="1:9" x14ac:dyDescent="0.2">
      <c r="A748" s="1">
        <v>43482</v>
      </c>
      <c r="B748">
        <v>58691</v>
      </c>
      <c r="C748">
        <v>88536</v>
      </c>
      <c r="D748">
        <v>62756</v>
      </c>
      <c r="E748">
        <v>20785</v>
      </c>
      <c r="F748">
        <v>83</v>
      </c>
      <c r="G748" t="s">
        <v>20</v>
      </c>
      <c r="H748" t="str">
        <f>IF(Grammys[[#This Row],[date]] &gt;= DATE(2022, 2, 1), "Grammys", "Grammys + TRA")</f>
        <v>Grammys + TRA</v>
      </c>
      <c r="I748">
        <f>_xlfn.XLOOKUP(Grammys[[#This Row],[date]], mobile_visits[date], mobile_visits[mobile_visitors], 0)</f>
        <v>0</v>
      </c>
    </row>
    <row r="749" spans="1:9" x14ac:dyDescent="0.2">
      <c r="A749" s="1">
        <v>43483</v>
      </c>
      <c r="B749">
        <v>34227</v>
      </c>
      <c r="C749">
        <v>54681</v>
      </c>
      <c r="D749">
        <v>36723</v>
      </c>
      <c r="E749">
        <v>14943</v>
      </c>
      <c r="F749">
        <v>94</v>
      </c>
      <c r="G749" t="s">
        <v>20</v>
      </c>
      <c r="H749" t="str">
        <f>IF(Grammys[[#This Row],[date]] &gt;= DATE(2022, 2, 1), "Grammys", "Grammys + TRA")</f>
        <v>Grammys + TRA</v>
      </c>
      <c r="I749">
        <f>_xlfn.XLOOKUP(Grammys[[#This Row],[date]], mobile_visits[date], mobile_visits[mobile_visitors], 0)</f>
        <v>0</v>
      </c>
    </row>
    <row r="750" spans="1:9" x14ac:dyDescent="0.2">
      <c r="A750" s="1">
        <v>43484</v>
      </c>
      <c r="B750">
        <v>26904</v>
      </c>
      <c r="C750">
        <v>44504</v>
      </c>
      <c r="D750">
        <v>28843</v>
      </c>
      <c r="E750">
        <v>12299</v>
      </c>
      <c r="F750">
        <v>102</v>
      </c>
      <c r="G750" t="s">
        <v>20</v>
      </c>
      <c r="H750" t="str">
        <f>IF(Grammys[[#This Row],[date]] &gt;= DATE(2022, 2, 1), "Grammys", "Grammys + TRA")</f>
        <v>Grammys + TRA</v>
      </c>
      <c r="I750">
        <f>_xlfn.XLOOKUP(Grammys[[#This Row],[date]], mobile_visits[date], mobile_visits[mobile_visitors], 0)</f>
        <v>0</v>
      </c>
    </row>
    <row r="751" spans="1:9" x14ac:dyDescent="0.2">
      <c r="A751" s="1">
        <v>43485</v>
      </c>
      <c r="B751">
        <v>29118</v>
      </c>
      <c r="C751">
        <v>48212</v>
      </c>
      <c r="D751">
        <v>30951</v>
      </c>
      <c r="E751">
        <v>13288</v>
      </c>
      <c r="F751">
        <v>102</v>
      </c>
      <c r="G751" t="s">
        <v>20</v>
      </c>
      <c r="H751" t="str">
        <f>IF(Grammys[[#This Row],[date]] &gt;= DATE(2022, 2, 1), "Grammys", "Grammys + TRA")</f>
        <v>Grammys + TRA</v>
      </c>
      <c r="I751">
        <f>_xlfn.XLOOKUP(Grammys[[#This Row],[date]], mobile_visits[date], mobile_visits[mobile_visitors], 0)</f>
        <v>0</v>
      </c>
    </row>
    <row r="752" spans="1:9" x14ac:dyDescent="0.2">
      <c r="A752" s="1">
        <v>43486</v>
      </c>
      <c r="B752">
        <v>29985</v>
      </c>
      <c r="C752">
        <v>49574</v>
      </c>
      <c r="D752">
        <v>32036</v>
      </c>
      <c r="E752">
        <v>14055</v>
      </c>
      <c r="F752">
        <v>106</v>
      </c>
      <c r="G752" t="s">
        <v>20</v>
      </c>
      <c r="H752" t="str">
        <f>IF(Grammys[[#This Row],[date]] &gt;= DATE(2022, 2, 1), "Grammys", "Grammys + TRA")</f>
        <v>Grammys + TRA</v>
      </c>
      <c r="I752">
        <f>_xlfn.XLOOKUP(Grammys[[#This Row],[date]], mobile_visits[date], mobile_visits[mobile_visitors], 0)</f>
        <v>0</v>
      </c>
    </row>
    <row r="753" spans="1:9" x14ac:dyDescent="0.2">
      <c r="A753" s="1">
        <v>43487</v>
      </c>
      <c r="B753">
        <v>37440</v>
      </c>
      <c r="C753">
        <v>63960</v>
      </c>
      <c r="D753">
        <v>39698</v>
      </c>
      <c r="E753">
        <v>16221</v>
      </c>
      <c r="F753">
        <v>115</v>
      </c>
      <c r="G753" t="s">
        <v>20</v>
      </c>
      <c r="H753" t="str">
        <f>IF(Grammys[[#This Row],[date]] &gt;= DATE(2022, 2, 1), "Grammys", "Grammys + TRA")</f>
        <v>Grammys + TRA</v>
      </c>
      <c r="I753">
        <f>_xlfn.XLOOKUP(Grammys[[#This Row],[date]], mobile_visits[date], mobile_visits[mobile_visitors], 0)</f>
        <v>0</v>
      </c>
    </row>
    <row r="754" spans="1:9" x14ac:dyDescent="0.2">
      <c r="A754" s="1">
        <v>43488</v>
      </c>
      <c r="B754">
        <v>31014</v>
      </c>
      <c r="C754">
        <v>53285</v>
      </c>
      <c r="D754">
        <v>32866</v>
      </c>
      <c r="E754">
        <v>13962</v>
      </c>
      <c r="F754">
        <v>113</v>
      </c>
      <c r="G754" t="s">
        <v>20</v>
      </c>
      <c r="H754" t="str">
        <f>IF(Grammys[[#This Row],[date]] &gt;= DATE(2022, 2, 1), "Grammys", "Grammys + TRA")</f>
        <v>Grammys + TRA</v>
      </c>
      <c r="I754">
        <f>_xlfn.XLOOKUP(Grammys[[#This Row],[date]], mobile_visits[date], mobile_visits[mobile_visitors], 0)</f>
        <v>0</v>
      </c>
    </row>
    <row r="755" spans="1:9" x14ac:dyDescent="0.2">
      <c r="A755" s="1">
        <v>43489</v>
      </c>
      <c r="B755">
        <v>36353</v>
      </c>
      <c r="C755">
        <v>59189</v>
      </c>
      <c r="D755">
        <v>38524</v>
      </c>
      <c r="E755">
        <v>15587</v>
      </c>
      <c r="F755">
        <v>102</v>
      </c>
      <c r="G755" t="s">
        <v>20</v>
      </c>
      <c r="H755" t="str">
        <f>IF(Grammys[[#This Row],[date]] &gt;= DATE(2022, 2, 1), "Grammys", "Grammys + TRA")</f>
        <v>Grammys + TRA</v>
      </c>
      <c r="I755">
        <f>_xlfn.XLOOKUP(Grammys[[#This Row],[date]], mobile_visits[date], mobile_visits[mobile_visitors], 0)</f>
        <v>0</v>
      </c>
    </row>
    <row r="756" spans="1:9" x14ac:dyDescent="0.2">
      <c r="A756" s="1">
        <v>43490</v>
      </c>
      <c r="B756">
        <v>31596</v>
      </c>
      <c r="C756">
        <v>51309</v>
      </c>
      <c r="D756">
        <v>33667</v>
      </c>
      <c r="E756">
        <v>13727</v>
      </c>
      <c r="F756">
        <v>96</v>
      </c>
      <c r="G756" t="s">
        <v>20</v>
      </c>
      <c r="H756" t="str">
        <f>IF(Grammys[[#This Row],[date]] &gt;= DATE(2022, 2, 1), "Grammys", "Grammys + TRA")</f>
        <v>Grammys + TRA</v>
      </c>
      <c r="I756">
        <f>_xlfn.XLOOKUP(Grammys[[#This Row],[date]], mobile_visits[date], mobile_visits[mobile_visitors], 0)</f>
        <v>0</v>
      </c>
    </row>
    <row r="757" spans="1:9" x14ac:dyDescent="0.2">
      <c r="A757" s="1">
        <v>43491</v>
      </c>
      <c r="B757">
        <v>26408</v>
      </c>
      <c r="C757">
        <v>44203</v>
      </c>
      <c r="D757">
        <v>28040</v>
      </c>
      <c r="E757">
        <v>12041</v>
      </c>
      <c r="F757">
        <v>100</v>
      </c>
      <c r="G757" t="s">
        <v>20</v>
      </c>
      <c r="H757" t="str">
        <f>IF(Grammys[[#This Row],[date]] &gt;= DATE(2022, 2, 1), "Grammys", "Grammys + TRA")</f>
        <v>Grammys + TRA</v>
      </c>
      <c r="I757">
        <f>_xlfn.XLOOKUP(Grammys[[#This Row],[date]], mobile_visits[date], mobile_visits[mobile_visitors], 0)</f>
        <v>0</v>
      </c>
    </row>
    <row r="758" spans="1:9" x14ac:dyDescent="0.2">
      <c r="A758" s="1">
        <v>43492</v>
      </c>
      <c r="B758">
        <v>28425</v>
      </c>
      <c r="C758">
        <v>48697</v>
      </c>
      <c r="D758">
        <v>30381</v>
      </c>
      <c r="E758">
        <v>13547</v>
      </c>
      <c r="F758">
        <v>105</v>
      </c>
      <c r="G758" t="s">
        <v>20</v>
      </c>
      <c r="H758" t="str">
        <f>IF(Grammys[[#This Row],[date]] &gt;= DATE(2022, 2, 1), "Grammys", "Grammys + TRA")</f>
        <v>Grammys + TRA</v>
      </c>
      <c r="I758">
        <f>_xlfn.XLOOKUP(Grammys[[#This Row],[date]], mobile_visits[date], mobile_visits[mobile_visitors], 0)</f>
        <v>0</v>
      </c>
    </row>
    <row r="759" spans="1:9" x14ac:dyDescent="0.2">
      <c r="A759" s="1">
        <v>43493</v>
      </c>
      <c r="B759">
        <v>38114</v>
      </c>
      <c r="C759">
        <v>75119</v>
      </c>
      <c r="D759">
        <v>41251</v>
      </c>
      <c r="E759">
        <v>17392</v>
      </c>
      <c r="F759">
        <v>111</v>
      </c>
      <c r="G759" t="s">
        <v>20</v>
      </c>
      <c r="H759" t="str">
        <f>IF(Grammys[[#This Row],[date]] &gt;= DATE(2022, 2, 1), "Grammys", "Grammys + TRA")</f>
        <v>Grammys + TRA</v>
      </c>
      <c r="I759">
        <f>_xlfn.XLOOKUP(Grammys[[#This Row],[date]], mobile_visits[date], mobile_visits[mobile_visitors], 0)</f>
        <v>0</v>
      </c>
    </row>
    <row r="760" spans="1:9" x14ac:dyDescent="0.2">
      <c r="A760" s="1">
        <v>43494</v>
      </c>
      <c r="B760">
        <v>36275</v>
      </c>
      <c r="C760">
        <v>63300</v>
      </c>
      <c r="D760">
        <v>38824</v>
      </c>
      <c r="E760">
        <v>16815</v>
      </c>
      <c r="F760">
        <v>108</v>
      </c>
      <c r="G760" t="s">
        <v>20</v>
      </c>
      <c r="H760" t="str">
        <f>IF(Grammys[[#This Row],[date]] &gt;= DATE(2022, 2, 1), "Grammys", "Grammys + TRA")</f>
        <v>Grammys + TRA</v>
      </c>
      <c r="I760">
        <f>_xlfn.XLOOKUP(Grammys[[#This Row],[date]], mobile_visits[date], mobile_visits[mobile_visitors], 0)</f>
        <v>0</v>
      </c>
    </row>
    <row r="761" spans="1:9" x14ac:dyDescent="0.2">
      <c r="A761" s="1">
        <v>43495</v>
      </c>
      <c r="B761">
        <v>31155</v>
      </c>
      <c r="C761">
        <v>54759</v>
      </c>
      <c r="D761">
        <v>33422</v>
      </c>
      <c r="E761">
        <v>14496</v>
      </c>
      <c r="F761">
        <v>109</v>
      </c>
      <c r="G761" t="s">
        <v>20</v>
      </c>
      <c r="H761" t="str">
        <f>IF(Grammys[[#This Row],[date]] &gt;= DATE(2022, 2, 1), "Grammys", "Grammys + TRA")</f>
        <v>Grammys + TRA</v>
      </c>
      <c r="I761">
        <f>_xlfn.XLOOKUP(Grammys[[#This Row],[date]], mobile_visits[date], mobile_visits[mobile_visitors], 0)</f>
        <v>0</v>
      </c>
    </row>
    <row r="762" spans="1:9" x14ac:dyDescent="0.2">
      <c r="A762" s="1">
        <v>43496</v>
      </c>
      <c r="B762">
        <v>34887</v>
      </c>
      <c r="C762">
        <v>60166</v>
      </c>
      <c r="D762">
        <v>37220</v>
      </c>
      <c r="E762">
        <v>14862</v>
      </c>
      <c r="F762">
        <v>114</v>
      </c>
      <c r="G762" t="s">
        <v>20</v>
      </c>
      <c r="H762" t="str">
        <f>IF(Grammys[[#This Row],[date]] &gt;= DATE(2022, 2, 1), "Grammys", "Grammys + TRA")</f>
        <v>Grammys + TRA</v>
      </c>
      <c r="I762">
        <f>_xlfn.XLOOKUP(Grammys[[#This Row],[date]], mobile_visits[date], mobile_visits[mobile_visitors], 0)</f>
        <v>0</v>
      </c>
    </row>
    <row r="763" spans="1:9" x14ac:dyDescent="0.2">
      <c r="A763" s="1">
        <v>43497</v>
      </c>
      <c r="B763">
        <v>37613</v>
      </c>
      <c r="C763">
        <v>63519</v>
      </c>
      <c r="D763">
        <v>40210</v>
      </c>
      <c r="E763">
        <v>16487</v>
      </c>
      <c r="F763">
        <v>110</v>
      </c>
      <c r="G763" t="s">
        <v>20</v>
      </c>
      <c r="H763" t="str">
        <f>IF(Grammys[[#This Row],[date]] &gt;= DATE(2022, 2, 1), "Grammys", "Grammys + TRA")</f>
        <v>Grammys + TRA</v>
      </c>
      <c r="I763">
        <f>_xlfn.XLOOKUP(Grammys[[#This Row],[date]], mobile_visits[date], mobile_visits[mobile_visitors], 0)</f>
        <v>0</v>
      </c>
    </row>
    <row r="764" spans="1:9" x14ac:dyDescent="0.2">
      <c r="A764" s="1">
        <v>43498</v>
      </c>
      <c r="B764">
        <v>34877</v>
      </c>
      <c r="C764">
        <v>61390</v>
      </c>
      <c r="D764">
        <v>37097</v>
      </c>
      <c r="E764">
        <v>15325</v>
      </c>
      <c r="F764">
        <v>112</v>
      </c>
      <c r="G764" t="s">
        <v>20</v>
      </c>
      <c r="H764" t="str">
        <f>IF(Grammys[[#This Row],[date]] &gt;= DATE(2022, 2, 1), "Grammys", "Grammys + TRA")</f>
        <v>Grammys + TRA</v>
      </c>
      <c r="I764">
        <f>_xlfn.XLOOKUP(Grammys[[#This Row],[date]], mobile_visits[date], mobile_visits[mobile_visitors], 0)</f>
        <v>0</v>
      </c>
    </row>
    <row r="765" spans="1:9" x14ac:dyDescent="0.2">
      <c r="A765" s="1">
        <v>43499</v>
      </c>
      <c r="B765">
        <v>74796</v>
      </c>
      <c r="C765">
        <v>126660</v>
      </c>
      <c r="D765">
        <v>80575</v>
      </c>
      <c r="E765">
        <v>32287</v>
      </c>
      <c r="F765">
        <v>111</v>
      </c>
      <c r="G765" t="s">
        <v>20</v>
      </c>
      <c r="H765" t="str">
        <f>IF(Grammys[[#This Row],[date]] &gt;= DATE(2022, 2, 1), "Grammys", "Grammys + TRA")</f>
        <v>Grammys + TRA</v>
      </c>
      <c r="I765">
        <f>_xlfn.XLOOKUP(Grammys[[#This Row],[date]], mobile_visits[date], mobile_visits[mobile_visitors], 0)</f>
        <v>0</v>
      </c>
    </row>
    <row r="766" spans="1:9" x14ac:dyDescent="0.2">
      <c r="A766" s="1">
        <v>43500</v>
      </c>
      <c r="B766">
        <v>80591</v>
      </c>
      <c r="C766">
        <v>148003</v>
      </c>
      <c r="D766">
        <v>86157</v>
      </c>
      <c r="E766">
        <v>33800</v>
      </c>
      <c r="F766">
        <v>115</v>
      </c>
      <c r="G766" t="s">
        <v>20</v>
      </c>
      <c r="H766" t="str">
        <f>IF(Grammys[[#This Row],[date]] &gt;= DATE(2022, 2, 1), "Grammys", "Grammys + TRA")</f>
        <v>Grammys + TRA</v>
      </c>
      <c r="I766">
        <f>_xlfn.XLOOKUP(Grammys[[#This Row],[date]], mobile_visits[date], mobile_visits[mobile_visitors], 0)</f>
        <v>0</v>
      </c>
    </row>
    <row r="767" spans="1:9" x14ac:dyDescent="0.2">
      <c r="A767" s="1">
        <v>43501</v>
      </c>
      <c r="B767">
        <v>98345</v>
      </c>
      <c r="C767">
        <v>186102</v>
      </c>
      <c r="D767">
        <v>106565</v>
      </c>
      <c r="E767">
        <v>39057</v>
      </c>
      <c r="F767">
        <v>119</v>
      </c>
      <c r="G767" t="s">
        <v>20</v>
      </c>
      <c r="H767" t="str">
        <f>IF(Grammys[[#This Row],[date]] &gt;= DATE(2022, 2, 1), "Grammys", "Grammys + TRA")</f>
        <v>Grammys + TRA</v>
      </c>
      <c r="I767">
        <f>_xlfn.XLOOKUP(Grammys[[#This Row],[date]], mobile_visits[date], mobile_visits[mobile_visitors], 0)</f>
        <v>0</v>
      </c>
    </row>
    <row r="768" spans="1:9" x14ac:dyDescent="0.2">
      <c r="A768" s="1">
        <v>43502</v>
      </c>
      <c r="B768">
        <v>101785</v>
      </c>
      <c r="C768">
        <v>186301</v>
      </c>
      <c r="D768">
        <v>109714</v>
      </c>
      <c r="E768">
        <v>37676</v>
      </c>
      <c r="F768">
        <v>115</v>
      </c>
      <c r="G768" t="s">
        <v>20</v>
      </c>
      <c r="H768" t="str">
        <f>IF(Grammys[[#This Row],[date]] &gt;= DATE(2022, 2, 1), "Grammys", "Grammys + TRA")</f>
        <v>Grammys + TRA</v>
      </c>
      <c r="I768">
        <f>_xlfn.XLOOKUP(Grammys[[#This Row],[date]], mobile_visits[date], mobile_visits[mobile_visitors], 0)</f>
        <v>0</v>
      </c>
    </row>
    <row r="769" spans="1:9" x14ac:dyDescent="0.2">
      <c r="A769" s="1">
        <v>43503</v>
      </c>
      <c r="B769">
        <v>135879</v>
      </c>
      <c r="C769">
        <v>240734</v>
      </c>
      <c r="D769">
        <v>145643</v>
      </c>
      <c r="E769">
        <v>52024</v>
      </c>
      <c r="F769">
        <v>105</v>
      </c>
      <c r="G769" t="s">
        <v>20</v>
      </c>
      <c r="H769" t="str">
        <f>IF(Grammys[[#This Row],[date]] &gt;= DATE(2022, 2, 1), "Grammys", "Grammys + TRA")</f>
        <v>Grammys + TRA</v>
      </c>
      <c r="I769">
        <f>_xlfn.XLOOKUP(Grammys[[#This Row],[date]], mobile_visits[date], mobile_visits[mobile_visitors], 0)</f>
        <v>0</v>
      </c>
    </row>
    <row r="770" spans="1:9" x14ac:dyDescent="0.2">
      <c r="A770" s="1">
        <v>43504</v>
      </c>
      <c r="B770">
        <v>168197</v>
      </c>
      <c r="C770">
        <v>301769</v>
      </c>
      <c r="D770">
        <v>180904</v>
      </c>
      <c r="E770">
        <v>68979</v>
      </c>
      <c r="F770">
        <v>109</v>
      </c>
      <c r="G770" t="s">
        <v>20</v>
      </c>
      <c r="H770" t="str">
        <f>IF(Grammys[[#This Row],[date]] &gt;= DATE(2022, 2, 1), "Grammys", "Grammys + TRA")</f>
        <v>Grammys + TRA</v>
      </c>
      <c r="I770">
        <f>_xlfn.XLOOKUP(Grammys[[#This Row],[date]], mobile_visits[date], mobile_visits[mobile_visitors], 0)</f>
        <v>0</v>
      </c>
    </row>
    <row r="771" spans="1:9" x14ac:dyDescent="0.2">
      <c r="A771" s="1">
        <v>43505</v>
      </c>
      <c r="B771">
        <v>259145</v>
      </c>
      <c r="C771">
        <v>500178</v>
      </c>
      <c r="D771">
        <v>288669</v>
      </c>
      <c r="E771">
        <v>118470</v>
      </c>
      <c r="F771">
        <v>115</v>
      </c>
      <c r="G771" t="s">
        <v>20</v>
      </c>
      <c r="H771" t="str">
        <f>IF(Grammys[[#This Row],[date]] &gt;= DATE(2022, 2, 1), "Grammys", "Grammys + TRA")</f>
        <v>Grammys + TRA</v>
      </c>
      <c r="I771">
        <f>_xlfn.XLOOKUP(Grammys[[#This Row],[date]], mobile_visits[date], mobile_visits[mobile_visitors], 0)</f>
        <v>0</v>
      </c>
    </row>
    <row r="772" spans="1:9" x14ac:dyDescent="0.2">
      <c r="A772" s="1">
        <v>43506</v>
      </c>
      <c r="B772">
        <v>2990487</v>
      </c>
      <c r="C772">
        <v>13494574</v>
      </c>
      <c r="D772">
        <v>3915507</v>
      </c>
      <c r="E772">
        <v>1017249</v>
      </c>
      <c r="F772">
        <v>283</v>
      </c>
      <c r="G772" t="s">
        <v>21</v>
      </c>
      <c r="H772" t="str">
        <f>IF(Grammys[[#This Row],[date]] &gt;= DATE(2022, 2, 1), "Grammys", "Grammys + TRA")</f>
        <v>Grammys + TRA</v>
      </c>
      <c r="I772">
        <f>_xlfn.XLOOKUP(Grammys[[#This Row],[date]], mobile_visits[date], mobile_visits[mobile_visitors], 0)</f>
        <v>0</v>
      </c>
    </row>
    <row r="773" spans="1:9" x14ac:dyDescent="0.2">
      <c r="A773" s="1">
        <v>43507</v>
      </c>
      <c r="B773">
        <v>1539061</v>
      </c>
      <c r="C773">
        <v>3515775</v>
      </c>
      <c r="D773">
        <v>1690040</v>
      </c>
      <c r="E773">
        <v>591345</v>
      </c>
      <c r="F773">
        <v>133</v>
      </c>
      <c r="G773" t="s">
        <v>20</v>
      </c>
      <c r="H773" t="str">
        <f>IF(Grammys[[#This Row],[date]] &gt;= DATE(2022, 2, 1), "Grammys", "Grammys + TRA")</f>
        <v>Grammys + TRA</v>
      </c>
      <c r="I773">
        <f>_xlfn.XLOOKUP(Grammys[[#This Row],[date]], mobile_visits[date], mobile_visits[mobile_visitors], 0)</f>
        <v>0</v>
      </c>
    </row>
    <row r="774" spans="1:9" x14ac:dyDescent="0.2">
      <c r="A774" s="1">
        <v>43508</v>
      </c>
      <c r="B774">
        <v>457474</v>
      </c>
      <c r="C774">
        <v>1042436</v>
      </c>
      <c r="D774">
        <v>492235</v>
      </c>
      <c r="E774">
        <v>194187</v>
      </c>
      <c r="F774">
        <v>132</v>
      </c>
      <c r="G774" t="s">
        <v>20</v>
      </c>
      <c r="H774" t="str">
        <f>IF(Grammys[[#This Row],[date]] &gt;= DATE(2022, 2, 1), "Grammys", "Grammys + TRA")</f>
        <v>Grammys + TRA</v>
      </c>
      <c r="I774">
        <f>_xlfn.XLOOKUP(Grammys[[#This Row],[date]], mobile_visits[date], mobile_visits[mobile_visitors], 0)</f>
        <v>0</v>
      </c>
    </row>
    <row r="775" spans="1:9" x14ac:dyDescent="0.2">
      <c r="A775" s="1">
        <v>43509</v>
      </c>
      <c r="B775">
        <v>581827</v>
      </c>
      <c r="C775">
        <v>1137085</v>
      </c>
      <c r="D775">
        <v>606438</v>
      </c>
      <c r="E775">
        <v>199640</v>
      </c>
      <c r="F775">
        <v>105</v>
      </c>
      <c r="G775" t="s">
        <v>20</v>
      </c>
      <c r="H775" t="str">
        <f>IF(Grammys[[#This Row],[date]] &gt;= DATE(2022, 2, 1), "Grammys", "Grammys + TRA")</f>
        <v>Grammys + TRA</v>
      </c>
      <c r="I775">
        <f>_xlfn.XLOOKUP(Grammys[[#This Row],[date]], mobile_visits[date], mobile_visits[mobile_visitors], 0)</f>
        <v>0</v>
      </c>
    </row>
    <row r="776" spans="1:9" x14ac:dyDescent="0.2">
      <c r="A776" s="1">
        <v>43510</v>
      </c>
      <c r="B776">
        <v>262693</v>
      </c>
      <c r="C776">
        <v>509914</v>
      </c>
      <c r="D776">
        <v>279235</v>
      </c>
      <c r="E776">
        <v>110270</v>
      </c>
      <c r="F776">
        <v>99</v>
      </c>
      <c r="G776" t="s">
        <v>20</v>
      </c>
      <c r="H776" t="str">
        <f>IF(Grammys[[#This Row],[date]] &gt;= DATE(2022, 2, 1), "Grammys", "Grammys + TRA")</f>
        <v>Grammys + TRA</v>
      </c>
      <c r="I776">
        <f>_xlfn.XLOOKUP(Grammys[[#This Row],[date]], mobile_visits[date], mobile_visits[mobile_visitors], 0)</f>
        <v>0</v>
      </c>
    </row>
    <row r="777" spans="1:9" x14ac:dyDescent="0.2">
      <c r="A777" s="1">
        <v>43511</v>
      </c>
      <c r="B777">
        <v>160188</v>
      </c>
      <c r="C777">
        <v>319546</v>
      </c>
      <c r="D777">
        <v>172766</v>
      </c>
      <c r="E777">
        <v>76035</v>
      </c>
      <c r="F777">
        <v>104</v>
      </c>
      <c r="G777" t="s">
        <v>20</v>
      </c>
      <c r="H777" t="str">
        <f>IF(Grammys[[#This Row],[date]] &gt;= DATE(2022, 2, 1), "Grammys", "Grammys + TRA")</f>
        <v>Grammys + TRA</v>
      </c>
      <c r="I777">
        <f>_xlfn.XLOOKUP(Grammys[[#This Row],[date]], mobile_visits[date], mobile_visits[mobile_visitors], 0)</f>
        <v>0</v>
      </c>
    </row>
    <row r="778" spans="1:9" x14ac:dyDescent="0.2">
      <c r="A778" s="1">
        <v>43512</v>
      </c>
      <c r="B778">
        <v>127694</v>
      </c>
      <c r="C778">
        <v>256767</v>
      </c>
      <c r="D778">
        <v>138135</v>
      </c>
      <c r="E778">
        <v>62810</v>
      </c>
      <c r="F778">
        <v>103</v>
      </c>
      <c r="G778" t="s">
        <v>20</v>
      </c>
      <c r="H778" t="str">
        <f>IF(Grammys[[#This Row],[date]] &gt;= DATE(2022, 2, 1), "Grammys", "Grammys + TRA")</f>
        <v>Grammys + TRA</v>
      </c>
      <c r="I778">
        <f>_xlfn.XLOOKUP(Grammys[[#This Row],[date]], mobile_visits[date], mobile_visits[mobile_visitors], 0)</f>
        <v>0</v>
      </c>
    </row>
    <row r="779" spans="1:9" x14ac:dyDescent="0.2">
      <c r="A779" s="1">
        <v>43513</v>
      </c>
      <c r="B779">
        <v>108026</v>
      </c>
      <c r="C779">
        <v>212415</v>
      </c>
      <c r="D779">
        <v>114833</v>
      </c>
      <c r="E779">
        <v>50791</v>
      </c>
      <c r="F779">
        <v>102</v>
      </c>
      <c r="G779" t="s">
        <v>20</v>
      </c>
      <c r="H779" t="str">
        <f>IF(Grammys[[#This Row],[date]] &gt;= DATE(2022, 2, 1), "Grammys", "Grammys + TRA")</f>
        <v>Grammys + TRA</v>
      </c>
      <c r="I779">
        <f>_xlfn.XLOOKUP(Grammys[[#This Row],[date]], mobile_visits[date], mobile_visits[mobile_visitors], 0)</f>
        <v>0</v>
      </c>
    </row>
    <row r="780" spans="1:9" x14ac:dyDescent="0.2">
      <c r="A780" s="1">
        <v>43514</v>
      </c>
      <c r="B780">
        <v>77774</v>
      </c>
      <c r="C780">
        <v>151607</v>
      </c>
      <c r="D780">
        <v>83121</v>
      </c>
      <c r="E780">
        <v>36931</v>
      </c>
      <c r="F780">
        <v>105</v>
      </c>
      <c r="G780" t="s">
        <v>20</v>
      </c>
      <c r="H780" t="str">
        <f>IF(Grammys[[#This Row],[date]] &gt;= DATE(2022, 2, 1), "Grammys", "Grammys + TRA")</f>
        <v>Grammys + TRA</v>
      </c>
      <c r="I780">
        <f>_xlfn.XLOOKUP(Grammys[[#This Row],[date]], mobile_visits[date], mobile_visits[mobile_visitors], 0)</f>
        <v>0</v>
      </c>
    </row>
    <row r="781" spans="1:9" x14ac:dyDescent="0.2">
      <c r="A781" s="1">
        <v>43515</v>
      </c>
      <c r="B781">
        <v>65533</v>
      </c>
      <c r="C781">
        <v>124452</v>
      </c>
      <c r="D781">
        <v>69865</v>
      </c>
      <c r="E781">
        <v>31971</v>
      </c>
      <c r="F781">
        <v>108</v>
      </c>
      <c r="G781" t="s">
        <v>20</v>
      </c>
      <c r="H781" t="str">
        <f>IF(Grammys[[#This Row],[date]] &gt;= DATE(2022, 2, 1), "Grammys", "Grammys + TRA")</f>
        <v>Grammys + TRA</v>
      </c>
      <c r="I781">
        <f>_xlfn.XLOOKUP(Grammys[[#This Row],[date]], mobile_visits[date], mobile_visits[mobile_visitors], 0)</f>
        <v>0</v>
      </c>
    </row>
    <row r="782" spans="1:9" x14ac:dyDescent="0.2">
      <c r="A782" s="1">
        <v>43516</v>
      </c>
      <c r="B782">
        <v>86186</v>
      </c>
      <c r="C782">
        <v>153757</v>
      </c>
      <c r="D782">
        <v>89759</v>
      </c>
      <c r="E782">
        <v>39171</v>
      </c>
      <c r="F782">
        <v>103</v>
      </c>
      <c r="G782" t="s">
        <v>20</v>
      </c>
      <c r="H782" t="str">
        <f>IF(Grammys[[#This Row],[date]] &gt;= DATE(2022, 2, 1), "Grammys", "Grammys + TRA")</f>
        <v>Grammys + TRA</v>
      </c>
      <c r="I782">
        <f>_xlfn.XLOOKUP(Grammys[[#This Row],[date]], mobile_visits[date], mobile_visits[mobile_visitors], 0)</f>
        <v>0</v>
      </c>
    </row>
    <row r="783" spans="1:9" x14ac:dyDescent="0.2">
      <c r="A783" s="1">
        <v>43517</v>
      </c>
      <c r="B783">
        <v>69340</v>
      </c>
      <c r="C783">
        <v>121003</v>
      </c>
      <c r="D783">
        <v>70986</v>
      </c>
      <c r="E783">
        <v>31802</v>
      </c>
      <c r="F783">
        <v>101</v>
      </c>
      <c r="G783" t="s">
        <v>20</v>
      </c>
      <c r="H783" t="str">
        <f>IF(Grammys[[#This Row],[date]] &gt;= DATE(2022, 2, 1), "Grammys", "Grammys + TRA")</f>
        <v>Grammys + TRA</v>
      </c>
      <c r="I783">
        <f>_xlfn.XLOOKUP(Grammys[[#This Row],[date]], mobile_visits[date], mobile_visits[mobile_visitors], 0)</f>
        <v>0</v>
      </c>
    </row>
    <row r="784" spans="1:9" x14ac:dyDescent="0.2">
      <c r="A784" s="1">
        <v>43518</v>
      </c>
      <c r="B784">
        <v>59623</v>
      </c>
      <c r="C784">
        <v>102010</v>
      </c>
      <c r="D784">
        <v>61742</v>
      </c>
      <c r="E784">
        <v>27754</v>
      </c>
      <c r="F784">
        <v>102</v>
      </c>
      <c r="G784" t="s">
        <v>20</v>
      </c>
      <c r="H784" t="str">
        <f>IF(Grammys[[#This Row],[date]] &gt;= DATE(2022, 2, 1), "Grammys", "Grammys + TRA")</f>
        <v>Grammys + TRA</v>
      </c>
      <c r="I784">
        <f>_xlfn.XLOOKUP(Grammys[[#This Row],[date]], mobile_visits[date], mobile_visits[mobile_visitors], 0)</f>
        <v>0</v>
      </c>
    </row>
    <row r="785" spans="1:9" x14ac:dyDescent="0.2">
      <c r="A785" s="1">
        <v>43519</v>
      </c>
      <c r="B785">
        <v>84807</v>
      </c>
      <c r="C785">
        <v>136496</v>
      </c>
      <c r="D785">
        <v>91101</v>
      </c>
      <c r="E785">
        <v>35767</v>
      </c>
      <c r="F785">
        <v>117</v>
      </c>
      <c r="G785" t="s">
        <v>20</v>
      </c>
      <c r="H785" t="str">
        <f>IF(Grammys[[#This Row],[date]] &gt;= DATE(2022, 2, 1), "Grammys", "Grammys + TRA")</f>
        <v>Grammys + TRA</v>
      </c>
      <c r="I785">
        <f>_xlfn.XLOOKUP(Grammys[[#This Row],[date]], mobile_visits[date], mobile_visits[mobile_visitors], 0)</f>
        <v>0</v>
      </c>
    </row>
    <row r="786" spans="1:9" x14ac:dyDescent="0.2">
      <c r="A786" s="1">
        <v>43520</v>
      </c>
      <c r="B786">
        <v>113431</v>
      </c>
      <c r="C786">
        <v>185158</v>
      </c>
      <c r="D786">
        <v>118584</v>
      </c>
      <c r="E786">
        <v>48063</v>
      </c>
      <c r="F786">
        <v>88</v>
      </c>
      <c r="G786" t="s">
        <v>20</v>
      </c>
      <c r="H786" t="str">
        <f>IF(Grammys[[#This Row],[date]] &gt;= DATE(2022, 2, 1), "Grammys", "Grammys + TRA")</f>
        <v>Grammys + TRA</v>
      </c>
      <c r="I786">
        <f>_xlfn.XLOOKUP(Grammys[[#This Row],[date]], mobile_visits[date], mobile_visits[mobile_visitors], 0)</f>
        <v>0</v>
      </c>
    </row>
    <row r="787" spans="1:9" x14ac:dyDescent="0.2">
      <c r="A787" s="1">
        <v>43521</v>
      </c>
      <c r="B787">
        <v>102842</v>
      </c>
      <c r="C787">
        <v>159223</v>
      </c>
      <c r="D787">
        <v>109512</v>
      </c>
      <c r="E787">
        <v>47912</v>
      </c>
      <c r="F787">
        <v>86</v>
      </c>
      <c r="G787" t="s">
        <v>20</v>
      </c>
      <c r="H787" t="str">
        <f>IF(Grammys[[#This Row],[date]] &gt;= DATE(2022, 2, 1), "Grammys", "Grammys + TRA")</f>
        <v>Grammys + TRA</v>
      </c>
      <c r="I787">
        <f>_xlfn.XLOOKUP(Grammys[[#This Row],[date]], mobile_visits[date], mobile_visits[mobile_visitors], 0)</f>
        <v>0</v>
      </c>
    </row>
    <row r="788" spans="1:9" x14ac:dyDescent="0.2">
      <c r="A788" s="1">
        <v>43522</v>
      </c>
      <c r="B788">
        <v>57188</v>
      </c>
      <c r="C788">
        <v>88008</v>
      </c>
      <c r="D788">
        <v>59718</v>
      </c>
      <c r="E788">
        <v>28044</v>
      </c>
      <c r="F788">
        <v>91</v>
      </c>
      <c r="G788" t="s">
        <v>20</v>
      </c>
      <c r="H788" t="str">
        <f>IF(Grammys[[#This Row],[date]] &gt;= DATE(2022, 2, 1), "Grammys", "Grammys + TRA")</f>
        <v>Grammys + TRA</v>
      </c>
      <c r="I788">
        <f>_xlfn.XLOOKUP(Grammys[[#This Row],[date]], mobile_visits[date], mobile_visits[mobile_visitors], 0)</f>
        <v>0</v>
      </c>
    </row>
    <row r="789" spans="1:9" x14ac:dyDescent="0.2">
      <c r="A789" s="1">
        <v>43523</v>
      </c>
      <c r="B789">
        <v>202980</v>
      </c>
      <c r="C789">
        <v>352906</v>
      </c>
      <c r="D789">
        <v>215909</v>
      </c>
      <c r="E789">
        <v>81722</v>
      </c>
      <c r="F789">
        <v>106</v>
      </c>
      <c r="G789" t="s">
        <v>20</v>
      </c>
      <c r="H789" t="str">
        <f>IF(Grammys[[#This Row],[date]] &gt;= DATE(2022, 2, 1), "Grammys", "Grammys + TRA")</f>
        <v>Grammys + TRA</v>
      </c>
      <c r="I789">
        <f>_xlfn.XLOOKUP(Grammys[[#This Row],[date]], mobile_visits[date], mobile_visits[mobile_visitors], 0)</f>
        <v>0</v>
      </c>
    </row>
    <row r="790" spans="1:9" x14ac:dyDescent="0.2">
      <c r="A790" s="1">
        <v>43524</v>
      </c>
      <c r="B790">
        <v>63723</v>
      </c>
      <c r="C790">
        <v>96865</v>
      </c>
      <c r="D790">
        <v>67385</v>
      </c>
      <c r="E790">
        <v>32709</v>
      </c>
      <c r="F790">
        <v>83</v>
      </c>
      <c r="G790" t="s">
        <v>20</v>
      </c>
      <c r="H790" t="str">
        <f>IF(Grammys[[#This Row],[date]] &gt;= DATE(2022, 2, 1), "Grammys", "Grammys + TRA")</f>
        <v>Grammys + TRA</v>
      </c>
      <c r="I790">
        <f>_xlfn.XLOOKUP(Grammys[[#This Row],[date]], mobile_visits[date], mobile_visits[mobile_visitors], 0)</f>
        <v>0</v>
      </c>
    </row>
    <row r="791" spans="1:9" x14ac:dyDescent="0.2">
      <c r="A791" s="1">
        <v>43525</v>
      </c>
      <c r="B791">
        <v>50175</v>
      </c>
      <c r="C791">
        <v>74412</v>
      </c>
      <c r="D791">
        <v>52749</v>
      </c>
      <c r="E791">
        <v>26544</v>
      </c>
      <c r="F791">
        <v>80</v>
      </c>
      <c r="G791" t="s">
        <v>20</v>
      </c>
      <c r="H791" t="str">
        <f>IF(Grammys[[#This Row],[date]] &gt;= DATE(2022, 2, 1), "Grammys", "Grammys + TRA")</f>
        <v>Grammys + TRA</v>
      </c>
      <c r="I791">
        <f>_xlfn.XLOOKUP(Grammys[[#This Row],[date]], mobile_visits[date], mobile_visits[mobile_visitors], 0)</f>
        <v>0</v>
      </c>
    </row>
    <row r="792" spans="1:9" x14ac:dyDescent="0.2">
      <c r="A792" s="1">
        <v>43526</v>
      </c>
      <c r="B792">
        <v>39966</v>
      </c>
      <c r="C792">
        <v>59770</v>
      </c>
      <c r="D792">
        <v>42359</v>
      </c>
      <c r="E792">
        <v>20951</v>
      </c>
      <c r="F792">
        <v>80</v>
      </c>
      <c r="G792" t="s">
        <v>20</v>
      </c>
      <c r="H792" t="str">
        <f>IF(Grammys[[#This Row],[date]] &gt;= DATE(2022, 2, 1), "Grammys", "Grammys + TRA")</f>
        <v>Grammys + TRA</v>
      </c>
      <c r="I792">
        <f>_xlfn.XLOOKUP(Grammys[[#This Row],[date]], mobile_visits[date], mobile_visits[mobile_visitors], 0)</f>
        <v>0</v>
      </c>
    </row>
    <row r="793" spans="1:9" x14ac:dyDescent="0.2">
      <c r="A793" s="1">
        <v>43527</v>
      </c>
      <c r="B793">
        <v>33334</v>
      </c>
      <c r="C793">
        <v>49948</v>
      </c>
      <c r="D793">
        <v>34898</v>
      </c>
      <c r="E793">
        <v>17289</v>
      </c>
      <c r="F793">
        <v>84</v>
      </c>
      <c r="G793" t="s">
        <v>20</v>
      </c>
      <c r="H793" t="str">
        <f>IF(Grammys[[#This Row],[date]] &gt;= DATE(2022, 2, 1), "Grammys", "Grammys + TRA")</f>
        <v>Grammys + TRA</v>
      </c>
      <c r="I793">
        <f>_xlfn.XLOOKUP(Grammys[[#This Row],[date]], mobile_visits[date], mobile_visits[mobile_visitors], 0)</f>
        <v>0</v>
      </c>
    </row>
    <row r="794" spans="1:9" x14ac:dyDescent="0.2">
      <c r="A794" s="1">
        <v>43528</v>
      </c>
      <c r="B794">
        <v>27474</v>
      </c>
      <c r="C794">
        <v>41430</v>
      </c>
      <c r="D794">
        <v>28873</v>
      </c>
      <c r="E794">
        <v>15020</v>
      </c>
      <c r="F794">
        <v>85</v>
      </c>
      <c r="G794" t="s">
        <v>20</v>
      </c>
      <c r="H794" t="str">
        <f>IF(Grammys[[#This Row],[date]] &gt;= DATE(2022, 2, 1), "Grammys", "Grammys + TRA")</f>
        <v>Grammys + TRA</v>
      </c>
      <c r="I794">
        <f>_xlfn.XLOOKUP(Grammys[[#This Row],[date]], mobile_visits[date], mobile_visits[mobile_visitors], 0)</f>
        <v>0</v>
      </c>
    </row>
    <row r="795" spans="1:9" x14ac:dyDescent="0.2">
      <c r="A795" s="1">
        <v>43529</v>
      </c>
      <c r="B795">
        <v>23031</v>
      </c>
      <c r="C795">
        <v>35805</v>
      </c>
      <c r="D795">
        <v>24472</v>
      </c>
      <c r="E795">
        <v>12856</v>
      </c>
      <c r="F795">
        <v>82</v>
      </c>
      <c r="G795" t="s">
        <v>20</v>
      </c>
      <c r="H795" t="str">
        <f>IF(Grammys[[#This Row],[date]] &gt;= DATE(2022, 2, 1), "Grammys", "Grammys + TRA")</f>
        <v>Grammys + TRA</v>
      </c>
      <c r="I795">
        <f>_xlfn.XLOOKUP(Grammys[[#This Row],[date]], mobile_visits[date], mobile_visits[mobile_visitors], 0)</f>
        <v>0</v>
      </c>
    </row>
    <row r="796" spans="1:9" x14ac:dyDescent="0.2">
      <c r="A796" s="1">
        <v>43530</v>
      </c>
      <c r="B796">
        <v>23428</v>
      </c>
      <c r="C796">
        <v>34070</v>
      </c>
      <c r="D796">
        <v>23988</v>
      </c>
      <c r="E796">
        <v>12642</v>
      </c>
      <c r="F796">
        <v>76</v>
      </c>
      <c r="G796" t="s">
        <v>20</v>
      </c>
      <c r="H796" t="str">
        <f>IF(Grammys[[#This Row],[date]] &gt;= DATE(2022, 2, 1), "Grammys", "Grammys + TRA")</f>
        <v>Grammys + TRA</v>
      </c>
      <c r="I796">
        <f>_xlfn.XLOOKUP(Grammys[[#This Row],[date]], mobile_visits[date], mobile_visits[mobile_visitors], 0)</f>
        <v>0</v>
      </c>
    </row>
    <row r="797" spans="1:9" x14ac:dyDescent="0.2">
      <c r="A797" s="1">
        <v>43531</v>
      </c>
      <c r="B797">
        <v>28237</v>
      </c>
      <c r="C797">
        <v>40576</v>
      </c>
      <c r="D797">
        <v>29692</v>
      </c>
      <c r="E797">
        <v>13923</v>
      </c>
      <c r="F797">
        <v>103</v>
      </c>
      <c r="G797" t="s">
        <v>20</v>
      </c>
      <c r="H797" t="str">
        <f>IF(Grammys[[#This Row],[date]] &gt;= DATE(2022, 2, 1), "Grammys", "Grammys + TRA")</f>
        <v>Grammys + TRA</v>
      </c>
      <c r="I797">
        <f>_xlfn.XLOOKUP(Grammys[[#This Row],[date]], mobile_visits[date], mobile_visits[mobile_visitors], 0)</f>
        <v>0</v>
      </c>
    </row>
    <row r="798" spans="1:9" x14ac:dyDescent="0.2">
      <c r="A798" s="1">
        <v>43532</v>
      </c>
      <c r="B798">
        <v>26165</v>
      </c>
      <c r="C798">
        <v>36537</v>
      </c>
      <c r="D798">
        <v>27326</v>
      </c>
      <c r="E798">
        <v>13459</v>
      </c>
      <c r="F798">
        <v>86</v>
      </c>
      <c r="G798" t="s">
        <v>20</v>
      </c>
      <c r="H798" t="str">
        <f>IF(Grammys[[#This Row],[date]] &gt;= DATE(2022, 2, 1), "Grammys", "Grammys + TRA")</f>
        <v>Grammys + TRA</v>
      </c>
      <c r="I798">
        <f>_xlfn.XLOOKUP(Grammys[[#This Row],[date]], mobile_visits[date], mobile_visits[mobile_visitors], 0)</f>
        <v>0</v>
      </c>
    </row>
    <row r="799" spans="1:9" x14ac:dyDescent="0.2">
      <c r="A799" s="1">
        <v>43533</v>
      </c>
      <c r="B799">
        <v>24003</v>
      </c>
      <c r="C799">
        <v>34300</v>
      </c>
      <c r="D799">
        <v>25061</v>
      </c>
      <c r="E799">
        <v>12135</v>
      </c>
      <c r="F799">
        <v>77</v>
      </c>
      <c r="G799" t="s">
        <v>20</v>
      </c>
      <c r="H799" t="str">
        <f>IF(Grammys[[#This Row],[date]] &gt;= DATE(2022, 2, 1), "Grammys", "Grammys + TRA")</f>
        <v>Grammys + TRA</v>
      </c>
      <c r="I799">
        <f>_xlfn.XLOOKUP(Grammys[[#This Row],[date]], mobile_visits[date], mobile_visits[mobile_visitors], 0)</f>
        <v>0</v>
      </c>
    </row>
    <row r="800" spans="1:9" x14ac:dyDescent="0.2">
      <c r="A800" s="1">
        <v>43534</v>
      </c>
      <c r="B800">
        <v>38020</v>
      </c>
      <c r="C800">
        <v>54122</v>
      </c>
      <c r="D800">
        <v>39990</v>
      </c>
      <c r="E800">
        <v>18804</v>
      </c>
      <c r="F800">
        <v>73</v>
      </c>
      <c r="G800" t="s">
        <v>20</v>
      </c>
      <c r="H800" t="str">
        <f>IF(Grammys[[#This Row],[date]] &gt;= DATE(2022, 2, 1), "Grammys", "Grammys + TRA")</f>
        <v>Grammys + TRA</v>
      </c>
      <c r="I800">
        <f>_xlfn.XLOOKUP(Grammys[[#This Row],[date]], mobile_visits[date], mobile_visits[mobile_visitors], 0)</f>
        <v>0</v>
      </c>
    </row>
    <row r="801" spans="1:9" x14ac:dyDescent="0.2">
      <c r="A801" s="1">
        <v>43535</v>
      </c>
      <c r="B801">
        <v>26326</v>
      </c>
      <c r="C801">
        <v>39271</v>
      </c>
      <c r="D801">
        <v>27647</v>
      </c>
      <c r="E801">
        <v>13478</v>
      </c>
      <c r="F801">
        <v>82</v>
      </c>
      <c r="G801" t="s">
        <v>20</v>
      </c>
      <c r="H801" t="str">
        <f>IF(Grammys[[#This Row],[date]] &gt;= DATE(2022, 2, 1), "Grammys", "Grammys + TRA")</f>
        <v>Grammys + TRA</v>
      </c>
      <c r="I801">
        <f>_xlfn.XLOOKUP(Grammys[[#This Row],[date]], mobile_visits[date], mobile_visits[mobile_visitors], 0)</f>
        <v>0</v>
      </c>
    </row>
    <row r="802" spans="1:9" x14ac:dyDescent="0.2">
      <c r="A802" s="1">
        <v>43536</v>
      </c>
      <c r="B802">
        <v>21661</v>
      </c>
      <c r="C802">
        <v>32256</v>
      </c>
      <c r="D802">
        <v>22777</v>
      </c>
      <c r="E802">
        <v>11605</v>
      </c>
      <c r="F802">
        <v>79</v>
      </c>
      <c r="G802" t="s">
        <v>20</v>
      </c>
      <c r="H802" t="str">
        <f>IF(Grammys[[#This Row],[date]] &gt;= DATE(2022, 2, 1), "Grammys", "Grammys + TRA")</f>
        <v>Grammys + TRA</v>
      </c>
      <c r="I802">
        <f>_xlfn.XLOOKUP(Grammys[[#This Row],[date]], mobile_visits[date], mobile_visits[mobile_visitors], 0)</f>
        <v>0</v>
      </c>
    </row>
    <row r="803" spans="1:9" x14ac:dyDescent="0.2">
      <c r="A803" s="1">
        <v>43537</v>
      </c>
      <c r="B803">
        <v>23679</v>
      </c>
      <c r="C803">
        <v>33671</v>
      </c>
      <c r="D803">
        <v>25071</v>
      </c>
      <c r="E803">
        <v>11821</v>
      </c>
      <c r="F803">
        <v>77</v>
      </c>
      <c r="G803" t="s">
        <v>20</v>
      </c>
      <c r="H803" t="str">
        <f>IF(Grammys[[#This Row],[date]] &gt;= DATE(2022, 2, 1), "Grammys", "Grammys + TRA")</f>
        <v>Grammys + TRA</v>
      </c>
      <c r="I803">
        <f>_xlfn.XLOOKUP(Grammys[[#This Row],[date]], mobile_visits[date], mobile_visits[mobile_visitors], 0)</f>
        <v>0</v>
      </c>
    </row>
    <row r="804" spans="1:9" x14ac:dyDescent="0.2">
      <c r="A804" s="1">
        <v>43538</v>
      </c>
      <c r="B804">
        <v>28496</v>
      </c>
      <c r="C804">
        <v>38551</v>
      </c>
      <c r="D804">
        <v>29317</v>
      </c>
      <c r="E804">
        <v>14914</v>
      </c>
      <c r="F804">
        <v>70</v>
      </c>
      <c r="G804" t="s">
        <v>20</v>
      </c>
      <c r="H804" t="str">
        <f>IF(Grammys[[#This Row],[date]] &gt;= DATE(2022, 2, 1), "Grammys", "Grammys + TRA")</f>
        <v>Grammys + TRA</v>
      </c>
      <c r="I804">
        <f>_xlfn.XLOOKUP(Grammys[[#This Row],[date]], mobile_visits[date], mobile_visits[mobile_visitors], 0)</f>
        <v>0</v>
      </c>
    </row>
    <row r="805" spans="1:9" x14ac:dyDescent="0.2">
      <c r="A805" s="1">
        <v>43539</v>
      </c>
      <c r="B805">
        <v>21397</v>
      </c>
      <c r="C805">
        <v>30525</v>
      </c>
      <c r="D805">
        <v>22659</v>
      </c>
      <c r="E805">
        <v>11964</v>
      </c>
      <c r="F805">
        <v>72</v>
      </c>
      <c r="G805" t="s">
        <v>20</v>
      </c>
      <c r="H805" t="str">
        <f>IF(Grammys[[#This Row],[date]] &gt;= DATE(2022, 2, 1), "Grammys", "Grammys + TRA")</f>
        <v>Grammys + TRA</v>
      </c>
      <c r="I805">
        <f>_xlfn.XLOOKUP(Grammys[[#This Row],[date]], mobile_visits[date], mobile_visits[mobile_visitors], 0)</f>
        <v>0</v>
      </c>
    </row>
    <row r="806" spans="1:9" x14ac:dyDescent="0.2">
      <c r="A806" s="1">
        <v>43540</v>
      </c>
      <c r="B806">
        <v>20086</v>
      </c>
      <c r="C806">
        <v>28442</v>
      </c>
      <c r="D806">
        <v>21193</v>
      </c>
      <c r="E806">
        <v>11165</v>
      </c>
      <c r="F806">
        <v>64</v>
      </c>
      <c r="G806" t="s">
        <v>20</v>
      </c>
      <c r="H806" t="str">
        <f>IF(Grammys[[#This Row],[date]] &gt;= DATE(2022, 2, 1), "Grammys", "Grammys + TRA")</f>
        <v>Grammys + TRA</v>
      </c>
      <c r="I806">
        <f>_xlfn.XLOOKUP(Grammys[[#This Row],[date]], mobile_visits[date], mobile_visits[mobile_visitors], 0)</f>
        <v>0</v>
      </c>
    </row>
    <row r="807" spans="1:9" x14ac:dyDescent="0.2">
      <c r="A807" s="1">
        <v>43541</v>
      </c>
      <c r="B807">
        <v>17242</v>
      </c>
      <c r="C807">
        <v>25169</v>
      </c>
      <c r="D807">
        <v>18164</v>
      </c>
      <c r="E807">
        <v>9491</v>
      </c>
      <c r="F807">
        <v>74</v>
      </c>
      <c r="G807" t="s">
        <v>20</v>
      </c>
      <c r="H807" t="str">
        <f>IF(Grammys[[#This Row],[date]] &gt;= DATE(2022, 2, 1), "Grammys", "Grammys + TRA")</f>
        <v>Grammys + TRA</v>
      </c>
      <c r="I807">
        <f>_xlfn.XLOOKUP(Grammys[[#This Row],[date]], mobile_visits[date], mobile_visits[mobile_visitors], 0)</f>
        <v>0</v>
      </c>
    </row>
    <row r="808" spans="1:9" x14ac:dyDescent="0.2">
      <c r="A808" s="1">
        <v>43542</v>
      </c>
      <c r="B808">
        <v>19456</v>
      </c>
      <c r="C808">
        <v>28043</v>
      </c>
      <c r="D808">
        <v>20388</v>
      </c>
      <c r="E808">
        <v>10841</v>
      </c>
      <c r="F808">
        <v>76</v>
      </c>
      <c r="G808" t="s">
        <v>20</v>
      </c>
      <c r="H808" t="str">
        <f>IF(Grammys[[#This Row],[date]] &gt;= DATE(2022, 2, 1), "Grammys", "Grammys + TRA")</f>
        <v>Grammys + TRA</v>
      </c>
      <c r="I808">
        <f>_xlfn.XLOOKUP(Grammys[[#This Row],[date]], mobile_visits[date], mobile_visits[mobile_visitors], 0)</f>
        <v>0</v>
      </c>
    </row>
    <row r="809" spans="1:9" x14ac:dyDescent="0.2">
      <c r="A809" s="1">
        <v>43543</v>
      </c>
      <c r="B809">
        <v>20798</v>
      </c>
      <c r="C809">
        <v>29004</v>
      </c>
      <c r="D809">
        <v>21840</v>
      </c>
      <c r="E809">
        <v>11204</v>
      </c>
      <c r="F809">
        <v>71</v>
      </c>
      <c r="G809" t="s">
        <v>20</v>
      </c>
      <c r="H809" t="str">
        <f>IF(Grammys[[#This Row],[date]] &gt;= DATE(2022, 2, 1), "Grammys", "Grammys + TRA")</f>
        <v>Grammys + TRA</v>
      </c>
      <c r="I809">
        <f>_xlfn.XLOOKUP(Grammys[[#This Row],[date]], mobile_visits[date], mobile_visits[mobile_visitors], 0)</f>
        <v>0</v>
      </c>
    </row>
    <row r="810" spans="1:9" x14ac:dyDescent="0.2">
      <c r="A810" s="1">
        <v>43544</v>
      </c>
      <c r="B810">
        <v>20993</v>
      </c>
      <c r="C810">
        <v>29559</v>
      </c>
      <c r="D810">
        <v>21934</v>
      </c>
      <c r="E810">
        <v>11303</v>
      </c>
      <c r="F810">
        <v>72</v>
      </c>
      <c r="G810" t="s">
        <v>20</v>
      </c>
      <c r="H810" t="str">
        <f>IF(Grammys[[#This Row],[date]] &gt;= DATE(2022, 2, 1), "Grammys", "Grammys + TRA")</f>
        <v>Grammys + TRA</v>
      </c>
      <c r="I810">
        <f>_xlfn.XLOOKUP(Grammys[[#This Row],[date]], mobile_visits[date], mobile_visits[mobile_visitors], 0)</f>
        <v>0</v>
      </c>
    </row>
    <row r="811" spans="1:9" x14ac:dyDescent="0.2">
      <c r="A811" s="1">
        <v>43545</v>
      </c>
      <c r="B811">
        <v>17566</v>
      </c>
      <c r="C811">
        <v>24935</v>
      </c>
      <c r="D811">
        <v>18394</v>
      </c>
      <c r="E811">
        <v>9597</v>
      </c>
      <c r="F811">
        <v>75</v>
      </c>
      <c r="G811" t="s">
        <v>20</v>
      </c>
      <c r="H811" t="str">
        <f>IF(Grammys[[#This Row],[date]] &gt;= DATE(2022, 2, 1), "Grammys", "Grammys + TRA")</f>
        <v>Grammys + TRA</v>
      </c>
      <c r="I811">
        <f>_xlfn.XLOOKUP(Grammys[[#This Row],[date]], mobile_visits[date], mobile_visits[mobile_visitors], 0)</f>
        <v>0</v>
      </c>
    </row>
    <row r="812" spans="1:9" x14ac:dyDescent="0.2">
      <c r="A812" s="1">
        <v>43546</v>
      </c>
      <c r="B812">
        <v>16062</v>
      </c>
      <c r="C812">
        <v>22612</v>
      </c>
      <c r="D812">
        <v>16925</v>
      </c>
      <c r="E812">
        <v>9000</v>
      </c>
      <c r="F812">
        <v>69</v>
      </c>
      <c r="G812" t="s">
        <v>20</v>
      </c>
      <c r="H812" t="str">
        <f>IF(Grammys[[#This Row],[date]] &gt;= DATE(2022, 2, 1), "Grammys", "Grammys + TRA")</f>
        <v>Grammys + TRA</v>
      </c>
      <c r="I812">
        <f>_xlfn.XLOOKUP(Grammys[[#This Row],[date]], mobile_visits[date], mobile_visits[mobile_visitors], 0)</f>
        <v>0</v>
      </c>
    </row>
    <row r="813" spans="1:9" x14ac:dyDescent="0.2">
      <c r="A813" s="1">
        <v>43547</v>
      </c>
      <c r="B813">
        <v>15258</v>
      </c>
      <c r="C813">
        <v>21927</v>
      </c>
      <c r="D813">
        <v>16143</v>
      </c>
      <c r="E813">
        <v>8319</v>
      </c>
      <c r="F813">
        <v>69</v>
      </c>
      <c r="G813" t="s">
        <v>20</v>
      </c>
      <c r="H813" t="str">
        <f>IF(Grammys[[#This Row],[date]] &gt;= DATE(2022, 2, 1), "Grammys", "Grammys + TRA")</f>
        <v>Grammys + TRA</v>
      </c>
      <c r="I813">
        <f>_xlfn.XLOOKUP(Grammys[[#This Row],[date]], mobile_visits[date], mobile_visits[mobile_visitors], 0)</f>
        <v>0</v>
      </c>
    </row>
    <row r="814" spans="1:9" x14ac:dyDescent="0.2">
      <c r="A814" s="1">
        <v>43548</v>
      </c>
      <c r="B814">
        <v>15189</v>
      </c>
      <c r="C814">
        <v>21879</v>
      </c>
      <c r="D814">
        <v>16044</v>
      </c>
      <c r="E814">
        <v>8377</v>
      </c>
      <c r="F814">
        <v>74</v>
      </c>
      <c r="G814" t="s">
        <v>20</v>
      </c>
      <c r="H814" t="str">
        <f>IF(Grammys[[#This Row],[date]] &gt;= DATE(2022, 2, 1), "Grammys", "Grammys + TRA")</f>
        <v>Grammys + TRA</v>
      </c>
      <c r="I814">
        <f>_xlfn.XLOOKUP(Grammys[[#This Row],[date]], mobile_visits[date], mobile_visits[mobile_visitors], 0)</f>
        <v>0</v>
      </c>
    </row>
    <row r="815" spans="1:9" x14ac:dyDescent="0.2">
      <c r="A815" s="1">
        <v>43549</v>
      </c>
      <c r="B815">
        <v>16231</v>
      </c>
      <c r="C815">
        <v>23485</v>
      </c>
      <c r="D815">
        <v>17043</v>
      </c>
      <c r="E815">
        <v>9059</v>
      </c>
      <c r="F815">
        <v>76</v>
      </c>
      <c r="G815" t="s">
        <v>20</v>
      </c>
      <c r="H815" t="str">
        <f>IF(Grammys[[#This Row],[date]] &gt;= DATE(2022, 2, 1), "Grammys", "Grammys + TRA")</f>
        <v>Grammys + TRA</v>
      </c>
      <c r="I815">
        <f>_xlfn.XLOOKUP(Grammys[[#This Row],[date]], mobile_visits[date], mobile_visits[mobile_visitors], 0)</f>
        <v>0</v>
      </c>
    </row>
    <row r="816" spans="1:9" x14ac:dyDescent="0.2">
      <c r="A816" s="1">
        <v>43550</v>
      </c>
      <c r="B816">
        <v>19386</v>
      </c>
      <c r="C816">
        <v>26646</v>
      </c>
      <c r="D816">
        <v>20230</v>
      </c>
      <c r="E816">
        <v>9802</v>
      </c>
      <c r="F816">
        <v>92</v>
      </c>
      <c r="G816" t="s">
        <v>20</v>
      </c>
      <c r="H816" t="str">
        <f>IF(Grammys[[#This Row],[date]] &gt;= DATE(2022, 2, 1), "Grammys", "Grammys + TRA")</f>
        <v>Grammys + TRA</v>
      </c>
      <c r="I816">
        <f>_xlfn.XLOOKUP(Grammys[[#This Row],[date]], mobile_visits[date], mobile_visits[mobile_visitors], 0)</f>
        <v>0</v>
      </c>
    </row>
    <row r="817" spans="1:9" x14ac:dyDescent="0.2">
      <c r="A817" s="1">
        <v>43551</v>
      </c>
      <c r="B817">
        <v>17243</v>
      </c>
      <c r="C817">
        <v>24409</v>
      </c>
      <c r="D817">
        <v>18032</v>
      </c>
      <c r="E817">
        <v>9381</v>
      </c>
      <c r="F817">
        <v>76</v>
      </c>
      <c r="G817" t="s">
        <v>20</v>
      </c>
      <c r="H817" t="str">
        <f>IF(Grammys[[#This Row],[date]] &gt;= DATE(2022, 2, 1), "Grammys", "Grammys + TRA")</f>
        <v>Grammys + TRA</v>
      </c>
      <c r="I817">
        <f>_xlfn.XLOOKUP(Grammys[[#This Row],[date]], mobile_visits[date], mobile_visits[mobile_visitors], 0)</f>
        <v>0</v>
      </c>
    </row>
    <row r="818" spans="1:9" x14ac:dyDescent="0.2">
      <c r="A818" s="1">
        <v>43552</v>
      </c>
      <c r="B818">
        <v>18838</v>
      </c>
      <c r="C818">
        <v>26341</v>
      </c>
      <c r="D818">
        <v>19868</v>
      </c>
      <c r="E818">
        <v>9575</v>
      </c>
      <c r="F818">
        <v>68</v>
      </c>
      <c r="G818" t="s">
        <v>20</v>
      </c>
      <c r="H818" t="str">
        <f>IF(Grammys[[#This Row],[date]] &gt;= DATE(2022, 2, 1), "Grammys", "Grammys + TRA")</f>
        <v>Grammys + TRA</v>
      </c>
      <c r="I818">
        <f>_xlfn.XLOOKUP(Grammys[[#This Row],[date]], mobile_visits[date], mobile_visits[mobile_visitors], 0)</f>
        <v>0</v>
      </c>
    </row>
    <row r="819" spans="1:9" x14ac:dyDescent="0.2">
      <c r="A819" s="1">
        <v>43553</v>
      </c>
      <c r="B819">
        <v>16320</v>
      </c>
      <c r="C819">
        <v>23334</v>
      </c>
      <c r="D819">
        <v>17171</v>
      </c>
      <c r="E819">
        <v>9154</v>
      </c>
      <c r="F819">
        <v>68</v>
      </c>
      <c r="G819" t="s">
        <v>20</v>
      </c>
      <c r="H819" t="str">
        <f>IF(Grammys[[#This Row],[date]] &gt;= DATE(2022, 2, 1), "Grammys", "Grammys + TRA")</f>
        <v>Grammys + TRA</v>
      </c>
      <c r="I819">
        <f>_xlfn.XLOOKUP(Grammys[[#This Row],[date]], mobile_visits[date], mobile_visits[mobile_visitors], 0)</f>
        <v>0</v>
      </c>
    </row>
    <row r="820" spans="1:9" x14ac:dyDescent="0.2">
      <c r="A820" s="1">
        <v>43554</v>
      </c>
      <c r="B820">
        <v>14453</v>
      </c>
      <c r="C820">
        <v>20525</v>
      </c>
      <c r="D820">
        <v>15117</v>
      </c>
      <c r="E820">
        <v>7896</v>
      </c>
      <c r="F820">
        <v>70</v>
      </c>
      <c r="G820" t="s">
        <v>20</v>
      </c>
      <c r="H820" t="str">
        <f>IF(Grammys[[#This Row],[date]] &gt;= DATE(2022, 2, 1), "Grammys", "Grammys + TRA")</f>
        <v>Grammys + TRA</v>
      </c>
      <c r="I820">
        <f>_xlfn.XLOOKUP(Grammys[[#This Row],[date]], mobile_visits[date], mobile_visits[mobile_visitors], 0)</f>
        <v>0</v>
      </c>
    </row>
    <row r="821" spans="1:9" x14ac:dyDescent="0.2">
      <c r="A821" s="1">
        <v>43555</v>
      </c>
      <c r="B821">
        <v>16833</v>
      </c>
      <c r="C821">
        <v>23637</v>
      </c>
      <c r="D821">
        <v>17673</v>
      </c>
      <c r="E821">
        <v>9569</v>
      </c>
      <c r="F821">
        <v>66</v>
      </c>
      <c r="G821" t="s">
        <v>20</v>
      </c>
      <c r="H821" t="str">
        <f>IF(Grammys[[#This Row],[date]] &gt;= DATE(2022, 2, 1), "Grammys", "Grammys + TRA")</f>
        <v>Grammys + TRA</v>
      </c>
      <c r="I821">
        <f>_xlfn.XLOOKUP(Grammys[[#This Row],[date]], mobile_visits[date], mobile_visits[mobile_visitors], 0)</f>
        <v>0</v>
      </c>
    </row>
    <row r="822" spans="1:9" x14ac:dyDescent="0.2">
      <c r="A822" s="1">
        <v>43556</v>
      </c>
      <c r="B822">
        <v>21656</v>
      </c>
      <c r="C822">
        <v>30396</v>
      </c>
      <c r="D822">
        <v>22570</v>
      </c>
      <c r="E822">
        <v>13310</v>
      </c>
      <c r="F822">
        <v>64</v>
      </c>
      <c r="G822" t="s">
        <v>20</v>
      </c>
      <c r="H822" t="str">
        <f>IF(Grammys[[#This Row],[date]] &gt;= DATE(2022, 2, 1), "Grammys", "Grammys + TRA")</f>
        <v>Grammys + TRA</v>
      </c>
      <c r="I822">
        <f>_xlfn.XLOOKUP(Grammys[[#This Row],[date]], mobile_visits[date], mobile_visits[mobile_visitors], 0)</f>
        <v>0</v>
      </c>
    </row>
    <row r="823" spans="1:9" x14ac:dyDescent="0.2">
      <c r="A823" s="1">
        <v>43557</v>
      </c>
      <c r="B823">
        <v>17788</v>
      </c>
      <c r="C823">
        <v>25540</v>
      </c>
      <c r="D823">
        <v>18376</v>
      </c>
      <c r="E823">
        <v>10001</v>
      </c>
      <c r="F823">
        <v>74</v>
      </c>
      <c r="G823" t="s">
        <v>20</v>
      </c>
      <c r="H823" t="str">
        <f>IF(Grammys[[#This Row],[date]] &gt;= DATE(2022, 2, 1), "Grammys", "Grammys + TRA")</f>
        <v>Grammys + TRA</v>
      </c>
      <c r="I823">
        <f>_xlfn.XLOOKUP(Grammys[[#This Row],[date]], mobile_visits[date], mobile_visits[mobile_visitors], 0)</f>
        <v>0</v>
      </c>
    </row>
    <row r="824" spans="1:9" x14ac:dyDescent="0.2">
      <c r="A824" s="1">
        <v>43558</v>
      </c>
      <c r="B824">
        <v>16558</v>
      </c>
      <c r="C824">
        <v>23438</v>
      </c>
      <c r="D824">
        <v>17386</v>
      </c>
      <c r="E824">
        <v>9474</v>
      </c>
      <c r="F824">
        <v>69</v>
      </c>
      <c r="G824" t="s">
        <v>20</v>
      </c>
      <c r="H824" t="str">
        <f>IF(Grammys[[#This Row],[date]] &gt;= DATE(2022, 2, 1), "Grammys", "Grammys + TRA")</f>
        <v>Grammys + TRA</v>
      </c>
      <c r="I824">
        <f>_xlfn.XLOOKUP(Grammys[[#This Row],[date]], mobile_visits[date], mobile_visits[mobile_visitors], 0)</f>
        <v>0</v>
      </c>
    </row>
    <row r="825" spans="1:9" x14ac:dyDescent="0.2">
      <c r="A825" s="1">
        <v>43559</v>
      </c>
      <c r="B825">
        <v>18398</v>
      </c>
      <c r="C825">
        <v>25352</v>
      </c>
      <c r="D825">
        <v>19152</v>
      </c>
      <c r="E825">
        <v>10264</v>
      </c>
      <c r="F825">
        <v>64</v>
      </c>
      <c r="G825" t="s">
        <v>20</v>
      </c>
      <c r="H825" t="str">
        <f>IF(Grammys[[#This Row],[date]] &gt;= DATE(2022, 2, 1), "Grammys", "Grammys + TRA")</f>
        <v>Grammys + TRA</v>
      </c>
      <c r="I825">
        <f>_xlfn.XLOOKUP(Grammys[[#This Row],[date]], mobile_visits[date], mobile_visits[mobile_visitors], 0)</f>
        <v>0</v>
      </c>
    </row>
    <row r="826" spans="1:9" x14ac:dyDescent="0.2">
      <c r="A826" s="1">
        <v>43560</v>
      </c>
      <c r="B826">
        <v>16889</v>
      </c>
      <c r="C826">
        <v>24098</v>
      </c>
      <c r="D826">
        <v>17691</v>
      </c>
      <c r="E826">
        <v>9366</v>
      </c>
      <c r="F826">
        <v>70</v>
      </c>
      <c r="G826" t="s">
        <v>20</v>
      </c>
      <c r="H826" t="str">
        <f>IF(Grammys[[#This Row],[date]] &gt;= DATE(2022, 2, 1), "Grammys", "Grammys + TRA")</f>
        <v>Grammys + TRA</v>
      </c>
      <c r="I826">
        <f>_xlfn.XLOOKUP(Grammys[[#This Row],[date]], mobile_visits[date], mobile_visits[mobile_visitors], 0)</f>
        <v>0</v>
      </c>
    </row>
    <row r="827" spans="1:9" x14ac:dyDescent="0.2">
      <c r="A827" s="1">
        <v>43561</v>
      </c>
      <c r="B827">
        <v>13128</v>
      </c>
      <c r="C827">
        <v>19143</v>
      </c>
      <c r="D827">
        <v>13924</v>
      </c>
      <c r="E827">
        <v>7132</v>
      </c>
      <c r="F827">
        <v>73</v>
      </c>
      <c r="G827" t="s">
        <v>20</v>
      </c>
      <c r="H827" t="str">
        <f>IF(Grammys[[#This Row],[date]] &gt;= DATE(2022, 2, 1), "Grammys", "Grammys + TRA")</f>
        <v>Grammys + TRA</v>
      </c>
      <c r="I827">
        <f>_xlfn.XLOOKUP(Grammys[[#This Row],[date]], mobile_visits[date], mobile_visits[mobile_visitors], 0)</f>
        <v>0</v>
      </c>
    </row>
    <row r="828" spans="1:9" x14ac:dyDescent="0.2">
      <c r="A828" s="1">
        <v>43562</v>
      </c>
      <c r="B828">
        <v>15262</v>
      </c>
      <c r="C828">
        <v>21817</v>
      </c>
      <c r="D828">
        <v>16033</v>
      </c>
      <c r="E828">
        <v>8269</v>
      </c>
      <c r="F828">
        <v>75</v>
      </c>
      <c r="G828" t="s">
        <v>20</v>
      </c>
      <c r="H828" t="str">
        <f>IF(Grammys[[#This Row],[date]] &gt;= DATE(2022, 2, 1), "Grammys", "Grammys + TRA")</f>
        <v>Grammys + TRA</v>
      </c>
      <c r="I828">
        <f>_xlfn.XLOOKUP(Grammys[[#This Row],[date]], mobile_visits[date], mobile_visits[mobile_visitors], 0)</f>
        <v>0</v>
      </c>
    </row>
    <row r="829" spans="1:9" x14ac:dyDescent="0.2">
      <c r="A829" s="1">
        <v>43563</v>
      </c>
      <c r="B829">
        <v>16089</v>
      </c>
      <c r="C829">
        <v>23262</v>
      </c>
      <c r="D829">
        <v>16909</v>
      </c>
      <c r="E829">
        <v>9267</v>
      </c>
      <c r="F829">
        <v>80</v>
      </c>
      <c r="G829" t="s">
        <v>20</v>
      </c>
      <c r="H829" t="str">
        <f>IF(Grammys[[#This Row],[date]] &gt;= DATE(2022, 2, 1), "Grammys", "Grammys + TRA")</f>
        <v>Grammys + TRA</v>
      </c>
      <c r="I829">
        <f>_xlfn.XLOOKUP(Grammys[[#This Row],[date]], mobile_visits[date], mobile_visits[mobile_visitors], 0)</f>
        <v>0</v>
      </c>
    </row>
    <row r="830" spans="1:9" x14ac:dyDescent="0.2">
      <c r="A830" s="1">
        <v>43564</v>
      </c>
      <c r="B830">
        <v>15928</v>
      </c>
      <c r="C830">
        <v>23381</v>
      </c>
      <c r="D830">
        <v>16717</v>
      </c>
      <c r="E830">
        <v>8824</v>
      </c>
      <c r="F830">
        <v>77</v>
      </c>
      <c r="G830" t="s">
        <v>20</v>
      </c>
      <c r="H830" t="str">
        <f>IF(Grammys[[#This Row],[date]] &gt;= DATE(2022, 2, 1), "Grammys", "Grammys + TRA")</f>
        <v>Grammys + TRA</v>
      </c>
      <c r="I830">
        <f>_xlfn.XLOOKUP(Grammys[[#This Row],[date]], mobile_visits[date], mobile_visits[mobile_visitors], 0)</f>
        <v>0</v>
      </c>
    </row>
    <row r="831" spans="1:9" x14ac:dyDescent="0.2">
      <c r="A831" s="1">
        <v>43565</v>
      </c>
      <c r="B831">
        <v>14650</v>
      </c>
      <c r="C831">
        <v>21123</v>
      </c>
      <c r="D831">
        <v>15293</v>
      </c>
      <c r="E831">
        <v>8228</v>
      </c>
      <c r="F831">
        <v>82</v>
      </c>
      <c r="G831" t="s">
        <v>20</v>
      </c>
      <c r="H831" t="str">
        <f>IF(Grammys[[#This Row],[date]] &gt;= DATE(2022, 2, 1), "Grammys", "Grammys + TRA")</f>
        <v>Grammys + TRA</v>
      </c>
      <c r="I831">
        <f>_xlfn.XLOOKUP(Grammys[[#This Row],[date]], mobile_visits[date], mobile_visits[mobile_visitors], 0)</f>
        <v>0</v>
      </c>
    </row>
    <row r="832" spans="1:9" x14ac:dyDescent="0.2">
      <c r="A832" s="1">
        <v>43566</v>
      </c>
      <c r="B832">
        <v>15700</v>
      </c>
      <c r="C832">
        <v>23201</v>
      </c>
      <c r="D832">
        <v>16598</v>
      </c>
      <c r="E832">
        <v>8993</v>
      </c>
      <c r="F832">
        <v>77</v>
      </c>
      <c r="G832" t="s">
        <v>20</v>
      </c>
      <c r="H832" t="str">
        <f>IF(Grammys[[#This Row],[date]] &gt;= DATE(2022, 2, 1), "Grammys", "Grammys + TRA")</f>
        <v>Grammys + TRA</v>
      </c>
      <c r="I832">
        <f>_xlfn.XLOOKUP(Grammys[[#This Row],[date]], mobile_visits[date], mobile_visits[mobile_visitors], 0)</f>
        <v>0</v>
      </c>
    </row>
    <row r="833" spans="1:9" x14ac:dyDescent="0.2">
      <c r="A833" s="1">
        <v>43567</v>
      </c>
      <c r="B833">
        <v>24210</v>
      </c>
      <c r="C833">
        <v>31699</v>
      </c>
      <c r="D833">
        <v>25367</v>
      </c>
      <c r="E833">
        <v>11286</v>
      </c>
      <c r="F833">
        <v>72</v>
      </c>
      <c r="G833" t="s">
        <v>20</v>
      </c>
      <c r="H833" t="str">
        <f>IF(Grammys[[#This Row],[date]] &gt;= DATE(2022, 2, 1), "Grammys", "Grammys + TRA")</f>
        <v>Grammys + TRA</v>
      </c>
      <c r="I833">
        <f>_xlfn.XLOOKUP(Grammys[[#This Row],[date]], mobile_visits[date], mobile_visits[mobile_visitors], 0)</f>
        <v>0</v>
      </c>
    </row>
    <row r="834" spans="1:9" x14ac:dyDescent="0.2">
      <c r="A834" s="1">
        <v>43568</v>
      </c>
      <c r="B834">
        <v>24621</v>
      </c>
      <c r="C834">
        <v>31514</v>
      </c>
      <c r="D834">
        <v>25851</v>
      </c>
      <c r="E834">
        <v>11517</v>
      </c>
      <c r="F834">
        <v>59</v>
      </c>
      <c r="G834" t="s">
        <v>20</v>
      </c>
      <c r="H834" t="str">
        <f>IF(Grammys[[#This Row],[date]] &gt;= DATE(2022, 2, 1), "Grammys", "Grammys + TRA")</f>
        <v>Grammys + TRA</v>
      </c>
      <c r="I834">
        <f>_xlfn.XLOOKUP(Grammys[[#This Row],[date]], mobile_visits[date], mobile_visits[mobile_visitors], 0)</f>
        <v>0</v>
      </c>
    </row>
    <row r="835" spans="1:9" x14ac:dyDescent="0.2">
      <c r="A835" s="1">
        <v>43569</v>
      </c>
      <c r="B835">
        <v>18479</v>
      </c>
      <c r="C835">
        <v>25283</v>
      </c>
      <c r="D835">
        <v>19590</v>
      </c>
      <c r="E835">
        <v>9684</v>
      </c>
      <c r="F835">
        <v>70</v>
      </c>
      <c r="G835" t="s">
        <v>20</v>
      </c>
      <c r="H835" t="str">
        <f>IF(Grammys[[#This Row],[date]] &gt;= DATE(2022, 2, 1), "Grammys", "Grammys + TRA")</f>
        <v>Grammys + TRA</v>
      </c>
      <c r="I835">
        <f>_xlfn.XLOOKUP(Grammys[[#This Row],[date]], mobile_visits[date], mobile_visits[mobile_visitors], 0)</f>
        <v>0</v>
      </c>
    </row>
    <row r="836" spans="1:9" x14ac:dyDescent="0.2">
      <c r="A836" s="1">
        <v>43570</v>
      </c>
      <c r="B836">
        <v>14331</v>
      </c>
      <c r="C836">
        <v>20204</v>
      </c>
      <c r="D836">
        <v>15097</v>
      </c>
      <c r="E836">
        <v>8106</v>
      </c>
      <c r="F836">
        <v>74</v>
      </c>
      <c r="G836" t="s">
        <v>20</v>
      </c>
      <c r="H836" t="str">
        <f>IF(Grammys[[#This Row],[date]] &gt;= DATE(2022, 2, 1), "Grammys", "Grammys + TRA")</f>
        <v>Grammys + TRA</v>
      </c>
      <c r="I836">
        <f>_xlfn.XLOOKUP(Grammys[[#This Row],[date]], mobile_visits[date], mobile_visits[mobile_visitors], 0)</f>
        <v>0</v>
      </c>
    </row>
    <row r="837" spans="1:9" x14ac:dyDescent="0.2">
      <c r="A837" s="1">
        <v>43571</v>
      </c>
      <c r="B837">
        <v>15013</v>
      </c>
      <c r="C837">
        <v>21654</v>
      </c>
      <c r="D837">
        <v>15921</v>
      </c>
      <c r="E837">
        <v>8217</v>
      </c>
      <c r="F837">
        <v>75</v>
      </c>
      <c r="G837" t="s">
        <v>20</v>
      </c>
      <c r="H837" t="str">
        <f>IF(Grammys[[#This Row],[date]] &gt;= DATE(2022, 2, 1), "Grammys", "Grammys + TRA")</f>
        <v>Grammys + TRA</v>
      </c>
      <c r="I837">
        <f>_xlfn.XLOOKUP(Grammys[[#This Row],[date]], mobile_visits[date], mobile_visits[mobile_visitors], 0)</f>
        <v>0</v>
      </c>
    </row>
    <row r="838" spans="1:9" x14ac:dyDescent="0.2">
      <c r="A838" s="1">
        <v>43572</v>
      </c>
      <c r="B838">
        <v>15252</v>
      </c>
      <c r="C838">
        <v>21371</v>
      </c>
      <c r="D838">
        <v>16222</v>
      </c>
      <c r="E838">
        <v>8360</v>
      </c>
      <c r="F838">
        <v>72</v>
      </c>
      <c r="G838" t="s">
        <v>20</v>
      </c>
      <c r="H838" t="str">
        <f>IF(Grammys[[#This Row],[date]] &gt;= DATE(2022, 2, 1), "Grammys", "Grammys + TRA")</f>
        <v>Grammys + TRA</v>
      </c>
      <c r="I838">
        <f>_xlfn.XLOOKUP(Grammys[[#This Row],[date]], mobile_visits[date], mobile_visits[mobile_visitors], 0)</f>
        <v>0</v>
      </c>
    </row>
    <row r="839" spans="1:9" x14ac:dyDescent="0.2">
      <c r="A839" s="1">
        <v>43573</v>
      </c>
      <c r="B839">
        <v>15096</v>
      </c>
      <c r="C839">
        <v>20669</v>
      </c>
      <c r="D839">
        <v>15756</v>
      </c>
      <c r="E839">
        <v>8175</v>
      </c>
      <c r="F839">
        <v>72</v>
      </c>
      <c r="G839" t="s">
        <v>20</v>
      </c>
      <c r="H839" t="str">
        <f>IF(Grammys[[#This Row],[date]] &gt;= DATE(2022, 2, 1), "Grammys", "Grammys + TRA")</f>
        <v>Grammys + TRA</v>
      </c>
      <c r="I839">
        <f>_xlfn.XLOOKUP(Grammys[[#This Row],[date]], mobile_visits[date], mobile_visits[mobile_visitors], 0)</f>
        <v>0</v>
      </c>
    </row>
    <row r="840" spans="1:9" x14ac:dyDescent="0.2">
      <c r="A840" s="1">
        <v>43574</v>
      </c>
      <c r="B840">
        <v>13852</v>
      </c>
      <c r="C840">
        <v>18967</v>
      </c>
      <c r="D840">
        <v>14408</v>
      </c>
      <c r="E840">
        <v>7380</v>
      </c>
      <c r="F840">
        <v>73</v>
      </c>
      <c r="G840" t="s">
        <v>20</v>
      </c>
      <c r="H840" t="str">
        <f>IF(Grammys[[#This Row],[date]] &gt;= DATE(2022, 2, 1), "Grammys", "Grammys + TRA")</f>
        <v>Grammys + TRA</v>
      </c>
      <c r="I840">
        <f>_xlfn.XLOOKUP(Grammys[[#This Row],[date]], mobile_visits[date], mobile_visits[mobile_visitors], 0)</f>
        <v>0</v>
      </c>
    </row>
    <row r="841" spans="1:9" x14ac:dyDescent="0.2">
      <c r="A841" s="1">
        <v>43575</v>
      </c>
      <c r="B841">
        <v>13312</v>
      </c>
      <c r="C841">
        <v>18226</v>
      </c>
      <c r="D841">
        <v>13862</v>
      </c>
      <c r="E841">
        <v>6961</v>
      </c>
      <c r="F841">
        <v>70</v>
      </c>
      <c r="G841" t="s">
        <v>20</v>
      </c>
      <c r="H841" t="str">
        <f>IF(Grammys[[#This Row],[date]] &gt;= DATE(2022, 2, 1), "Grammys", "Grammys + TRA")</f>
        <v>Grammys + TRA</v>
      </c>
      <c r="I841">
        <f>_xlfn.XLOOKUP(Grammys[[#This Row],[date]], mobile_visits[date], mobile_visits[mobile_visitors], 0)</f>
        <v>0</v>
      </c>
    </row>
    <row r="842" spans="1:9" x14ac:dyDescent="0.2">
      <c r="A842" s="1">
        <v>43576</v>
      </c>
      <c r="B842">
        <v>28803</v>
      </c>
      <c r="C842">
        <v>40847</v>
      </c>
      <c r="D842">
        <v>30229</v>
      </c>
      <c r="E842">
        <v>11451</v>
      </c>
      <c r="F842">
        <v>74</v>
      </c>
      <c r="G842" t="s">
        <v>20</v>
      </c>
      <c r="H842" t="str">
        <f>IF(Grammys[[#This Row],[date]] &gt;= DATE(2022, 2, 1), "Grammys", "Grammys + TRA")</f>
        <v>Grammys + TRA</v>
      </c>
      <c r="I842">
        <f>_xlfn.XLOOKUP(Grammys[[#This Row],[date]], mobile_visits[date], mobile_visits[mobile_visitors], 0)</f>
        <v>0</v>
      </c>
    </row>
    <row r="843" spans="1:9" x14ac:dyDescent="0.2">
      <c r="A843" s="1">
        <v>43577</v>
      </c>
      <c r="B843">
        <v>20577</v>
      </c>
      <c r="C843">
        <v>28934</v>
      </c>
      <c r="D843">
        <v>21593</v>
      </c>
      <c r="E843">
        <v>10084</v>
      </c>
      <c r="F843">
        <v>85</v>
      </c>
      <c r="G843" t="s">
        <v>20</v>
      </c>
      <c r="H843" t="str">
        <f>IF(Grammys[[#This Row],[date]] &gt;= DATE(2022, 2, 1), "Grammys", "Grammys + TRA")</f>
        <v>Grammys + TRA</v>
      </c>
      <c r="I843">
        <f>_xlfn.XLOOKUP(Grammys[[#This Row],[date]], mobile_visits[date], mobile_visits[mobile_visitors], 0)</f>
        <v>0</v>
      </c>
    </row>
    <row r="844" spans="1:9" x14ac:dyDescent="0.2">
      <c r="A844" s="1">
        <v>43578</v>
      </c>
      <c r="B844">
        <v>17208</v>
      </c>
      <c r="C844">
        <v>24969</v>
      </c>
      <c r="D844">
        <v>18235</v>
      </c>
      <c r="E844">
        <v>8961</v>
      </c>
      <c r="F844">
        <v>100</v>
      </c>
      <c r="G844" t="s">
        <v>20</v>
      </c>
      <c r="H844" t="str">
        <f>IF(Grammys[[#This Row],[date]] &gt;= DATE(2022, 2, 1), "Grammys", "Grammys + TRA")</f>
        <v>Grammys + TRA</v>
      </c>
      <c r="I844">
        <f>_xlfn.XLOOKUP(Grammys[[#This Row],[date]], mobile_visits[date], mobile_visits[mobile_visitors], 0)</f>
        <v>0</v>
      </c>
    </row>
    <row r="845" spans="1:9" x14ac:dyDescent="0.2">
      <c r="A845" s="1">
        <v>43579</v>
      </c>
      <c r="B845">
        <v>13534</v>
      </c>
      <c r="C845">
        <v>19797</v>
      </c>
      <c r="D845">
        <v>14350</v>
      </c>
      <c r="E845">
        <v>7540</v>
      </c>
      <c r="F845">
        <v>90</v>
      </c>
      <c r="G845" t="s">
        <v>20</v>
      </c>
      <c r="H845" t="str">
        <f>IF(Grammys[[#This Row],[date]] &gt;= DATE(2022, 2, 1), "Grammys", "Grammys + TRA")</f>
        <v>Grammys + TRA</v>
      </c>
      <c r="I845">
        <f>_xlfn.XLOOKUP(Grammys[[#This Row],[date]], mobile_visits[date], mobile_visits[mobile_visitors], 0)</f>
        <v>0</v>
      </c>
    </row>
    <row r="846" spans="1:9" x14ac:dyDescent="0.2">
      <c r="A846" s="1">
        <v>43580</v>
      </c>
      <c r="B846">
        <v>12814</v>
      </c>
      <c r="C846">
        <v>18761</v>
      </c>
      <c r="D846">
        <v>13471</v>
      </c>
      <c r="E846">
        <v>7453</v>
      </c>
      <c r="F846">
        <v>83</v>
      </c>
      <c r="G846" t="s">
        <v>20</v>
      </c>
      <c r="H846" t="str">
        <f>IF(Grammys[[#This Row],[date]] &gt;= DATE(2022, 2, 1), "Grammys", "Grammys + TRA")</f>
        <v>Grammys + TRA</v>
      </c>
      <c r="I846">
        <f>_xlfn.XLOOKUP(Grammys[[#This Row],[date]], mobile_visits[date], mobile_visits[mobile_visitors], 0)</f>
        <v>0</v>
      </c>
    </row>
    <row r="847" spans="1:9" x14ac:dyDescent="0.2">
      <c r="A847" s="1">
        <v>43581</v>
      </c>
      <c r="B847">
        <v>12365</v>
      </c>
      <c r="C847">
        <v>17882</v>
      </c>
      <c r="D847">
        <v>12967</v>
      </c>
      <c r="E847">
        <v>7167</v>
      </c>
      <c r="F847">
        <v>83</v>
      </c>
      <c r="G847" t="s">
        <v>20</v>
      </c>
      <c r="H847" t="str">
        <f>IF(Grammys[[#This Row],[date]] &gt;= DATE(2022, 2, 1), "Grammys", "Grammys + TRA")</f>
        <v>Grammys + TRA</v>
      </c>
      <c r="I847">
        <f>_xlfn.XLOOKUP(Grammys[[#This Row],[date]], mobile_visits[date], mobile_visits[mobile_visitors], 0)</f>
        <v>0</v>
      </c>
    </row>
    <row r="848" spans="1:9" x14ac:dyDescent="0.2">
      <c r="A848" s="1">
        <v>43582</v>
      </c>
      <c r="B848">
        <v>10679</v>
      </c>
      <c r="C848">
        <v>15677</v>
      </c>
      <c r="D848">
        <v>11335</v>
      </c>
      <c r="E848">
        <v>6221</v>
      </c>
      <c r="F848">
        <v>80</v>
      </c>
      <c r="G848" t="s">
        <v>20</v>
      </c>
      <c r="H848" t="str">
        <f>IF(Grammys[[#This Row],[date]] &gt;= DATE(2022, 2, 1), "Grammys", "Grammys + TRA")</f>
        <v>Grammys + TRA</v>
      </c>
      <c r="I848">
        <f>_xlfn.XLOOKUP(Grammys[[#This Row],[date]], mobile_visits[date], mobile_visits[mobile_visitors], 0)</f>
        <v>0</v>
      </c>
    </row>
    <row r="849" spans="1:9" x14ac:dyDescent="0.2">
      <c r="A849" s="1">
        <v>43583</v>
      </c>
      <c r="B849">
        <v>10767</v>
      </c>
      <c r="C849">
        <v>15946</v>
      </c>
      <c r="D849">
        <v>11292</v>
      </c>
      <c r="E849">
        <v>6060</v>
      </c>
      <c r="F849">
        <v>84</v>
      </c>
      <c r="G849" t="s">
        <v>20</v>
      </c>
      <c r="H849" t="str">
        <f>IF(Grammys[[#This Row],[date]] &gt;= DATE(2022, 2, 1), "Grammys", "Grammys + TRA")</f>
        <v>Grammys + TRA</v>
      </c>
      <c r="I849">
        <f>_xlfn.XLOOKUP(Grammys[[#This Row],[date]], mobile_visits[date], mobile_visits[mobile_visitors], 0)</f>
        <v>0</v>
      </c>
    </row>
    <row r="850" spans="1:9" x14ac:dyDescent="0.2">
      <c r="A850" s="1">
        <v>43584</v>
      </c>
      <c r="B850">
        <v>12443</v>
      </c>
      <c r="C850">
        <v>18374</v>
      </c>
      <c r="D850">
        <v>13305</v>
      </c>
      <c r="E850">
        <v>7111</v>
      </c>
      <c r="F850">
        <v>79</v>
      </c>
      <c r="G850" t="s">
        <v>20</v>
      </c>
      <c r="H850" t="str">
        <f>IF(Grammys[[#This Row],[date]] &gt;= DATE(2022, 2, 1), "Grammys", "Grammys + TRA")</f>
        <v>Grammys + TRA</v>
      </c>
      <c r="I850">
        <f>_xlfn.XLOOKUP(Grammys[[#This Row],[date]], mobile_visits[date], mobile_visits[mobile_visitors], 0)</f>
        <v>0</v>
      </c>
    </row>
    <row r="851" spans="1:9" x14ac:dyDescent="0.2">
      <c r="A851" s="1">
        <v>43585</v>
      </c>
      <c r="B851">
        <v>12067</v>
      </c>
      <c r="C851">
        <v>17350</v>
      </c>
      <c r="D851">
        <v>12641</v>
      </c>
      <c r="E851">
        <v>6988</v>
      </c>
      <c r="F851">
        <v>77</v>
      </c>
      <c r="G851" t="s">
        <v>20</v>
      </c>
      <c r="H851" t="str">
        <f>IF(Grammys[[#This Row],[date]] &gt;= DATE(2022, 2, 1), "Grammys", "Grammys + TRA")</f>
        <v>Grammys + TRA</v>
      </c>
      <c r="I851">
        <f>_xlfn.XLOOKUP(Grammys[[#This Row],[date]], mobile_visits[date], mobile_visits[mobile_visitors], 0)</f>
        <v>0</v>
      </c>
    </row>
    <row r="852" spans="1:9" x14ac:dyDescent="0.2">
      <c r="A852" s="1">
        <v>43586</v>
      </c>
      <c r="B852">
        <v>14844</v>
      </c>
      <c r="C852">
        <v>21638</v>
      </c>
      <c r="D852">
        <v>15593</v>
      </c>
      <c r="E852">
        <v>8499</v>
      </c>
      <c r="F852">
        <v>75</v>
      </c>
      <c r="G852" t="s">
        <v>20</v>
      </c>
      <c r="H852" t="str">
        <f>IF(Grammys[[#This Row],[date]] &gt;= DATE(2022, 2, 1), "Grammys", "Grammys + TRA")</f>
        <v>Grammys + TRA</v>
      </c>
      <c r="I852">
        <f>_xlfn.XLOOKUP(Grammys[[#This Row],[date]], mobile_visits[date], mobile_visits[mobile_visitors], 0)</f>
        <v>0</v>
      </c>
    </row>
    <row r="853" spans="1:9" x14ac:dyDescent="0.2">
      <c r="A853" s="1">
        <v>43587</v>
      </c>
      <c r="B853">
        <v>15210</v>
      </c>
      <c r="C853">
        <v>22163</v>
      </c>
      <c r="D853">
        <v>16028</v>
      </c>
      <c r="E853">
        <v>8672</v>
      </c>
      <c r="F853">
        <v>73</v>
      </c>
      <c r="G853" t="s">
        <v>20</v>
      </c>
      <c r="H853" t="str">
        <f>IF(Grammys[[#This Row],[date]] &gt;= DATE(2022, 2, 1), "Grammys", "Grammys + TRA")</f>
        <v>Grammys + TRA</v>
      </c>
      <c r="I853">
        <f>_xlfn.XLOOKUP(Grammys[[#This Row],[date]], mobile_visits[date], mobile_visits[mobile_visitors], 0)</f>
        <v>0</v>
      </c>
    </row>
    <row r="854" spans="1:9" x14ac:dyDescent="0.2">
      <c r="A854" s="1">
        <v>43588</v>
      </c>
      <c r="B854">
        <v>14414</v>
      </c>
      <c r="C854">
        <v>20158</v>
      </c>
      <c r="D854">
        <v>15074</v>
      </c>
      <c r="E854">
        <v>8418</v>
      </c>
      <c r="F854">
        <v>64</v>
      </c>
      <c r="G854" t="s">
        <v>20</v>
      </c>
      <c r="H854" t="str">
        <f>IF(Grammys[[#This Row],[date]] &gt;= DATE(2022, 2, 1), "Grammys", "Grammys + TRA")</f>
        <v>Grammys + TRA</v>
      </c>
      <c r="I854">
        <f>_xlfn.XLOOKUP(Grammys[[#This Row],[date]], mobile_visits[date], mobile_visits[mobile_visitors], 0)</f>
        <v>0</v>
      </c>
    </row>
    <row r="855" spans="1:9" x14ac:dyDescent="0.2">
      <c r="A855" s="1">
        <v>43589</v>
      </c>
      <c r="B855">
        <v>20138</v>
      </c>
      <c r="C855">
        <v>28287</v>
      </c>
      <c r="D855">
        <v>21140</v>
      </c>
      <c r="E855">
        <v>13744</v>
      </c>
      <c r="F855">
        <v>54</v>
      </c>
      <c r="G855" t="s">
        <v>20</v>
      </c>
      <c r="H855" t="str">
        <f>IF(Grammys[[#This Row],[date]] &gt;= DATE(2022, 2, 1), "Grammys", "Grammys + TRA")</f>
        <v>Grammys + TRA</v>
      </c>
      <c r="I855">
        <f>_xlfn.XLOOKUP(Grammys[[#This Row],[date]], mobile_visits[date], mobile_visits[mobile_visitors], 0)</f>
        <v>0</v>
      </c>
    </row>
    <row r="856" spans="1:9" x14ac:dyDescent="0.2">
      <c r="A856" s="1">
        <v>43590</v>
      </c>
      <c r="B856">
        <v>14305</v>
      </c>
      <c r="C856">
        <v>20290</v>
      </c>
      <c r="D856">
        <v>15040</v>
      </c>
      <c r="E856">
        <v>7537</v>
      </c>
      <c r="F856">
        <v>67</v>
      </c>
      <c r="G856" t="s">
        <v>20</v>
      </c>
      <c r="H856" t="str">
        <f>IF(Grammys[[#This Row],[date]] &gt;= DATE(2022, 2, 1), "Grammys", "Grammys + TRA")</f>
        <v>Grammys + TRA</v>
      </c>
      <c r="I856">
        <f>_xlfn.XLOOKUP(Grammys[[#This Row],[date]], mobile_visits[date], mobile_visits[mobile_visitors], 0)</f>
        <v>0</v>
      </c>
    </row>
    <row r="857" spans="1:9" x14ac:dyDescent="0.2">
      <c r="A857" s="1">
        <v>43591</v>
      </c>
      <c r="B857">
        <v>14208</v>
      </c>
      <c r="C857">
        <v>20349</v>
      </c>
      <c r="D857">
        <v>14838</v>
      </c>
      <c r="E857">
        <v>7882</v>
      </c>
      <c r="F857">
        <v>75</v>
      </c>
      <c r="G857" t="s">
        <v>20</v>
      </c>
      <c r="H857" t="str">
        <f>IF(Grammys[[#This Row],[date]] &gt;= DATE(2022, 2, 1), "Grammys", "Grammys + TRA")</f>
        <v>Grammys + TRA</v>
      </c>
      <c r="I857">
        <f>_xlfn.XLOOKUP(Grammys[[#This Row],[date]], mobile_visits[date], mobile_visits[mobile_visitors], 0)</f>
        <v>0</v>
      </c>
    </row>
    <row r="858" spans="1:9" x14ac:dyDescent="0.2">
      <c r="A858" s="1">
        <v>43592</v>
      </c>
      <c r="B858">
        <v>12787</v>
      </c>
      <c r="C858">
        <v>18378</v>
      </c>
      <c r="D858">
        <v>13436</v>
      </c>
      <c r="E858">
        <v>7307</v>
      </c>
      <c r="F858">
        <v>75</v>
      </c>
      <c r="G858" t="s">
        <v>20</v>
      </c>
      <c r="H858" t="str">
        <f>IF(Grammys[[#This Row],[date]] &gt;= DATE(2022, 2, 1), "Grammys", "Grammys + TRA")</f>
        <v>Grammys + TRA</v>
      </c>
      <c r="I858">
        <f>_xlfn.XLOOKUP(Grammys[[#This Row],[date]], mobile_visits[date], mobile_visits[mobile_visitors], 0)</f>
        <v>0</v>
      </c>
    </row>
    <row r="859" spans="1:9" x14ac:dyDescent="0.2">
      <c r="A859" s="1">
        <v>43593</v>
      </c>
      <c r="B859">
        <v>11946</v>
      </c>
      <c r="C859">
        <v>17483</v>
      </c>
      <c r="D859">
        <v>12736</v>
      </c>
      <c r="E859">
        <v>6925</v>
      </c>
      <c r="F859">
        <v>77</v>
      </c>
      <c r="G859" t="s">
        <v>20</v>
      </c>
      <c r="H859" t="str">
        <f>IF(Grammys[[#This Row],[date]] &gt;= DATE(2022, 2, 1), "Grammys", "Grammys + TRA")</f>
        <v>Grammys + TRA</v>
      </c>
      <c r="I859">
        <f>_xlfn.XLOOKUP(Grammys[[#This Row],[date]], mobile_visits[date], mobile_visits[mobile_visitors], 0)</f>
        <v>0</v>
      </c>
    </row>
    <row r="860" spans="1:9" x14ac:dyDescent="0.2">
      <c r="A860" s="1">
        <v>43594</v>
      </c>
      <c r="B860">
        <v>12415</v>
      </c>
      <c r="C860">
        <v>18017</v>
      </c>
      <c r="D860">
        <v>12926</v>
      </c>
      <c r="E860">
        <v>6622</v>
      </c>
      <c r="F860">
        <v>79</v>
      </c>
      <c r="G860" t="s">
        <v>20</v>
      </c>
      <c r="H860" t="str">
        <f>IF(Grammys[[#This Row],[date]] &gt;= DATE(2022, 2, 1), "Grammys", "Grammys + TRA")</f>
        <v>Grammys + TRA</v>
      </c>
      <c r="I860">
        <f>_xlfn.XLOOKUP(Grammys[[#This Row],[date]], mobile_visits[date], mobile_visits[mobile_visitors], 0)</f>
        <v>0</v>
      </c>
    </row>
    <row r="861" spans="1:9" x14ac:dyDescent="0.2">
      <c r="A861" s="1">
        <v>43595</v>
      </c>
      <c r="B861">
        <v>11853</v>
      </c>
      <c r="C861">
        <v>16821</v>
      </c>
      <c r="D861">
        <v>12402</v>
      </c>
      <c r="E861">
        <v>6412</v>
      </c>
      <c r="F861">
        <v>79</v>
      </c>
      <c r="G861" t="s">
        <v>20</v>
      </c>
      <c r="H861" t="str">
        <f>IF(Grammys[[#This Row],[date]] &gt;= DATE(2022, 2, 1), "Grammys", "Grammys + TRA")</f>
        <v>Grammys + TRA</v>
      </c>
      <c r="I861">
        <f>_xlfn.XLOOKUP(Grammys[[#This Row],[date]], mobile_visits[date], mobile_visits[mobile_visitors], 0)</f>
        <v>0</v>
      </c>
    </row>
    <row r="862" spans="1:9" x14ac:dyDescent="0.2">
      <c r="A862" s="1">
        <v>43596</v>
      </c>
      <c r="B862">
        <v>10256</v>
      </c>
      <c r="C862">
        <v>14932</v>
      </c>
      <c r="D862">
        <v>10865</v>
      </c>
      <c r="E862">
        <v>5946</v>
      </c>
      <c r="F862">
        <v>73</v>
      </c>
      <c r="G862" t="s">
        <v>20</v>
      </c>
      <c r="H862" t="str">
        <f>IF(Grammys[[#This Row],[date]] &gt;= DATE(2022, 2, 1), "Grammys", "Grammys + TRA")</f>
        <v>Grammys + TRA</v>
      </c>
      <c r="I862">
        <f>_xlfn.XLOOKUP(Grammys[[#This Row],[date]], mobile_visits[date], mobile_visits[mobile_visitors], 0)</f>
        <v>0</v>
      </c>
    </row>
    <row r="863" spans="1:9" x14ac:dyDescent="0.2">
      <c r="A863" s="1">
        <v>43597</v>
      </c>
      <c r="B863">
        <v>9656</v>
      </c>
      <c r="C863">
        <v>14281</v>
      </c>
      <c r="D863">
        <v>10297</v>
      </c>
      <c r="E863">
        <v>5692</v>
      </c>
      <c r="F863">
        <v>77</v>
      </c>
      <c r="G863" t="s">
        <v>20</v>
      </c>
      <c r="H863" t="str">
        <f>IF(Grammys[[#This Row],[date]] &gt;= DATE(2022, 2, 1), "Grammys", "Grammys + TRA")</f>
        <v>Grammys + TRA</v>
      </c>
      <c r="I863">
        <f>_xlfn.XLOOKUP(Grammys[[#This Row],[date]], mobile_visits[date], mobile_visits[mobile_visitors], 0)</f>
        <v>0</v>
      </c>
    </row>
    <row r="864" spans="1:9" x14ac:dyDescent="0.2">
      <c r="A864" s="1">
        <v>43598</v>
      </c>
      <c r="B864">
        <v>10554</v>
      </c>
      <c r="C864">
        <v>15211</v>
      </c>
      <c r="D864">
        <v>10980</v>
      </c>
      <c r="E864">
        <v>6056</v>
      </c>
      <c r="F864">
        <v>80</v>
      </c>
      <c r="G864" t="s">
        <v>20</v>
      </c>
      <c r="H864" t="str">
        <f>IF(Grammys[[#This Row],[date]] &gt;= DATE(2022, 2, 1), "Grammys", "Grammys + TRA")</f>
        <v>Grammys + TRA</v>
      </c>
      <c r="I864">
        <f>_xlfn.XLOOKUP(Grammys[[#This Row],[date]], mobile_visits[date], mobile_visits[mobile_visitors], 0)</f>
        <v>0</v>
      </c>
    </row>
    <row r="865" spans="1:9" x14ac:dyDescent="0.2">
      <c r="A865" s="1">
        <v>43599</v>
      </c>
      <c r="B865">
        <v>11229</v>
      </c>
      <c r="C865">
        <v>16285</v>
      </c>
      <c r="D865">
        <v>11863</v>
      </c>
      <c r="E865">
        <v>6574</v>
      </c>
      <c r="F865">
        <v>80</v>
      </c>
      <c r="G865" t="s">
        <v>20</v>
      </c>
      <c r="H865" t="str">
        <f>IF(Grammys[[#This Row],[date]] &gt;= DATE(2022, 2, 1), "Grammys", "Grammys + TRA")</f>
        <v>Grammys + TRA</v>
      </c>
      <c r="I865">
        <f>_xlfn.XLOOKUP(Grammys[[#This Row],[date]], mobile_visits[date], mobile_visits[mobile_visitors], 0)</f>
        <v>0</v>
      </c>
    </row>
    <row r="866" spans="1:9" x14ac:dyDescent="0.2">
      <c r="A866" s="1">
        <v>43600</v>
      </c>
      <c r="B866">
        <v>12654</v>
      </c>
      <c r="C866">
        <v>17915</v>
      </c>
      <c r="D866">
        <v>13232</v>
      </c>
      <c r="E866">
        <v>7503</v>
      </c>
      <c r="F866">
        <v>72</v>
      </c>
      <c r="G866" t="s">
        <v>20</v>
      </c>
      <c r="H866" t="str">
        <f>IF(Grammys[[#This Row],[date]] &gt;= DATE(2022, 2, 1), "Grammys", "Grammys + TRA")</f>
        <v>Grammys + TRA</v>
      </c>
      <c r="I866">
        <f>_xlfn.XLOOKUP(Grammys[[#This Row],[date]], mobile_visits[date], mobile_visits[mobile_visitors], 0)</f>
        <v>0</v>
      </c>
    </row>
    <row r="867" spans="1:9" x14ac:dyDescent="0.2">
      <c r="A867" s="1">
        <v>43601</v>
      </c>
      <c r="B867">
        <v>11777</v>
      </c>
      <c r="C867">
        <v>16651</v>
      </c>
      <c r="D867">
        <v>12321</v>
      </c>
      <c r="E867">
        <v>6830</v>
      </c>
      <c r="F867">
        <v>73</v>
      </c>
      <c r="G867" t="s">
        <v>20</v>
      </c>
      <c r="H867" t="str">
        <f>IF(Grammys[[#This Row],[date]] &gt;= DATE(2022, 2, 1), "Grammys", "Grammys + TRA")</f>
        <v>Grammys + TRA</v>
      </c>
      <c r="I867">
        <f>_xlfn.XLOOKUP(Grammys[[#This Row],[date]], mobile_visits[date], mobile_visits[mobile_visitors], 0)</f>
        <v>0</v>
      </c>
    </row>
    <row r="868" spans="1:9" x14ac:dyDescent="0.2">
      <c r="A868" s="1">
        <v>43602</v>
      </c>
      <c r="B868">
        <v>14610</v>
      </c>
      <c r="C868">
        <v>19451</v>
      </c>
      <c r="D868">
        <v>15306</v>
      </c>
      <c r="E868">
        <v>7650</v>
      </c>
      <c r="F868">
        <v>74</v>
      </c>
      <c r="G868" t="s">
        <v>20</v>
      </c>
      <c r="H868" t="str">
        <f>IF(Grammys[[#This Row],[date]] &gt;= DATE(2022, 2, 1), "Grammys", "Grammys + TRA")</f>
        <v>Grammys + TRA</v>
      </c>
      <c r="I868">
        <f>_xlfn.XLOOKUP(Grammys[[#This Row],[date]], mobile_visits[date], mobile_visits[mobile_visitors], 0)</f>
        <v>0</v>
      </c>
    </row>
    <row r="869" spans="1:9" x14ac:dyDescent="0.2">
      <c r="A869" s="1">
        <v>43603</v>
      </c>
      <c r="B869">
        <v>12154</v>
      </c>
      <c r="C869">
        <v>16288</v>
      </c>
      <c r="D869">
        <v>12765</v>
      </c>
      <c r="E869">
        <v>6306</v>
      </c>
      <c r="F869">
        <v>75</v>
      </c>
      <c r="G869" t="s">
        <v>20</v>
      </c>
      <c r="H869" t="str">
        <f>IF(Grammys[[#This Row],[date]] &gt;= DATE(2022, 2, 1), "Grammys", "Grammys + TRA")</f>
        <v>Grammys + TRA</v>
      </c>
      <c r="I869">
        <f>_xlfn.XLOOKUP(Grammys[[#This Row],[date]], mobile_visits[date], mobile_visits[mobile_visitors], 0)</f>
        <v>0</v>
      </c>
    </row>
    <row r="870" spans="1:9" x14ac:dyDescent="0.2">
      <c r="A870" s="1">
        <v>43604</v>
      </c>
      <c r="B870">
        <v>10019</v>
      </c>
      <c r="C870">
        <v>14221</v>
      </c>
      <c r="D870">
        <v>10436</v>
      </c>
      <c r="E870">
        <v>5498</v>
      </c>
      <c r="F870">
        <v>76</v>
      </c>
      <c r="G870" t="s">
        <v>20</v>
      </c>
      <c r="H870" t="str">
        <f>IF(Grammys[[#This Row],[date]] &gt;= DATE(2022, 2, 1), "Grammys", "Grammys + TRA")</f>
        <v>Grammys + TRA</v>
      </c>
      <c r="I870">
        <f>_xlfn.XLOOKUP(Grammys[[#This Row],[date]], mobile_visits[date], mobile_visits[mobile_visitors], 0)</f>
        <v>0</v>
      </c>
    </row>
    <row r="871" spans="1:9" x14ac:dyDescent="0.2">
      <c r="A871" s="1">
        <v>43605</v>
      </c>
      <c r="B871">
        <v>11498</v>
      </c>
      <c r="C871">
        <v>15855</v>
      </c>
      <c r="D871">
        <v>11640</v>
      </c>
      <c r="E871">
        <v>6271</v>
      </c>
      <c r="F871">
        <v>76</v>
      </c>
      <c r="G871" t="s">
        <v>20</v>
      </c>
      <c r="H871" t="str">
        <f>IF(Grammys[[#This Row],[date]] &gt;= DATE(2022, 2, 1), "Grammys", "Grammys + TRA")</f>
        <v>Grammys + TRA</v>
      </c>
      <c r="I871">
        <f>_xlfn.XLOOKUP(Grammys[[#This Row],[date]], mobile_visits[date], mobile_visits[mobile_visitors], 0)</f>
        <v>0</v>
      </c>
    </row>
    <row r="872" spans="1:9" x14ac:dyDescent="0.2">
      <c r="A872" s="1">
        <v>43606</v>
      </c>
      <c r="B872">
        <v>14228</v>
      </c>
      <c r="C872">
        <v>15865</v>
      </c>
      <c r="D872">
        <v>11914</v>
      </c>
      <c r="E872">
        <v>6305</v>
      </c>
      <c r="F872">
        <v>78</v>
      </c>
      <c r="G872" t="s">
        <v>20</v>
      </c>
      <c r="H872" t="str">
        <f>IF(Grammys[[#This Row],[date]] &gt;= DATE(2022, 2, 1), "Grammys", "Grammys + TRA")</f>
        <v>Grammys + TRA</v>
      </c>
      <c r="I872">
        <f>_xlfn.XLOOKUP(Grammys[[#This Row],[date]], mobile_visits[date], mobile_visits[mobile_visitors], 0)</f>
        <v>0</v>
      </c>
    </row>
    <row r="873" spans="1:9" x14ac:dyDescent="0.2">
      <c r="A873" s="1">
        <v>43607</v>
      </c>
      <c r="B873">
        <v>12342</v>
      </c>
      <c r="C873">
        <v>15532</v>
      </c>
      <c r="D873">
        <v>11637</v>
      </c>
      <c r="E873">
        <v>6589</v>
      </c>
      <c r="F873">
        <v>76</v>
      </c>
      <c r="G873" t="s">
        <v>20</v>
      </c>
      <c r="H873" t="str">
        <f>IF(Grammys[[#This Row],[date]] &gt;= DATE(2022, 2, 1), "Grammys", "Grammys + TRA")</f>
        <v>Grammys + TRA</v>
      </c>
      <c r="I873">
        <f>_xlfn.XLOOKUP(Grammys[[#This Row],[date]], mobile_visits[date], mobile_visits[mobile_visitors], 0)</f>
        <v>0</v>
      </c>
    </row>
    <row r="874" spans="1:9" x14ac:dyDescent="0.2">
      <c r="A874" s="1">
        <v>43608</v>
      </c>
      <c r="B874">
        <v>11233</v>
      </c>
      <c r="C874">
        <v>15575</v>
      </c>
      <c r="D874">
        <v>11582</v>
      </c>
      <c r="E874">
        <v>6587</v>
      </c>
      <c r="F874">
        <v>68</v>
      </c>
      <c r="G874" t="s">
        <v>20</v>
      </c>
      <c r="H874" t="str">
        <f>IF(Grammys[[#This Row],[date]] &gt;= DATE(2022, 2, 1), "Grammys", "Grammys + TRA")</f>
        <v>Grammys + TRA</v>
      </c>
      <c r="I874">
        <f>_xlfn.XLOOKUP(Grammys[[#This Row],[date]], mobile_visits[date], mobile_visits[mobile_visitors], 0)</f>
        <v>0</v>
      </c>
    </row>
    <row r="875" spans="1:9" x14ac:dyDescent="0.2">
      <c r="A875" s="1">
        <v>43609</v>
      </c>
      <c r="B875">
        <v>10679</v>
      </c>
      <c r="C875">
        <v>14604</v>
      </c>
      <c r="D875">
        <v>11051</v>
      </c>
      <c r="E875">
        <v>6255</v>
      </c>
      <c r="F875">
        <v>70</v>
      </c>
      <c r="G875" t="s">
        <v>20</v>
      </c>
      <c r="H875" t="str">
        <f>IF(Grammys[[#This Row],[date]] &gt;= DATE(2022, 2, 1), "Grammys", "Grammys + TRA")</f>
        <v>Grammys + TRA</v>
      </c>
      <c r="I875">
        <f>_xlfn.XLOOKUP(Grammys[[#This Row],[date]], mobile_visits[date], mobile_visits[mobile_visitors], 0)</f>
        <v>0</v>
      </c>
    </row>
    <row r="876" spans="1:9" x14ac:dyDescent="0.2">
      <c r="A876" s="1">
        <v>43610</v>
      </c>
      <c r="B876">
        <v>9352</v>
      </c>
      <c r="C876">
        <v>12768</v>
      </c>
      <c r="D876">
        <v>9638</v>
      </c>
      <c r="E876">
        <v>5343</v>
      </c>
      <c r="F876">
        <v>66</v>
      </c>
      <c r="G876" t="s">
        <v>20</v>
      </c>
      <c r="H876" t="str">
        <f>IF(Grammys[[#This Row],[date]] &gt;= DATE(2022, 2, 1), "Grammys", "Grammys + TRA")</f>
        <v>Grammys + TRA</v>
      </c>
      <c r="I876">
        <f>_xlfn.XLOOKUP(Grammys[[#This Row],[date]], mobile_visits[date], mobile_visits[mobile_visitors], 0)</f>
        <v>0</v>
      </c>
    </row>
    <row r="877" spans="1:9" x14ac:dyDescent="0.2">
      <c r="A877" s="1">
        <v>43611</v>
      </c>
      <c r="B877">
        <v>9113</v>
      </c>
      <c r="C877">
        <v>12922</v>
      </c>
      <c r="D877">
        <v>9487</v>
      </c>
      <c r="E877">
        <v>5126</v>
      </c>
      <c r="F877">
        <v>78</v>
      </c>
      <c r="G877" t="s">
        <v>20</v>
      </c>
      <c r="H877" t="str">
        <f>IF(Grammys[[#This Row],[date]] &gt;= DATE(2022, 2, 1), "Grammys", "Grammys + TRA")</f>
        <v>Grammys + TRA</v>
      </c>
      <c r="I877">
        <f>_xlfn.XLOOKUP(Grammys[[#This Row],[date]], mobile_visits[date], mobile_visits[mobile_visitors], 0)</f>
        <v>0</v>
      </c>
    </row>
    <row r="878" spans="1:9" x14ac:dyDescent="0.2">
      <c r="A878" s="1">
        <v>43612</v>
      </c>
      <c r="B878">
        <v>10675</v>
      </c>
      <c r="C878">
        <v>16479</v>
      </c>
      <c r="D878">
        <v>11319</v>
      </c>
      <c r="E878">
        <v>5892</v>
      </c>
      <c r="F878">
        <v>79</v>
      </c>
      <c r="G878" t="s">
        <v>20</v>
      </c>
      <c r="H878" t="str">
        <f>IF(Grammys[[#This Row],[date]] &gt;= DATE(2022, 2, 1), "Grammys", "Grammys + TRA")</f>
        <v>Grammys + TRA</v>
      </c>
      <c r="I878">
        <f>_xlfn.XLOOKUP(Grammys[[#This Row],[date]], mobile_visits[date], mobile_visits[mobile_visitors], 0)</f>
        <v>0</v>
      </c>
    </row>
    <row r="879" spans="1:9" x14ac:dyDescent="0.2">
      <c r="A879" s="1">
        <v>43613</v>
      </c>
      <c r="B879">
        <v>11156</v>
      </c>
      <c r="C879">
        <v>16027</v>
      </c>
      <c r="D879">
        <v>11631</v>
      </c>
      <c r="E879">
        <v>6412</v>
      </c>
      <c r="F879">
        <v>85</v>
      </c>
      <c r="G879" t="s">
        <v>20</v>
      </c>
      <c r="H879" t="str">
        <f>IF(Grammys[[#This Row],[date]] &gt;= DATE(2022, 2, 1), "Grammys", "Grammys + TRA")</f>
        <v>Grammys + TRA</v>
      </c>
      <c r="I879">
        <f>_xlfn.XLOOKUP(Grammys[[#This Row],[date]], mobile_visits[date], mobile_visits[mobile_visitors], 0)</f>
        <v>0</v>
      </c>
    </row>
    <row r="880" spans="1:9" x14ac:dyDescent="0.2">
      <c r="A880" s="1">
        <v>43614</v>
      </c>
      <c r="B880">
        <v>11724</v>
      </c>
      <c r="C880">
        <v>16378</v>
      </c>
      <c r="D880">
        <v>12371</v>
      </c>
      <c r="E880">
        <v>6250</v>
      </c>
      <c r="F880">
        <v>77</v>
      </c>
      <c r="G880" t="s">
        <v>20</v>
      </c>
      <c r="H880" t="str">
        <f>IF(Grammys[[#This Row],[date]] &gt;= DATE(2022, 2, 1), "Grammys", "Grammys + TRA")</f>
        <v>Grammys + TRA</v>
      </c>
      <c r="I880">
        <f>_xlfn.XLOOKUP(Grammys[[#This Row],[date]], mobile_visits[date], mobile_visits[mobile_visitors], 0)</f>
        <v>0</v>
      </c>
    </row>
    <row r="881" spans="1:9" x14ac:dyDescent="0.2">
      <c r="A881" s="1">
        <v>43615</v>
      </c>
      <c r="B881">
        <v>10534</v>
      </c>
      <c r="C881">
        <v>15021</v>
      </c>
      <c r="D881">
        <v>10974</v>
      </c>
      <c r="E881">
        <v>6215</v>
      </c>
      <c r="F881">
        <v>76</v>
      </c>
      <c r="G881" t="s">
        <v>20</v>
      </c>
      <c r="H881" t="str">
        <f>IF(Grammys[[#This Row],[date]] &gt;= DATE(2022, 2, 1), "Grammys", "Grammys + TRA")</f>
        <v>Grammys + TRA</v>
      </c>
      <c r="I881">
        <f>_xlfn.XLOOKUP(Grammys[[#This Row],[date]], mobile_visits[date], mobile_visits[mobile_visitors], 0)</f>
        <v>0</v>
      </c>
    </row>
    <row r="882" spans="1:9" x14ac:dyDescent="0.2">
      <c r="A882" s="1">
        <v>43616</v>
      </c>
      <c r="B882">
        <v>11459</v>
      </c>
      <c r="C882">
        <v>15778</v>
      </c>
      <c r="D882">
        <v>11969</v>
      </c>
      <c r="E882">
        <v>7073</v>
      </c>
      <c r="F882">
        <v>65</v>
      </c>
      <c r="G882" t="s">
        <v>20</v>
      </c>
      <c r="H882" t="str">
        <f>IF(Grammys[[#This Row],[date]] &gt;= DATE(2022, 2, 1), "Grammys", "Grammys + TRA")</f>
        <v>Grammys + TRA</v>
      </c>
      <c r="I882">
        <f>_xlfn.XLOOKUP(Grammys[[#This Row],[date]], mobile_visits[date], mobile_visits[mobile_visitors], 0)</f>
        <v>0</v>
      </c>
    </row>
    <row r="883" spans="1:9" x14ac:dyDescent="0.2">
      <c r="A883" s="1">
        <v>43617</v>
      </c>
      <c r="B883">
        <v>10969</v>
      </c>
      <c r="C883">
        <v>15236</v>
      </c>
      <c r="D883">
        <v>11465</v>
      </c>
      <c r="E883">
        <v>6242</v>
      </c>
      <c r="F883">
        <v>69</v>
      </c>
      <c r="G883" t="s">
        <v>20</v>
      </c>
      <c r="H883" t="str">
        <f>IF(Grammys[[#This Row],[date]] &gt;= DATE(2022, 2, 1), "Grammys", "Grammys + TRA")</f>
        <v>Grammys + TRA</v>
      </c>
      <c r="I883">
        <f>_xlfn.XLOOKUP(Grammys[[#This Row],[date]], mobile_visits[date], mobile_visits[mobile_visitors], 0)</f>
        <v>0</v>
      </c>
    </row>
    <row r="884" spans="1:9" x14ac:dyDescent="0.2">
      <c r="A884" s="1">
        <v>43618</v>
      </c>
      <c r="B884">
        <v>10684</v>
      </c>
      <c r="C884">
        <v>14872</v>
      </c>
      <c r="D884">
        <v>11120</v>
      </c>
      <c r="E884">
        <v>5924</v>
      </c>
      <c r="F884">
        <v>76</v>
      </c>
      <c r="G884" t="s">
        <v>20</v>
      </c>
      <c r="H884" t="str">
        <f>IF(Grammys[[#This Row],[date]] &gt;= DATE(2022, 2, 1), "Grammys", "Grammys + TRA")</f>
        <v>Grammys + TRA</v>
      </c>
      <c r="I884">
        <f>_xlfn.XLOOKUP(Grammys[[#This Row],[date]], mobile_visits[date], mobile_visits[mobile_visitors], 0)</f>
        <v>0</v>
      </c>
    </row>
    <row r="885" spans="1:9" x14ac:dyDescent="0.2">
      <c r="A885" s="1">
        <v>43619</v>
      </c>
      <c r="B885">
        <v>11660</v>
      </c>
      <c r="C885">
        <v>16527</v>
      </c>
      <c r="D885">
        <v>12255</v>
      </c>
      <c r="E885">
        <v>6807</v>
      </c>
      <c r="F885">
        <v>77</v>
      </c>
      <c r="G885" t="s">
        <v>20</v>
      </c>
      <c r="H885" t="str">
        <f>IF(Grammys[[#This Row],[date]] &gt;= DATE(2022, 2, 1), "Grammys", "Grammys + TRA")</f>
        <v>Grammys + TRA</v>
      </c>
      <c r="I885">
        <f>_xlfn.XLOOKUP(Grammys[[#This Row],[date]], mobile_visits[date], mobile_visits[mobile_visitors], 0)</f>
        <v>0</v>
      </c>
    </row>
    <row r="886" spans="1:9" x14ac:dyDescent="0.2">
      <c r="A886" s="1">
        <v>43620</v>
      </c>
      <c r="B886">
        <v>11449</v>
      </c>
      <c r="C886">
        <v>16748</v>
      </c>
      <c r="D886">
        <v>12103</v>
      </c>
      <c r="E886">
        <v>6819</v>
      </c>
      <c r="F886">
        <v>78</v>
      </c>
      <c r="G886" t="s">
        <v>20</v>
      </c>
      <c r="H886" t="str">
        <f>IF(Grammys[[#This Row],[date]] &gt;= DATE(2022, 2, 1), "Grammys", "Grammys + TRA")</f>
        <v>Grammys + TRA</v>
      </c>
      <c r="I886">
        <f>_xlfn.XLOOKUP(Grammys[[#This Row],[date]], mobile_visits[date], mobile_visits[mobile_visitors], 0)</f>
        <v>0</v>
      </c>
    </row>
    <row r="887" spans="1:9" x14ac:dyDescent="0.2">
      <c r="A887" s="1">
        <v>43621</v>
      </c>
      <c r="B887">
        <v>11164</v>
      </c>
      <c r="C887">
        <v>16837</v>
      </c>
      <c r="D887">
        <v>12042</v>
      </c>
      <c r="E887">
        <v>6803</v>
      </c>
      <c r="F887">
        <v>78</v>
      </c>
      <c r="G887" t="s">
        <v>20</v>
      </c>
      <c r="H887" t="str">
        <f>IF(Grammys[[#This Row],[date]] &gt;= DATE(2022, 2, 1), "Grammys", "Grammys + TRA")</f>
        <v>Grammys + TRA</v>
      </c>
      <c r="I887">
        <f>_xlfn.XLOOKUP(Grammys[[#This Row],[date]], mobile_visits[date], mobile_visits[mobile_visitors], 0)</f>
        <v>0</v>
      </c>
    </row>
    <row r="888" spans="1:9" x14ac:dyDescent="0.2">
      <c r="A888" s="1">
        <v>43622</v>
      </c>
      <c r="B888">
        <v>40281</v>
      </c>
      <c r="C888">
        <v>56659</v>
      </c>
      <c r="D888">
        <v>46050</v>
      </c>
      <c r="E888">
        <v>13940</v>
      </c>
      <c r="F888">
        <v>73</v>
      </c>
      <c r="G888" t="s">
        <v>20</v>
      </c>
      <c r="H888" t="str">
        <f>IF(Grammys[[#This Row],[date]] &gt;= DATE(2022, 2, 1), "Grammys", "Grammys + TRA")</f>
        <v>Grammys + TRA</v>
      </c>
      <c r="I888">
        <f>_xlfn.XLOOKUP(Grammys[[#This Row],[date]], mobile_visits[date], mobile_visits[mobile_visitors], 0)</f>
        <v>0</v>
      </c>
    </row>
    <row r="889" spans="1:9" x14ac:dyDescent="0.2">
      <c r="A889" s="1">
        <v>43623</v>
      </c>
      <c r="B889">
        <v>18913</v>
      </c>
      <c r="C889">
        <v>26064</v>
      </c>
      <c r="D889">
        <v>20341</v>
      </c>
      <c r="E889">
        <v>8981</v>
      </c>
      <c r="F889">
        <v>67</v>
      </c>
      <c r="G889" t="s">
        <v>20</v>
      </c>
      <c r="H889" t="str">
        <f>IF(Grammys[[#This Row],[date]] &gt;= DATE(2022, 2, 1), "Grammys", "Grammys + TRA")</f>
        <v>Grammys + TRA</v>
      </c>
      <c r="I889">
        <f>_xlfn.XLOOKUP(Grammys[[#This Row],[date]], mobile_visits[date], mobile_visits[mobile_visitors], 0)</f>
        <v>0</v>
      </c>
    </row>
    <row r="890" spans="1:9" x14ac:dyDescent="0.2">
      <c r="A890" s="1">
        <v>43624</v>
      </c>
      <c r="B890">
        <v>12351</v>
      </c>
      <c r="C890">
        <v>17243</v>
      </c>
      <c r="D890">
        <v>13046</v>
      </c>
      <c r="E890">
        <v>6745</v>
      </c>
      <c r="F890">
        <v>68</v>
      </c>
      <c r="G890" t="s">
        <v>20</v>
      </c>
      <c r="H890" t="str">
        <f>IF(Grammys[[#This Row],[date]] &gt;= DATE(2022, 2, 1), "Grammys", "Grammys + TRA")</f>
        <v>Grammys + TRA</v>
      </c>
      <c r="I890">
        <f>_xlfn.XLOOKUP(Grammys[[#This Row],[date]], mobile_visits[date], mobile_visits[mobile_visitors], 0)</f>
        <v>0</v>
      </c>
    </row>
    <row r="891" spans="1:9" x14ac:dyDescent="0.2">
      <c r="A891" s="1">
        <v>43625</v>
      </c>
      <c r="B891">
        <v>13720</v>
      </c>
      <c r="C891">
        <v>19221</v>
      </c>
      <c r="D891">
        <v>14506</v>
      </c>
      <c r="E891">
        <v>7307</v>
      </c>
      <c r="F891">
        <v>75</v>
      </c>
      <c r="G891" t="s">
        <v>20</v>
      </c>
      <c r="H891" t="str">
        <f>IF(Grammys[[#This Row],[date]] &gt;= DATE(2022, 2, 1), "Grammys", "Grammys + TRA")</f>
        <v>Grammys + TRA</v>
      </c>
      <c r="I891">
        <f>_xlfn.XLOOKUP(Grammys[[#This Row],[date]], mobile_visits[date], mobile_visits[mobile_visitors], 0)</f>
        <v>0</v>
      </c>
    </row>
    <row r="892" spans="1:9" x14ac:dyDescent="0.2">
      <c r="A892" s="1">
        <v>43626</v>
      </c>
      <c r="B892">
        <v>14512</v>
      </c>
      <c r="C892">
        <v>21045</v>
      </c>
      <c r="D892">
        <v>15303</v>
      </c>
      <c r="E892">
        <v>7813</v>
      </c>
      <c r="F892">
        <v>75</v>
      </c>
      <c r="G892" t="s">
        <v>20</v>
      </c>
      <c r="H892" t="str">
        <f>IF(Grammys[[#This Row],[date]] &gt;= DATE(2022, 2, 1), "Grammys", "Grammys + TRA")</f>
        <v>Grammys + TRA</v>
      </c>
      <c r="I892">
        <f>_xlfn.XLOOKUP(Grammys[[#This Row],[date]], mobile_visits[date], mobile_visits[mobile_visitors], 0)</f>
        <v>0</v>
      </c>
    </row>
    <row r="893" spans="1:9" x14ac:dyDescent="0.2">
      <c r="A893" s="1">
        <v>43627</v>
      </c>
      <c r="B893">
        <v>14209</v>
      </c>
      <c r="C893">
        <v>20085</v>
      </c>
      <c r="D893">
        <v>14991</v>
      </c>
      <c r="E893">
        <v>7159</v>
      </c>
      <c r="F893">
        <v>83</v>
      </c>
      <c r="G893" t="s">
        <v>20</v>
      </c>
      <c r="H893" t="str">
        <f>IF(Grammys[[#This Row],[date]] &gt;= DATE(2022, 2, 1), "Grammys", "Grammys + TRA")</f>
        <v>Grammys + TRA</v>
      </c>
      <c r="I893">
        <f>_xlfn.XLOOKUP(Grammys[[#This Row],[date]], mobile_visits[date], mobile_visits[mobile_visitors], 0)</f>
        <v>0</v>
      </c>
    </row>
    <row r="894" spans="1:9" x14ac:dyDescent="0.2">
      <c r="A894" s="1">
        <v>43628</v>
      </c>
      <c r="B894">
        <v>21372</v>
      </c>
      <c r="C894">
        <v>28002</v>
      </c>
      <c r="D894">
        <v>22469</v>
      </c>
      <c r="E894">
        <v>8975</v>
      </c>
      <c r="F894">
        <v>92</v>
      </c>
      <c r="G894" t="s">
        <v>20</v>
      </c>
      <c r="H894" t="str">
        <f>IF(Grammys[[#This Row],[date]] &gt;= DATE(2022, 2, 1), "Grammys", "Grammys + TRA")</f>
        <v>Grammys + TRA</v>
      </c>
      <c r="I894">
        <f>_xlfn.XLOOKUP(Grammys[[#This Row],[date]], mobile_visits[date], mobile_visits[mobile_visitors], 0)</f>
        <v>0</v>
      </c>
    </row>
    <row r="895" spans="1:9" x14ac:dyDescent="0.2">
      <c r="A895" s="1">
        <v>43629</v>
      </c>
      <c r="B895">
        <v>19877</v>
      </c>
      <c r="C895">
        <v>27064</v>
      </c>
      <c r="D895">
        <v>21102</v>
      </c>
      <c r="E895">
        <v>12664</v>
      </c>
      <c r="F895">
        <v>66</v>
      </c>
      <c r="G895" t="s">
        <v>20</v>
      </c>
      <c r="H895" t="str">
        <f>IF(Grammys[[#This Row],[date]] &gt;= DATE(2022, 2, 1), "Grammys", "Grammys + TRA")</f>
        <v>Grammys + TRA</v>
      </c>
      <c r="I895">
        <f>_xlfn.XLOOKUP(Grammys[[#This Row],[date]], mobile_visits[date], mobile_visits[mobile_visitors], 0)</f>
        <v>0</v>
      </c>
    </row>
    <row r="896" spans="1:9" x14ac:dyDescent="0.2">
      <c r="A896" s="1">
        <v>43630</v>
      </c>
      <c r="B896">
        <v>14693</v>
      </c>
      <c r="C896">
        <v>20061</v>
      </c>
      <c r="D896">
        <v>15590</v>
      </c>
      <c r="E896">
        <v>9417</v>
      </c>
      <c r="F896">
        <v>60</v>
      </c>
      <c r="G896" t="s">
        <v>20</v>
      </c>
      <c r="H896" t="str">
        <f>IF(Grammys[[#This Row],[date]] &gt;= DATE(2022, 2, 1), "Grammys", "Grammys + TRA")</f>
        <v>Grammys + TRA</v>
      </c>
      <c r="I896">
        <f>_xlfn.XLOOKUP(Grammys[[#This Row],[date]], mobile_visits[date], mobile_visits[mobile_visitors], 0)</f>
        <v>0</v>
      </c>
    </row>
    <row r="897" spans="1:9" x14ac:dyDescent="0.2">
      <c r="A897" s="1">
        <v>43631</v>
      </c>
      <c r="B897">
        <v>11110</v>
      </c>
      <c r="C897">
        <v>15609</v>
      </c>
      <c r="D897">
        <v>11895</v>
      </c>
      <c r="E897">
        <v>6897</v>
      </c>
      <c r="F897">
        <v>60</v>
      </c>
      <c r="G897" t="s">
        <v>20</v>
      </c>
      <c r="H897" t="str">
        <f>IF(Grammys[[#This Row],[date]] &gt;= DATE(2022, 2, 1), "Grammys", "Grammys + TRA")</f>
        <v>Grammys + TRA</v>
      </c>
      <c r="I897">
        <f>_xlfn.XLOOKUP(Grammys[[#This Row],[date]], mobile_visits[date], mobile_visits[mobile_visitors], 0)</f>
        <v>0</v>
      </c>
    </row>
    <row r="898" spans="1:9" x14ac:dyDescent="0.2">
      <c r="A898" s="1">
        <v>43632</v>
      </c>
      <c r="B898">
        <v>10239</v>
      </c>
      <c r="C898">
        <v>14384</v>
      </c>
      <c r="D898">
        <v>10646</v>
      </c>
      <c r="E898">
        <v>5951</v>
      </c>
      <c r="F898">
        <v>77</v>
      </c>
      <c r="G898" t="s">
        <v>20</v>
      </c>
      <c r="H898" t="str">
        <f>IF(Grammys[[#This Row],[date]] &gt;= DATE(2022, 2, 1), "Grammys", "Grammys + TRA")</f>
        <v>Grammys + TRA</v>
      </c>
      <c r="I898">
        <f>_xlfn.XLOOKUP(Grammys[[#This Row],[date]], mobile_visits[date], mobile_visits[mobile_visitors], 0)</f>
        <v>0</v>
      </c>
    </row>
    <row r="899" spans="1:9" x14ac:dyDescent="0.2">
      <c r="A899" s="1">
        <v>43633</v>
      </c>
      <c r="B899">
        <v>11403</v>
      </c>
      <c r="C899">
        <v>16328</v>
      </c>
      <c r="D899">
        <v>11956</v>
      </c>
      <c r="E899">
        <v>6839</v>
      </c>
      <c r="F899">
        <v>71</v>
      </c>
      <c r="G899" t="s">
        <v>20</v>
      </c>
      <c r="H899" t="str">
        <f>IF(Grammys[[#This Row],[date]] &gt;= DATE(2022, 2, 1), "Grammys", "Grammys + TRA")</f>
        <v>Grammys + TRA</v>
      </c>
      <c r="I899">
        <f>_xlfn.XLOOKUP(Grammys[[#This Row],[date]], mobile_visits[date], mobile_visits[mobile_visitors], 0)</f>
        <v>0</v>
      </c>
    </row>
    <row r="900" spans="1:9" x14ac:dyDescent="0.2">
      <c r="A900" s="1">
        <v>43634</v>
      </c>
      <c r="B900">
        <v>11317</v>
      </c>
      <c r="C900">
        <v>16183</v>
      </c>
      <c r="D900">
        <v>11856</v>
      </c>
      <c r="E900">
        <v>6490</v>
      </c>
      <c r="F900">
        <v>73</v>
      </c>
      <c r="G900" t="s">
        <v>20</v>
      </c>
      <c r="H900" t="str">
        <f>IF(Grammys[[#This Row],[date]] &gt;= DATE(2022, 2, 1), "Grammys", "Grammys + TRA")</f>
        <v>Grammys + TRA</v>
      </c>
      <c r="I900">
        <f>_xlfn.XLOOKUP(Grammys[[#This Row],[date]], mobile_visits[date], mobile_visits[mobile_visitors], 0)</f>
        <v>0</v>
      </c>
    </row>
    <row r="901" spans="1:9" x14ac:dyDescent="0.2">
      <c r="A901" s="1">
        <v>43635</v>
      </c>
      <c r="B901">
        <v>11584</v>
      </c>
      <c r="C901">
        <v>16593</v>
      </c>
      <c r="D901">
        <v>12058</v>
      </c>
      <c r="E901">
        <v>6772</v>
      </c>
      <c r="F901">
        <v>75</v>
      </c>
      <c r="G901" t="s">
        <v>20</v>
      </c>
      <c r="H901" t="str">
        <f>IF(Grammys[[#This Row],[date]] &gt;= DATE(2022, 2, 1), "Grammys", "Grammys + TRA")</f>
        <v>Grammys + TRA</v>
      </c>
      <c r="I901">
        <f>_xlfn.XLOOKUP(Grammys[[#This Row],[date]], mobile_visits[date], mobile_visits[mobile_visitors], 0)</f>
        <v>0</v>
      </c>
    </row>
    <row r="902" spans="1:9" x14ac:dyDescent="0.2">
      <c r="A902" s="1">
        <v>43636</v>
      </c>
      <c r="B902">
        <v>15610</v>
      </c>
      <c r="C902">
        <v>21956</v>
      </c>
      <c r="D902">
        <v>16638</v>
      </c>
      <c r="E902">
        <v>9278</v>
      </c>
      <c r="F902">
        <v>68</v>
      </c>
      <c r="G902" t="s">
        <v>20</v>
      </c>
      <c r="H902" t="str">
        <f>IF(Grammys[[#This Row],[date]] &gt;= DATE(2022, 2, 1), "Grammys", "Grammys + TRA")</f>
        <v>Grammys + TRA</v>
      </c>
      <c r="I902">
        <f>_xlfn.XLOOKUP(Grammys[[#This Row],[date]], mobile_visits[date], mobile_visits[mobile_visitors], 0)</f>
        <v>0</v>
      </c>
    </row>
    <row r="903" spans="1:9" x14ac:dyDescent="0.2">
      <c r="A903" s="1">
        <v>43637</v>
      </c>
      <c r="B903">
        <v>14676</v>
      </c>
      <c r="C903">
        <v>20373</v>
      </c>
      <c r="D903">
        <v>15467</v>
      </c>
      <c r="E903">
        <v>7635</v>
      </c>
      <c r="F903">
        <v>72</v>
      </c>
      <c r="G903" t="s">
        <v>20</v>
      </c>
      <c r="H903" t="str">
        <f>IF(Grammys[[#This Row],[date]] &gt;= DATE(2022, 2, 1), "Grammys", "Grammys + TRA")</f>
        <v>Grammys + TRA</v>
      </c>
      <c r="I903">
        <f>_xlfn.XLOOKUP(Grammys[[#This Row],[date]], mobile_visits[date], mobile_visits[mobile_visitors], 0)</f>
        <v>0</v>
      </c>
    </row>
    <row r="904" spans="1:9" x14ac:dyDescent="0.2">
      <c r="A904" s="1">
        <v>43638</v>
      </c>
      <c r="B904">
        <v>14357</v>
      </c>
      <c r="C904">
        <v>19722</v>
      </c>
      <c r="D904">
        <v>14972</v>
      </c>
      <c r="E904">
        <v>7527</v>
      </c>
      <c r="F904">
        <v>67</v>
      </c>
      <c r="G904" t="s">
        <v>20</v>
      </c>
      <c r="H904" t="str">
        <f>IF(Grammys[[#This Row],[date]] &gt;= DATE(2022, 2, 1), "Grammys", "Grammys + TRA")</f>
        <v>Grammys + TRA</v>
      </c>
      <c r="I904">
        <f>_xlfn.XLOOKUP(Grammys[[#This Row],[date]], mobile_visits[date], mobile_visits[mobile_visitors], 0)</f>
        <v>0</v>
      </c>
    </row>
    <row r="905" spans="1:9" x14ac:dyDescent="0.2">
      <c r="A905" s="1">
        <v>43639</v>
      </c>
      <c r="B905">
        <v>12298</v>
      </c>
      <c r="C905">
        <v>17456</v>
      </c>
      <c r="D905">
        <v>13042</v>
      </c>
      <c r="E905">
        <v>6842</v>
      </c>
      <c r="F905">
        <v>73</v>
      </c>
      <c r="G905" t="s">
        <v>20</v>
      </c>
      <c r="H905" t="str">
        <f>IF(Grammys[[#This Row],[date]] &gt;= DATE(2022, 2, 1), "Grammys", "Grammys + TRA")</f>
        <v>Grammys + TRA</v>
      </c>
      <c r="I905">
        <f>_xlfn.XLOOKUP(Grammys[[#This Row],[date]], mobile_visits[date], mobile_visits[mobile_visitors], 0)</f>
        <v>0</v>
      </c>
    </row>
    <row r="906" spans="1:9" x14ac:dyDescent="0.2">
      <c r="A906" s="1">
        <v>43640</v>
      </c>
      <c r="B906">
        <v>12318</v>
      </c>
      <c r="C906">
        <v>18682</v>
      </c>
      <c r="D906">
        <v>13097</v>
      </c>
      <c r="E906">
        <v>6786</v>
      </c>
      <c r="F906">
        <v>84</v>
      </c>
      <c r="G906" t="s">
        <v>20</v>
      </c>
      <c r="H906" t="str">
        <f>IF(Grammys[[#This Row],[date]] &gt;= DATE(2022, 2, 1), "Grammys", "Grammys + TRA")</f>
        <v>Grammys + TRA</v>
      </c>
      <c r="I906">
        <f>_xlfn.XLOOKUP(Grammys[[#This Row],[date]], mobile_visits[date], mobile_visits[mobile_visitors], 0)</f>
        <v>0</v>
      </c>
    </row>
    <row r="907" spans="1:9" x14ac:dyDescent="0.2">
      <c r="A907" s="1">
        <v>43641</v>
      </c>
      <c r="B907">
        <v>18073</v>
      </c>
      <c r="C907">
        <v>25187</v>
      </c>
      <c r="D907">
        <v>19304</v>
      </c>
      <c r="E907">
        <v>9631</v>
      </c>
      <c r="F907">
        <v>69</v>
      </c>
      <c r="G907" t="s">
        <v>20</v>
      </c>
      <c r="H907" t="str">
        <f>IF(Grammys[[#This Row],[date]] &gt;= DATE(2022, 2, 1), "Grammys", "Grammys + TRA")</f>
        <v>Grammys + TRA</v>
      </c>
      <c r="I907">
        <f>_xlfn.XLOOKUP(Grammys[[#This Row],[date]], mobile_visits[date], mobile_visits[mobile_visitors], 0)</f>
        <v>0</v>
      </c>
    </row>
    <row r="908" spans="1:9" x14ac:dyDescent="0.2">
      <c r="A908" s="1">
        <v>43642</v>
      </c>
      <c r="B908">
        <v>14551</v>
      </c>
      <c r="C908">
        <v>20882</v>
      </c>
      <c r="D908">
        <v>15452</v>
      </c>
      <c r="E908">
        <v>7535</v>
      </c>
      <c r="F908">
        <v>75</v>
      </c>
      <c r="G908" t="s">
        <v>20</v>
      </c>
      <c r="H908" t="str">
        <f>IF(Grammys[[#This Row],[date]] &gt;= DATE(2022, 2, 1), "Grammys", "Grammys + TRA")</f>
        <v>Grammys + TRA</v>
      </c>
      <c r="I908">
        <f>_xlfn.XLOOKUP(Grammys[[#This Row],[date]], mobile_visits[date], mobile_visits[mobile_visitors], 0)</f>
        <v>0</v>
      </c>
    </row>
    <row r="909" spans="1:9" x14ac:dyDescent="0.2">
      <c r="A909" s="1">
        <v>43643</v>
      </c>
      <c r="B909">
        <v>16932</v>
      </c>
      <c r="C909">
        <v>22637</v>
      </c>
      <c r="D909">
        <v>17748</v>
      </c>
      <c r="E909">
        <v>6871</v>
      </c>
      <c r="F909">
        <v>82</v>
      </c>
      <c r="G909" t="s">
        <v>20</v>
      </c>
      <c r="H909" t="str">
        <f>IF(Grammys[[#This Row],[date]] &gt;= DATE(2022, 2, 1), "Grammys", "Grammys + TRA")</f>
        <v>Grammys + TRA</v>
      </c>
      <c r="I909">
        <f>_xlfn.XLOOKUP(Grammys[[#This Row],[date]], mobile_visits[date], mobile_visits[mobile_visitors], 0)</f>
        <v>0</v>
      </c>
    </row>
    <row r="910" spans="1:9" x14ac:dyDescent="0.2">
      <c r="A910" s="1">
        <v>43644</v>
      </c>
      <c r="B910">
        <v>13384</v>
      </c>
      <c r="C910">
        <v>18785</v>
      </c>
      <c r="D910">
        <v>14264</v>
      </c>
      <c r="E910">
        <v>6244</v>
      </c>
      <c r="F910">
        <v>91</v>
      </c>
      <c r="G910" t="s">
        <v>20</v>
      </c>
      <c r="H910" t="str">
        <f>IF(Grammys[[#This Row],[date]] &gt;= DATE(2022, 2, 1), "Grammys", "Grammys + TRA")</f>
        <v>Grammys + TRA</v>
      </c>
      <c r="I910">
        <f>_xlfn.XLOOKUP(Grammys[[#This Row],[date]], mobile_visits[date], mobile_visits[mobile_visitors], 0)</f>
        <v>0</v>
      </c>
    </row>
    <row r="911" spans="1:9" x14ac:dyDescent="0.2">
      <c r="A911" s="1">
        <v>43645</v>
      </c>
      <c r="B911">
        <v>11742</v>
      </c>
      <c r="C911">
        <v>16665</v>
      </c>
      <c r="D911">
        <v>12474</v>
      </c>
      <c r="E911">
        <v>7238</v>
      </c>
      <c r="F911">
        <v>73</v>
      </c>
      <c r="G911" t="s">
        <v>20</v>
      </c>
      <c r="H911" t="str">
        <f>IF(Grammys[[#This Row],[date]] &gt;= DATE(2022, 2, 1), "Grammys", "Grammys + TRA")</f>
        <v>Grammys + TRA</v>
      </c>
      <c r="I911">
        <f>_xlfn.XLOOKUP(Grammys[[#This Row],[date]], mobile_visits[date], mobile_visits[mobile_visitors], 0)</f>
        <v>0</v>
      </c>
    </row>
    <row r="912" spans="1:9" x14ac:dyDescent="0.2">
      <c r="A912" s="1">
        <v>43646</v>
      </c>
      <c r="B912">
        <v>10061</v>
      </c>
      <c r="C912">
        <v>14381</v>
      </c>
      <c r="D912">
        <v>10608</v>
      </c>
      <c r="E912">
        <v>5778</v>
      </c>
      <c r="F912">
        <v>77</v>
      </c>
      <c r="G912" t="s">
        <v>20</v>
      </c>
      <c r="H912" t="str">
        <f>IF(Grammys[[#This Row],[date]] &gt;= DATE(2022, 2, 1), "Grammys", "Grammys + TRA")</f>
        <v>Grammys + TRA</v>
      </c>
      <c r="I912">
        <f>_xlfn.XLOOKUP(Grammys[[#This Row],[date]], mobile_visits[date], mobile_visits[mobile_visitors], 0)</f>
        <v>0</v>
      </c>
    </row>
    <row r="913" spans="1:9" x14ac:dyDescent="0.2">
      <c r="A913" s="1">
        <v>43647</v>
      </c>
      <c r="B913">
        <v>10324</v>
      </c>
      <c r="C913">
        <v>15336</v>
      </c>
      <c r="D913">
        <v>11026</v>
      </c>
      <c r="E913">
        <v>5762</v>
      </c>
      <c r="F913">
        <v>86</v>
      </c>
      <c r="G913" t="s">
        <v>20</v>
      </c>
      <c r="H913" t="str">
        <f>IF(Grammys[[#This Row],[date]] &gt;= DATE(2022, 2, 1), "Grammys", "Grammys + TRA")</f>
        <v>Grammys + TRA</v>
      </c>
      <c r="I913">
        <f>_xlfn.XLOOKUP(Grammys[[#This Row],[date]], mobile_visits[date], mobile_visits[mobile_visitors], 0)</f>
        <v>0</v>
      </c>
    </row>
    <row r="914" spans="1:9" x14ac:dyDescent="0.2">
      <c r="A914" s="1">
        <v>43648</v>
      </c>
      <c r="B914">
        <v>10654</v>
      </c>
      <c r="C914">
        <v>15798</v>
      </c>
      <c r="D914">
        <v>11292</v>
      </c>
      <c r="E914">
        <v>5942</v>
      </c>
      <c r="F914">
        <v>86</v>
      </c>
      <c r="G914" t="s">
        <v>20</v>
      </c>
      <c r="H914" t="str">
        <f>IF(Grammys[[#This Row],[date]] &gt;= DATE(2022, 2, 1), "Grammys", "Grammys + TRA")</f>
        <v>Grammys + TRA</v>
      </c>
      <c r="I914">
        <f>_xlfn.XLOOKUP(Grammys[[#This Row],[date]], mobile_visits[date], mobile_visits[mobile_visitors], 0)</f>
        <v>0</v>
      </c>
    </row>
    <row r="915" spans="1:9" x14ac:dyDescent="0.2">
      <c r="A915" s="1">
        <v>43649</v>
      </c>
      <c r="B915">
        <v>10118</v>
      </c>
      <c r="C915">
        <v>14952</v>
      </c>
      <c r="D915">
        <v>10768</v>
      </c>
      <c r="E915">
        <v>5596</v>
      </c>
      <c r="F915">
        <v>87</v>
      </c>
      <c r="G915" t="s">
        <v>20</v>
      </c>
      <c r="H915" t="str">
        <f>IF(Grammys[[#This Row],[date]] &gt;= DATE(2022, 2, 1), "Grammys", "Grammys + TRA")</f>
        <v>Grammys + TRA</v>
      </c>
      <c r="I915">
        <f>_xlfn.XLOOKUP(Grammys[[#This Row],[date]], mobile_visits[date], mobile_visits[mobile_visitors], 0)</f>
        <v>0</v>
      </c>
    </row>
    <row r="916" spans="1:9" x14ac:dyDescent="0.2">
      <c r="A916" s="1">
        <v>43650</v>
      </c>
      <c r="B916">
        <v>9032</v>
      </c>
      <c r="C916">
        <v>12833</v>
      </c>
      <c r="D916">
        <v>9506</v>
      </c>
      <c r="E916">
        <v>5037</v>
      </c>
      <c r="F916">
        <v>76</v>
      </c>
      <c r="G916" t="s">
        <v>20</v>
      </c>
      <c r="H916" t="str">
        <f>IF(Grammys[[#This Row],[date]] &gt;= DATE(2022, 2, 1), "Grammys", "Grammys + TRA")</f>
        <v>Grammys + TRA</v>
      </c>
      <c r="I916">
        <f>_xlfn.XLOOKUP(Grammys[[#This Row],[date]], mobile_visits[date], mobile_visits[mobile_visitors], 0)</f>
        <v>0</v>
      </c>
    </row>
    <row r="917" spans="1:9" x14ac:dyDescent="0.2">
      <c r="A917" s="1">
        <v>43651</v>
      </c>
      <c r="B917">
        <v>8669</v>
      </c>
      <c r="C917">
        <v>12947</v>
      </c>
      <c r="D917">
        <v>9276</v>
      </c>
      <c r="E917">
        <v>5110</v>
      </c>
      <c r="F917">
        <v>79</v>
      </c>
      <c r="G917" t="s">
        <v>20</v>
      </c>
      <c r="H917" t="str">
        <f>IF(Grammys[[#This Row],[date]] &gt;= DATE(2022, 2, 1), "Grammys", "Grammys + TRA")</f>
        <v>Grammys + TRA</v>
      </c>
      <c r="I917">
        <f>_xlfn.XLOOKUP(Grammys[[#This Row],[date]], mobile_visits[date], mobile_visits[mobile_visitors], 0)</f>
        <v>0</v>
      </c>
    </row>
    <row r="918" spans="1:9" x14ac:dyDescent="0.2">
      <c r="A918" s="1">
        <v>43652</v>
      </c>
      <c r="B918">
        <v>9850</v>
      </c>
      <c r="C918">
        <v>14240</v>
      </c>
      <c r="D918">
        <v>10415</v>
      </c>
      <c r="E918">
        <v>5994</v>
      </c>
      <c r="F918">
        <v>71</v>
      </c>
      <c r="G918" t="s">
        <v>20</v>
      </c>
      <c r="H918" t="str">
        <f>IF(Grammys[[#This Row],[date]] &gt;= DATE(2022, 2, 1), "Grammys", "Grammys + TRA")</f>
        <v>Grammys + TRA</v>
      </c>
      <c r="I918">
        <f>_xlfn.XLOOKUP(Grammys[[#This Row],[date]], mobile_visits[date], mobile_visits[mobile_visitors], 0)</f>
        <v>0</v>
      </c>
    </row>
    <row r="919" spans="1:9" x14ac:dyDescent="0.2">
      <c r="A919" s="1">
        <v>43653</v>
      </c>
      <c r="B919">
        <v>13922</v>
      </c>
      <c r="C919">
        <v>20236</v>
      </c>
      <c r="D919">
        <v>14559</v>
      </c>
      <c r="E919">
        <v>7414</v>
      </c>
      <c r="F919">
        <v>69</v>
      </c>
      <c r="G919" t="s">
        <v>20</v>
      </c>
      <c r="H919" t="str">
        <f>IF(Grammys[[#This Row],[date]] &gt;= DATE(2022, 2, 1), "Grammys", "Grammys + TRA")</f>
        <v>Grammys + TRA</v>
      </c>
      <c r="I919">
        <f>_xlfn.XLOOKUP(Grammys[[#This Row],[date]], mobile_visits[date], mobile_visits[mobile_visitors], 0)</f>
        <v>0</v>
      </c>
    </row>
    <row r="920" spans="1:9" x14ac:dyDescent="0.2">
      <c r="A920" s="1">
        <v>43654</v>
      </c>
      <c r="B920">
        <v>10866</v>
      </c>
      <c r="C920">
        <v>17110</v>
      </c>
      <c r="D920">
        <v>11768</v>
      </c>
      <c r="E920">
        <v>6182</v>
      </c>
      <c r="F920">
        <v>82</v>
      </c>
      <c r="G920" t="s">
        <v>20</v>
      </c>
      <c r="H920" t="str">
        <f>IF(Grammys[[#This Row],[date]] &gt;= DATE(2022, 2, 1), "Grammys", "Grammys + TRA")</f>
        <v>Grammys + TRA</v>
      </c>
      <c r="I920">
        <f>_xlfn.XLOOKUP(Grammys[[#This Row],[date]], mobile_visits[date], mobile_visits[mobile_visitors], 0)</f>
        <v>0</v>
      </c>
    </row>
    <row r="921" spans="1:9" x14ac:dyDescent="0.2">
      <c r="A921" s="1">
        <v>43655</v>
      </c>
      <c r="B921">
        <v>9491</v>
      </c>
      <c r="C921">
        <v>14362</v>
      </c>
      <c r="D921">
        <v>10054</v>
      </c>
      <c r="E921">
        <v>5350</v>
      </c>
      <c r="F921">
        <v>86</v>
      </c>
      <c r="G921" t="s">
        <v>20</v>
      </c>
      <c r="H921" t="str">
        <f>IF(Grammys[[#This Row],[date]] &gt;= DATE(2022, 2, 1), "Grammys", "Grammys + TRA")</f>
        <v>Grammys + TRA</v>
      </c>
      <c r="I921">
        <f>_xlfn.XLOOKUP(Grammys[[#This Row],[date]], mobile_visits[date], mobile_visits[mobile_visitors], 0)</f>
        <v>0</v>
      </c>
    </row>
    <row r="922" spans="1:9" x14ac:dyDescent="0.2">
      <c r="A922" s="1">
        <v>43656</v>
      </c>
      <c r="B922">
        <v>11413</v>
      </c>
      <c r="C922">
        <v>16263</v>
      </c>
      <c r="D922">
        <v>11934</v>
      </c>
      <c r="E922">
        <v>6645</v>
      </c>
      <c r="F922">
        <v>81</v>
      </c>
      <c r="G922" t="s">
        <v>20</v>
      </c>
      <c r="H922" t="str">
        <f>IF(Grammys[[#This Row],[date]] &gt;= DATE(2022, 2, 1), "Grammys", "Grammys + TRA")</f>
        <v>Grammys + TRA</v>
      </c>
      <c r="I922">
        <f>_xlfn.XLOOKUP(Grammys[[#This Row],[date]], mobile_visits[date], mobile_visits[mobile_visitors], 0)</f>
        <v>0</v>
      </c>
    </row>
    <row r="923" spans="1:9" x14ac:dyDescent="0.2">
      <c r="A923" s="1">
        <v>43657</v>
      </c>
      <c r="B923">
        <v>11903</v>
      </c>
      <c r="C923">
        <v>16926</v>
      </c>
      <c r="D923">
        <v>12695</v>
      </c>
      <c r="E923">
        <v>6428</v>
      </c>
      <c r="F923">
        <v>98</v>
      </c>
      <c r="G923" t="s">
        <v>20</v>
      </c>
      <c r="H923" t="str">
        <f>IF(Grammys[[#This Row],[date]] &gt;= DATE(2022, 2, 1), "Grammys", "Grammys + TRA")</f>
        <v>Grammys + TRA</v>
      </c>
      <c r="I923">
        <f>_xlfn.XLOOKUP(Grammys[[#This Row],[date]], mobile_visits[date], mobile_visits[mobile_visitors], 0)</f>
        <v>0</v>
      </c>
    </row>
    <row r="924" spans="1:9" x14ac:dyDescent="0.2">
      <c r="A924" s="1">
        <v>43658</v>
      </c>
      <c r="B924">
        <v>10895</v>
      </c>
      <c r="C924">
        <v>15753</v>
      </c>
      <c r="D924">
        <v>11616</v>
      </c>
      <c r="E924">
        <v>5898</v>
      </c>
      <c r="F924">
        <v>80</v>
      </c>
      <c r="G924" t="s">
        <v>20</v>
      </c>
      <c r="H924" t="str">
        <f>IF(Grammys[[#This Row],[date]] &gt;= DATE(2022, 2, 1), "Grammys", "Grammys + TRA")</f>
        <v>Grammys + TRA</v>
      </c>
      <c r="I924">
        <f>_xlfn.XLOOKUP(Grammys[[#This Row],[date]], mobile_visits[date], mobile_visits[mobile_visitors], 0)</f>
        <v>0</v>
      </c>
    </row>
    <row r="925" spans="1:9" x14ac:dyDescent="0.2">
      <c r="A925" s="1">
        <v>43659</v>
      </c>
      <c r="B925">
        <v>10120</v>
      </c>
      <c r="C925">
        <v>14423</v>
      </c>
      <c r="D925">
        <v>10666</v>
      </c>
      <c r="E925">
        <v>5644</v>
      </c>
      <c r="F925">
        <v>73</v>
      </c>
      <c r="G925" t="s">
        <v>20</v>
      </c>
      <c r="H925" t="str">
        <f>IF(Grammys[[#This Row],[date]] &gt;= DATE(2022, 2, 1), "Grammys", "Grammys + TRA")</f>
        <v>Grammys + TRA</v>
      </c>
      <c r="I925">
        <f>_xlfn.XLOOKUP(Grammys[[#This Row],[date]], mobile_visits[date], mobile_visits[mobile_visitors], 0)</f>
        <v>0</v>
      </c>
    </row>
    <row r="926" spans="1:9" x14ac:dyDescent="0.2">
      <c r="A926" s="1">
        <v>43660</v>
      </c>
      <c r="B926">
        <v>9949</v>
      </c>
      <c r="C926">
        <v>14394</v>
      </c>
      <c r="D926">
        <v>10442</v>
      </c>
      <c r="E926">
        <v>5364</v>
      </c>
      <c r="F926">
        <v>75</v>
      </c>
      <c r="G926" t="s">
        <v>20</v>
      </c>
      <c r="H926" t="str">
        <f>IF(Grammys[[#This Row],[date]] &gt;= DATE(2022, 2, 1), "Grammys", "Grammys + TRA")</f>
        <v>Grammys + TRA</v>
      </c>
      <c r="I926">
        <f>_xlfn.XLOOKUP(Grammys[[#This Row],[date]], mobile_visits[date], mobile_visits[mobile_visitors], 0)</f>
        <v>0</v>
      </c>
    </row>
    <row r="927" spans="1:9" x14ac:dyDescent="0.2">
      <c r="A927" s="1">
        <v>43661</v>
      </c>
      <c r="B927">
        <v>9841</v>
      </c>
      <c r="C927">
        <v>14865</v>
      </c>
      <c r="D927">
        <v>10474</v>
      </c>
      <c r="E927">
        <v>5722</v>
      </c>
      <c r="F927">
        <v>80</v>
      </c>
      <c r="G927" t="s">
        <v>20</v>
      </c>
      <c r="H927" t="str">
        <f>IF(Grammys[[#This Row],[date]] &gt;= DATE(2022, 2, 1), "Grammys", "Grammys + TRA")</f>
        <v>Grammys + TRA</v>
      </c>
      <c r="I927">
        <f>_xlfn.XLOOKUP(Grammys[[#This Row],[date]], mobile_visits[date], mobile_visits[mobile_visitors], 0)</f>
        <v>0</v>
      </c>
    </row>
    <row r="928" spans="1:9" x14ac:dyDescent="0.2">
      <c r="A928" s="1">
        <v>43662</v>
      </c>
      <c r="B928">
        <v>4176</v>
      </c>
      <c r="C928">
        <v>3958</v>
      </c>
      <c r="D928">
        <v>4346</v>
      </c>
      <c r="E928">
        <v>1376</v>
      </c>
      <c r="F928">
        <v>76</v>
      </c>
      <c r="G928" t="s">
        <v>20</v>
      </c>
      <c r="H928" t="str">
        <f>IF(Grammys[[#This Row],[date]] &gt;= DATE(2022, 2, 1), "Grammys", "Grammys + TRA")</f>
        <v>Grammys + TRA</v>
      </c>
      <c r="I928">
        <f>_xlfn.XLOOKUP(Grammys[[#This Row],[date]], mobile_visits[date], mobile_visits[mobile_visitors], 0)</f>
        <v>0</v>
      </c>
    </row>
    <row r="929" spans="1:9" x14ac:dyDescent="0.2">
      <c r="A929" s="1">
        <v>43663</v>
      </c>
      <c r="B929">
        <v>12091</v>
      </c>
      <c r="C929">
        <v>17422</v>
      </c>
      <c r="D929">
        <v>12775</v>
      </c>
      <c r="E929">
        <v>6599</v>
      </c>
      <c r="F929">
        <v>78</v>
      </c>
      <c r="G929" t="s">
        <v>20</v>
      </c>
      <c r="H929" t="str">
        <f>IF(Grammys[[#This Row],[date]] &gt;= DATE(2022, 2, 1), "Grammys", "Grammys + TRA")</f>
        <v>Grammys + TRA</v>
      </c>
      <c r="I929">
        <f>_xlfn.XLOOKUP(Grammys[[#This Row],[date]], mobile_visits[date], mobile_visits[mobile_visitors], 0)</f>
        <v>0</v>
      </c>
    </row>
    <row r="930" spans="1:9" x14ac:dyDescent="0.2">
      <c r="A930" s="1">
        <v>43664</v>
      </c>
      <c r="B930">
        <v>11985</v>
      </c>
      <c r="C930">
        <v>17731</v>
      </c>
      <c r="D930">
        <v>12763</v>
      </c>
      <c r="E930">
        <v>6887</v>
      </c>
      <c r="F930">
        <v>73</v>
      </c>
      <c r="G930" t="s">
        <v>20</v>
      </c>
      <c r="H930" t="str">
        <f>IF(Grammys[[#This Row],[date]] &gt;= DATE(2022, 2, 1), "Grammys", "Grammys + TRA")</f>
        <v>Grammys + TRA</v>
      </c>
      <c r="I930">
        <f>_xlfn.XLOOKUP(Grammys[[#This Row],[date]], mobile_visits[date], mobile_visits[mobile_visitors], 0)</f>
        <v>0</v>
      </c>
    </row>
    <row r="931" spans="1:9" x14ac:dyDescent="0.2">
      <c r="A931" s="1">
        <v>43665</v>
      </c>
      <c r="B931">
        <v>13587</v>
      </c>
      <c r="C931">
        <v>19481</v>
      </c>
      <c r="D931">
        <v>14181</v>
      </c>
      <c r="E931">
        <v>6992</v>
      </c>
      <c r="F931">
        <v>68</v>
      </c>
      <c r="G931" t="s">
        <v>20</v>
      </c>
      <c r="H931" t="str">
        <f>IF(Grammys[[#This Row],[date]] &gt;= DATE(2022, 2, 1), "Grammys", "Grammys + TRA")</f>
        <v>Grammys + TRA</v>
      </c>
      <c r="I931">
        <f>_xlfn.XLOOKUP(Grammys[[#This Row],[date]], mobile_visits[date], mobile_visits[mobile_visitors], 0)</f>
        <v>0</v>
      </c>
    </row>
    <row r="932" spans="1:9" x14ac:dyDescent="0.2">
      <c r="A932" s="1">
        <v>43666</v>
      </c>
      <c r="B932">
        <v>20035</v>
      </c>
      <c r="C932">
        <v>26922</v>
      </c>
      <c r="D932">
        <v>20867</v>
      </c>
      <c r="E932">
        <v>8817</v>
      </c>
      <c r="F932">
        <v>62</v>
      </c>
      <c r="G932" t="s">
        <v>20</v>
      </c>
      <c r="H932" t="str">
        <f>IF(Grammys[[#This Row],[date]] &gt;= DATE(2022, 2, 1), "Grammys", "Grammys + TRA")</f>
        <v>Grammys + TRA</v>
      </c>
      <c r="I932">
        <f>_xlfn.XLOOKUP(Grammys[[#This Row],[date]], mobile_visits[date], mobile_visits[mobile_visitors], 0)</f>
        <v>0</v>
      </c>
    </row>
    <row r="933" spans="1:9" x14ac:dyDescent="0.2">
      <c r="A933" s="1">
        <v>43667</v>
      </c>
      <c r="B933">
        <v>14439</v>
      </c>
      <c r="C933">
        <v>20217</v>
      </c>
      <c r="D933">
        <v>15214</v>
      </c>
      <c r="E933">
        <v>7372</v>
      </c>
      <c r="F933">
        <v>63</v>
      </c>
      <c r="G933" t="s">
        <v>20</v>
      </c>
      <c r="H933" t="str">
        <f>IF(Grammys[[#This Row],[date]] &gt;= DATE(2022, 2, 1), "Grammys", "Grammys + TRA")</f>
        <v>Grammys + TRA</v>
      </c>
      <c r="I933">
        <f>_xlfn.XLOOKUP(Grammys[[#This Row],[date]], mobile_visits[date], mobile_visits[mobile_visitors], 0)</f>
        <v>0</v>
      </c>
    </row>
    <row r="934" spans="1:9" x14ac:dyDescent="0.2">
      <c r="A934" s="1">
        <v>43668</v>
      </c>
      <c r="B934">
        <v>12337</v>
      </c>
      <c r="C934">
        <v>17790</v>
      </c>
      <c r="D934">
        <v>13115</v>
      </c>
      <c r="E934">
        <v>6840</v>
      </c>
      <c r="F934">
        <v>77</v>
      </c>
      <c r="G934" t="s">
        <v>20</v>
      </c>
      <c r="H934" t="str">
        <f>IF(Grammys[[#This Row],[date]] &gt;= DATE(2022, 2, 1), "Grammys", "Grammys + TRA")</f>
        <v>Grammys + TRA</v>
      </c>
      <c r="I934">
        <f>_xlfn.XLOOKUP(Grammys[[#This Row],[date]], mobile_visits[date], mobile_visits[mobile_visitors], 0)</f>
        <v>0</v>
      </c>
    </row>
    <row r="935" spans="1:9" x14ac:dyDescent="0.2">
      <c r="A935" s="1">
        <v>43669</v>
      </c>
      <c r="B935">
        <v>15058</v>
      </c>
      <c r="C935">
        <v>20678</v>
      </c>
      <c r="D935">
        <v>15940</v>
      </c>
      <c r="E935">
        <v>8629</v>
      </c>
      <c r="F935">
        <v>84</v>
      </c>
      <c r="G935" t="s">
        <v>20</v>
      </c>
      <c r="H935" t="str">
        <f>IF(Grammys[[#This Row],[date]] &gt;= DATE(2022, 2, 1), "Grammys", "Grammys + TRA")</f>
        <v>Grammys + TRA</v>
      </c>
      <c r="I935">
        <f>_xlfn.XLOOKUP(Grammys[[#This Row],[date]], mobile_visits[date], mobile_visits[mobile_visitors], 0)</f>
        <v>0</v>
      </c>
    </row>
    <row r="936" spans="1:9" x14ac:dyDescent="0.2">
      <c r="A936" s="1">
        <v>43670</v>
      </c>
      <c r="B936">
        <v>12571</v>
      </c>
      <c r="C936">
        <v>18420</v>
      </c>
      <c r="D936">
        <v>13397</v>
      </c>
      <c r="E936">
        <v>6632</v>
      </c>
      <c r="F936">
        <v>94</v>
      </c>
      <c r="G936" t="s">
        <v>20</v>
      </c>
      <c r="H936" t="str">
        <f>IF(Grammys[[#This Row],[date]] &gt;= DATE(2022, 2, 1), "Grammys", "Grammys + TRA")</f>
        <v>Grammys + TRA</v>
      </c>
      <c r="I936">
        <f>_xlfn.XLOOKUP(Grammys[[#This Row],[date]], mobile_visits[date], mobile_visits[mobile_visitors], 0)</f>
        <v>0</v>
      </c>
    </row>
    <row r="937" spans="1:9" x14ac:dyDescent="0.2">
      <c r="A937" s="1">
        <v>43671</v>
      </c>
      <c r="B937">
        <v>10667</v>
      </c>
      <c r="C937">
        <v>15746</v>
      </c>
      <c r="D937">
        <v>11308</v>
      </c>
      <c r="E937">
        <v>6345</v>
      </c>
      <c r="F937">
        <v>78</v>
      </c>
      <c r="G937" t="s">
        <v>20</v>
      </c>
      <c r="H937" t="str">
        <f>IF(Grammys[[#This Row],[date]] &gt;= DATE(2022, 2, 1), "Grammys", "Grammys + TRA")</f>
        <v>Grammys + TRA</v>
      </c>
      <c r="I937">
        <f>_xlfn.XLOOKUP(Grammys[[#This Row],[date]], mobile_visits[date], mobile_visits[mobile_visitors], 0)</f>
        <v>0</v>
      </c>
    </row>
    <row r="938" spans="1:9" x14ac:dyDescent="0.2">
      <c r="A938" s="1">
        <v>43672</v>
      </c>
      <c r="B938">
        <v>10266</v>
      </c>
      <c r="C938">
        <v>15396</v>
      </c>
      <c r="D938">
        <v>10966</v>
      </c>
      <c r="E938">
        <v>6336</v>
      </c>
      <c r="F938">
        <v>73</v>
      </c>
      <c r="G938" t="s">
        <v>20</v>
      </c>
      <c r="H938" t="str">
        <f>IF(Grammys[[#This Row],[date]] &gt;= DATE(2022, 2, 1), "Grammys", "Grammys + TRA")</f>
        <v>Grammys + TRA</v>
      </c>
      <c r="I938">
        <f>_xlfn.XLOOKUP(Grammys[[#This Row],[date]], mobile_visits[date], mobile_visits[mobile_visitors], 0)</f>
        <v>0</v>
      </c>
    </row>
    <row r="939" spans="1:9" x14ac:dyDescent="0.2">
      <c r="A939" s="1">
        <v>43673</v>
      </c>
      <c r="B939">
        <v>10433</v>
      </c>
      <c r="C939">
        <v>15119</v>
      </c>
      <c r="D939">
        <v>11132</v>
      </c>
      <c r="E939">
        <v>6044</v>
      </c>
      <c r="F939">
        <v>70</v>
      </c>
      <c r="G939" t="s">
        <v>20</v>
      </c>
      <c r="H939" t="str">
        <f>IF(Grammys[[#This Row],[date]] &gt;= DATE(2022, 2, 1), "Grammys", "Grammys + TRA")</f>
        <v>Grammys + TRA</v>
      </c>
      <c r="I939">
        <f>_xlfn.XLOOKUP(Grammys[[#This Row],[date]], mobile_visits[date], mobile_visits[mobile_visitors], 0)</f>
        <v>0</v>
      </c>
    </row>
    <row r="940" spans="1:9" x14ac:dyDescent="0.2">
      <c r="A940" s="1">
        <v>43674</v>
      </c>
      <c r="B940">
        <v>10215</v>
      </c>
      <c r="C940">
        <v>14895</v>
      </c>
      <c r="D940">
        <v>10903</v>
      </c>
      <c r="E940">
        <v>5948</v>
      </c>
      <c r="F940">
        <v>72</v>
      </c>
      <c r="G940" t="s">
        <v>20</v>
      </c>
      <c r="H940" t="str">
        <f>IF(Grammys[[#This Row],[date]] &gt;= DATE(2022, 2, 1), "Grammys", "Grammys + TRA")</f>
        <v>Grammys + TRA</v>
      </c>
      <c r="I940">
        <f>_xlfn.XLOOKUP(Grammys[[#This Row],[date]], mobile_visits[date], mobile_visits[mobile_visitors], 0)</f>
        <v>0</v>
      </c>
    </row>
    <row r="941" spans="1:9" x14ac:dyDescent="0.2">
      <c r="A941" s="1">
        <v>43675</v>
      </c>
      <c r="B941">
        <v>13938</v>
      </c>
      <c r="C941">
        <v>19368</v>
      </c>
      <c r="D941">
        <v>14627</v>
      </c>
      <c r="E941">
        <v>7304</v>
      </c>
      <c r="F941">
        <v>93</v>
      </c>
      <c r="G941" t="s">
        <v>20</v>
      </c>
      <c r="H941" t="str">
        <f>IF(Grammys[[#This Row],[date]] &gt;= DATE(2022, 2, 1), "Grammys", "Grammys + TRA")</f>
        <v>Grammys + TRA</v>
      </c>
      <c r="I941">
        <f>_xlfn.XLOOKUP(Grammys[[#This Row],[date]], mobile_visits[date], mobile_visits[mobile_visitors], 0)</f>
        <v>0</v>
      </c>
    </row>
    <row r="942" spans="1:9" x14ac:dyDescent="0.2">
      <c r="A942" s="1">
        <v>43676</v>
      </c>
      <c r="B942">
        <v>5964</v>
      </c>
      <c r="C942">
        <v>7773</v>
      </c>
      <c r="D942">
        <v>6325</v>
      </c>
      <c r="E942">
        <v>2467</v>
      </c>
      <c r="F942">
        <v>86</v>
      </c>
      <c r="G942" t="s">
        <v>20</v>
      </c>
      <c r="H942" t="str">
        <f>IF(Grammys[[#This Row],[date]] &gt;= DATE(2022, 2, 1), "Grammys", "Grammys + TRA")</f>
        <v>Grammys + TRA</v>
      </c>
      <c r="I942">
        <f>_xlfn.XLOOKUP(Grammys[[#This Row],[date]], mobile_visits[date], mobile_visits[mobile_visitors], 0)</f>
        <v>0</v>
      </c>
    </row>
    <row r="943" spans="1:9" x14ac:dyDescent="0.2">
      <c r="A943" s="1">
        <v>43677</v>
      </c>
      <c r="B943">
        <v>11359</v>
      </c>
      <c r="C943">
        <v>16330</v>
      </c>
      <c r="D943">
        <v>11997</v>
      </c>
      <c r="E943">
        <v>6786</v>
      </c>
      <c r="F943">
        <v>76</v>
      </c>
      <c r="G943" t="s">
        <v>20</v>
      </c>
      <c r="H943" t="str">
        <f>IF(Grammys[[#This Row],[date]] &gt;= DATE(2022, 2, 1), "Grammys", "Grammys + TRA")</f>
        <v>Grammys + TRA</v>
      </c>
      <c r="I943">
        <f>_xlfn.XLOOKUP(Grammys[[#This Row],[date]], mobile_visits[date], mobile_visits[mobile_visitors], 0)</f>
        <v>0</v>
      </c>
    </row>
    <row r="944" spans="1:9" x14ac:dyDescent="0.2">
      <c r="A944" s="1">
        <v>43678</v>
      </c>
      <c r="B944">
        <v>12507</v>
      </c>
      <c r="C944">
        <v>17639</v>
      </c>
      <c r="D944">
        <v>13281</v>
      </c>
      <c r="E944">
        <v>7699</v>
      </c>
      <c r="F944">
        <v>83</v>
      </c>
      <c r="G944" t="s">
        <v>20</v>
      </c>
      <c r="H944" t="str">
        <f>IF(Grammys[[#This Row],[date]] &gt;= DATE(2022, 2, 1), "Grammys", "Grammys + TRA")</f>
        <v>Grammys + TRA</v>
      </c>
      <c r="I944">
        <f>_xlfn.XLOOKUP(Grammys[[#This Row],[date]], mobile_visits[date], mobile_visits[mobile_visitors], 0)</f>
        <v>0</v>
      </c>
    </row>
    <row r="945" spans="1:9" x14ac:dyDescent="0.2">
      <c r="A945" s="1">
        <v>43679</v>
      </c>
      <c r="B945">
        <v>10905</v>
      </c>
      <c r="C945">
        <v>15866</v>
      </c>
      <c r="D945">
        <v>11561</v>
      </c>
      <c r="E945">
        <v>6287</v>
      </c>
      <c r="F945">
        <v>84</v>
      </c>
      <c r="G945" t="s">
        <v>20</v>
      </c>
      <c r="H945" t="str">
        <f>IF(Grammys[[#This Row],[date]] &gt;= DATE(2022, 2, 1), "Grammys", "Grammys + TRA")</f>
        <v>Grammys + TRA</v>
      </c>
      <c r="I945">
        <f>_xlfn.XLOOKUP(Grammys[[#This Row],[date]], mobile_visits[date], mobile_visits[mobile_visitors], 0)</f>
        <v>0</v>
      </c>
    </row>
    <row r="946" spans="1:9" x14ac:dyDescent="0.2">
      <c r="A946" s="1">
        <v>43680</v>
      </c>
      <c r="B946">
        <v>9087</v>
      </c>
      <c r="C946">
        <v>13134</v>
      </c>
      <c r="D946">
        <v>9665</v>
      </c>
      <c r="E946">
        <v>5531</v>
      </c>
      <c r="F946">
        <v>76</v>
      </c>
      <c r="G946" t="s">
        <v>20</v>
      </c>
      <c r="H946" t="str">
        <f>IF(Grammys[[#This Row],[date]] &gt;= DATE(2022, 2, 1), "Grammys", "Grammys + TRA")</f>
        <v>Grammys + TRA</v>
      </c>
      <c r="I946">
        <f>_xlfn.XLOOKUP(Grammys[[#This Row],[date]], mobile_visits[date], mobile_visits[mobile_visitors], 0)</f>
        <v>0</v>
      </c>
    </row>
    <row r="947" spans="1:9" x14ac:dyDescent="0.2">
      <c r="A947" s="1">
        <v>43681</v>
      </c>
      <c r="B947">
        <v>9963</v>
      </c>
      <c r="C947">
        <v>14563</v>
      </c>
      <c r="D947">
        <v>10632</v>
      </c>
      <c r="E947">
        <v>5656</v>
      </c>
      <c r="F947">
        <v>79</v>
      </c>
      <c r="G947" t="s">
        <v>20</v>
      </c>
      <c r="H947" t="str">
        <f>IF(Grammys[[#This Row],[date]] &gt;= DATE(2022, 2, 1), "Grammys", "Grammys + TRA")</f>
        <v>Grammys + TRA</v>
      </c>
      <c r="I947">
        <f>_xlfn.XLOOKUP(Grammys[[#This Row],[date]], mobile_visits[date], mobile_visits[mobile_visitors], 0)</f>
        <v>0</v>
      </c>
    </row>
    <row r="948" spans="1:9" x14ac:dyDescent="0.2">
      <c r="A948" s="1">
        <v>43682</v>
      </c>
      <c r="B948">
        <v>12422</v>
      </c>
      <c r="C948">
        <v>17279</v>
      </c>
      <c r="D948">
        <v>13065</v>
      </c>
      <c r="E948">
        <v>6728</v>
      </c>
      <c r="F948">
        <v>70</v>
      </c>
      <c r="G948" t="s">
        <v>20</v>
      </c>
      <c r="H948" t="str">
        <f>IF(Grammys[[#This Row],[date]] &gt;= DATE(2022, 2, 1), "Grammys", "Grammys + TRA")</f>
        <v>Grammys + TRA</v>
      </c>
      <c r="I948">
        <f>_xlfn.XLOOKUP(Grammys[[#This Row],[date]], mobile_visits[date], mobile_visits[mobile_visitors], 0)</f>
        <v>0</v>
      </c>
    </row>
    <row r="949" spans="1:9" x14ac:dyDescent="0.2">
      <c r="A949" s="1">
        <v>43683</v>
      </c>
      <c r="B949">
        <v>11118</v>
      </c>
      <c r="C949">
        <v>16524</v>
      </c>
      <c r="D949">
        <v>11877</v>
      </c>
      <c r="E949">
        <v>6032</v>
      </c>
      <c r="F949">
        <v>76</v>
      </c>
      <c r="G949" t="s">
        <v>20</v>
      </c>
      <c r="H949" t="str">
        <f>IF(Grammys[[#This Row],[date]] &gt;= DATE(2022, 2, 1), "Grammys", "Grammys + TRA")</f>
        <v>Grammys + TRA</v>
      </c>
      <c r="I949">
        <f>_xlfn.XLOOKUP(Grammys[[#This Row],[date]], mobile_visits[date], mobile_visits[mobile_visitors], 0)</f>
        <v>0</v>
      </c>
    </row>
    <row r="950" spans="1:9" x14ac:dyDescent="0.2">
      <c r="A950" s="1">
        <v>43684</v>
      </c>
      <c r="B950">
        <v>10262</v>
      </c>
      <c r="C950">
        <v>15004</v>
      </c>
      <c r="D950">
        <v>10932</v>
      </c>
      <c r="E950">
        <v>5969</v>
      </c>
      <c r="F950">
        <v>75</v>
      </c>
      <c r="G950" t="s">
        <v>20</v>
      </c>
      <c r="H950" t="str">
        <f>IF(Grammys[[#This Row],[date]] &gt;= DATE(2022, 2, 1), "Grammys", "Grammys + TRA")</f>
        <v>Grammys + TRA</v>
      </c>
      <c r="I950">
        <f>_xlfn.XLOOKUP(Grammys[[#This Row],[date]], mobile_visits[date], mobile_visits[mobile_visitors], 0)</f>
        <v>0</v>
      </c>
    </row>
    <row r="951" spans="1:9" x14ac:dyDescent="0.2">
      <c r="A951" s="1">
        <v>43685</v>
      </c>
      <c r="B951">
        <v>14950</v>
      </c>
      <c r="C951">
        <v>20165</v>
      </c>
      <c r="D951">
        <v>15679</v>
      </c>
      <c r="E951">
        <v>7302</v>
      </c>
      <c r="F951">
        <v>81</v>
      </c>
      <c r="G951" t="s">
        <v>20</v>
      </c>
      <c r="H951" t="str">
        <f>IF(Grammys[[#This Row],[date]] &gt;= DATE(2022, 2, 1), "Grammys", "Grammys + TRA")</f>
        <v>Grammys + TRA</v>
      </c>
      <c r="I951">
        <f>_xlfn.XLOOKUP(Grammys[[#This Row],[date]], mobile_visits[date], mobile_visits[mobile_visitors], 0)</f>
        <v>0</v>
      </c>
    </row>
    <row r="952" spans="1:9" x14ac:dyDescent="0.2">
      <c r="A952" s="1">
        <v>43686</v>
      </c>
      <c r="B952">
        <v>15261</v>
      </c>
      <c r="C952">
        <v>20305</v>
      </c>
      <c r="D952">
        <v>16127</v>
      </c>
      <c r="E952">
        <v>7469</v>
      </c>
      <c r="F952">
        <v>97</v>
      </c>
      <c r="G952" t="s">
        <v>20</v>
      </c>
      <c r="H952" t="str">
        <f>IF(Grammys[[#This Row],[date]] &gt;= DATE(2022, 2, 1), "Grammys", "Grammys + TRA")</f>
        <v>Grammys + TRA</v>
      </c>
      <c r="I952">
        <f>_xlfn.XLOOKUP(Grammys[[#This Row],[date]], mobile_visits[date], mobile_visits[mobile_visitors], 0)</f>
        <v>0</v>
      </c>
    </row>
    <row r="953" spans="1:9" x14ac:dyDescent="0.2">
      <c r="A953" s="1">
        <v>43687</v>
      </c>
      <c r="B953">
        <v>12390</v>
      </c>
      <c r="C953">
        <v>17348</v>
      </c>
      <c r="D953">
        <v>13249</v>
      </c>
      <c r="E953">
        <v>6527</v>
      </c>
      <c r="F953">
        <v>93</v>
      </c>
      <c r="G953" t="s">
        <v>20</v>
      </c>
      <c r="H953" t="str">
        <f>IF(Grammys[[#This Row],[date]] &gt;= DATE(2022, 2, 1), "Grammys", "Grammys + TRA")</f>
        <v>Grammys + TRA</v>
      </c>
      <c r="I953">
        <f>_xlfn.XLOOKUP(Grammys[[#This Row],[date]], mobile_visits[date], mobile_visits[mobile_visitors], 0)</f>
        <v>0</v>
      </c>
    </row>
    <row r="954" spans="1:9" x14ac:dyDescent="0.2">
      <c r="A954" s="1">
        <v>43688</v>
      </c>
      <c r="B954">
        <v>10405</v>
      </c>
      <c r="C954">
        <v>14656</v>
      </c>
      <c r="D954">
        <v>10996</v>
      </c>
      <c r="E954">
        <v>5914</v>
      </c>
      <c r="F954">
        <v>79</v>
      </c>
      <c r="G954" t="s">
        <v>20</v>
      </c>
      <c r="H954" t="str">
        <f>IF(Grammys[[#This Row],[date]] &gt;= DATE(2022, 2, 1), "Grammys", "Grammys + TRA")</f>
        <v>Grammys + TRA</v>
      </c>
      <c r="I954">
        <f>_xlfn.XLOOKUP(Grammys[[#This Row],[date]], mobile_visits[date], mobile_visits[mobile_visitors], 0)</f>
        <v>0</v>
      </c>
    </row>
    <row r="955" spans="1:9" x14ac:dyDescent="0.2">
      <c r="A955" s="1">
        <v>43689</v>
      </c>
      <c r="B955">
        <v>18366</v>
      </c>
      <c r="C955">
        <v>24391</v>
      </c>
      <c r="D955">
        <v>19344</v>
      </c>
      <c r="E955">
        <v>7647</v>
      </c>
      <c r="F955">
        <v>76</v>
      </c>
      <c r="G955" t="s">
        <v>20</v>
      </c>
      <c r="H955" t="str">
        <f>IF(Grammys[[#This Row],[date]] &gt;= DATE(2022, 2, 1), "Grammys", "Grammys + TRA")</f>
        <v>Grammys + TRA</v>
      </c>
      <c r="I955">
        <f>_xlfn.XLOOKUP(Grammys[[#This Row],[date]], mobile_visits[date], mobile_visits[mobile_visitors], 0)</f>
        <v>0</v>
      </c>
    </row>
    <row r="956" spans="1:9" x14ac:dyDescent="0.2">
      <c r="A956" s="1">
        <v>43690</v>
      </c>
      <c r="B956">
        <v>22868</v>
      </c>
      <c r="C956">
        <v>29473</v>
      </c>
      <c r="D956">
        <v>23849</v>
      </c>
      <c r="E956">
        <v>10105</v>
      </c>
      <c r="F956">
        <v>65</v>
      </c>
      <c r="G956" t="s">
        <v>20</v>
      </c>
      <c r="H956" t="str">
        <f>IF(Grammys[[#This Row],[date]] &gt;= DATE(2022, 2, 1), "Grammys", "Grammys + TRA")</f>
        <v>Grammys + TRA</v>
      </c>
      <c r="I956">
        <f>_xlfn.XLOOKUP(Grammys[[#This Row],[date]], mobile_visits[date], mobile_visits[mobile_visitors], 0)</f>
        <v>0</v>
      </c>
    </row>
    <row r="957" spans="1:9" x14ac:dyDescent="0.2">
      <c r="A957" s="1">
        <v>43691</v>
      </c>
      <c r="B957">
        <v>12030</v>
      </c>
      <c r="C957">
        <v>16952</v>
      </c>
      <c r="D957">
        <v>12746</v>
      </c>
      <c r="E957">
        <v>6909</v>
      </c>
      <c r="F957">
        <v>69</v>
      </c>
      <c r="G957" t="s">
        <v>20</v>
      </c>
      <c r="H957" t="str">
        <f>IF(Grammys[[#This Row],[date]] &gt;= DATE(2022, 2, 1), "Grammys", "Grammys + TRA")</f>
        <v>Grammys + TRA</v>
      </c>
      <c r="I957">
        <f>_xlfn.XLOOKUP(Grammys[[#This Row],[date]], mobile_visits[date], mobile_visits[mobile_visitors], 0)</f>
        <v>0</v>
      </c>
    </row>
    <row r="958" spans="1:9" x14ac:dyDescent="0.2">
      <c r="A958" s="1">
        <v>43692</v>
      </c>
      <c r="B958">
        <v>12000</v>
      </c>
      <c r="C958">
        <v>15960</v>
      </c>
      <c r="D958">
        <v>12515</v>
      </c>
      <c r="E958">
        <v>6537</v>
      </c>
      <c r="F958">
        <v>91</v>
      </c>
      <c r="G958" t="s">
        <v>20</v>
      </c>
      <c r="H958" t="str">
        <f>IF(Grammys[[#This Row],[date]] &gt;= DATE(2022, 2, 1), "Grammys", "Grammys + TRA")</f>
        <v>Grammys + TRA</v>
      </c>
      <c r="I958">
        <f>_xlfn.XLOOKUP(Grammys[[#This Row],[date]], mobile_visits[date], mobile_visits[mobile_visitors], 0)</f>
        <v>0</v>
      </c>
    </row>
    <row r="959" spans="1:9" x14ac:dyDescent="0.2">
      <c r="A959" s="1">
        <v>43693</v>
      </c>
      <c r="B959">
        <v>11373</v>
      </c>
      <c r="C959">
        <v>15525</v>
      </c>
      <c r="D959">
        <v>11922</v>
      </c>
      <c r="E959">
        <v>6860</v>
      </c>
      <c r="F959">
        <v>74</v>
      </c>
      <c r="G959" t="s">
        <v>20</v>
      </c>
      <c r="H959" t="str">
        <f>IF(Grammys[[#This Row],[date]] &gt;= DATE(2022, 2, 1), "Grammys", "Grammys + TRA")</f>
        <v>Grammys + TRA</v>
      </c>
      <c r="I959">
        <f>_xlfn.XLOOKUP(Grammys[[#This Row],[date]], mobile_visits[date], mobile_visits[mobile_visitors], 0)</f>
        <v>0</v>
      </c>
    </row>
    <row r="960" spans="1:9" x14ac:dyDescent="0.2">
      <c r="A960" s="1">
        <v>43694</v>
      </c>
      <c r="B960">
        <v>9070</v>
      </c>
      <c r="C960">
        <v>13362</v>
      </c>
      <c r="D960">
        <v>9651</v>
      </c>
      <c r="E960">
        <v>5355</v>
      </c>
      <c r="F960">
        <v>79</v>
      </c>
      <c r="G960" t="s">
        <v>20</v>
      </c>
      <c r="H960" t="str">
        <f>IF(Grammys[[#This Row],[date]] &gt;= DATE(2022, 2, 1), "Grammys", "Grammys + TRA")</f>
        <v>Grammys + TRA</v>
      </c>
      <c r="I960">
        <f>_xlfn.XLOOKUP(Grammys[[#This Row],[date]], mobile_visits[date], mobile_visits[mobile_visitors], 0)</f>
        <v>0</v>
      </c>
    </row>
    <row r="961" spans="1:9" x14ac:dyDescent="0.2">
      <c r="A961" s="1">
        <v>43695</v>
      </c>
      <c r="B961">
        <v>8840</v>
      </c>
      <c r="C961">
        <v>13295</v>
      </c>
      <c r="D961">
        <v>9445</v>
      </c>
      <c r="E961">
        <v>5178</v>
      </c>
      <c r="F961">
        <v>80</v>
      </c>
      <c r="G961" t="s">
        <v>20</v>
      </c>
      <c r="H961" t="str">
        <f>IF(Grammys[[#This Row],[date]] &gt;= DATE(2022, 2, 1), "Grammys", "Grammys + TRA")</f>
        <v>Grammys + TRA</v>
      </c>
      <c r="I961">
        <f>_xlfn.XLOOKUP(Grammys[[#This Row],[date]], mobile_visits[date], mobile_visits[mobile_visitors], 0)</f>
        <v>0</v>
      </c>
    </row>
    <row r="962" spans="1:9" x14ac:dyDescent="0.2">
      <c r="A962" s="1">
        <v>43696</v>
      </c>
      <c r="B962">
        <v>9310</v>
      </c>
      <c r="C962">
        <v>13995</v>
      </c>
      <c r="D962">
        <v>9814</v>
      </c>
      <c r="E962">
        <v>5643</v>
      </c>
      <c r="F962">
        <v>76</v>
      </c>
      <c r="G962" t="s">
        <v>20</v>
      </c>
      <c r="H962" t="str">
        <f>IF(Grammys[[#This Row],[date]] &gt;= DATE(2022, 2, 1), "Grammys", "Grammys + TRA")</f>
        <v>Grammys + TRA</v>
      </c>
      <c r="I962">
        <f>_xlfn.XLOOKUP(Grammys[[#This Row],[date]], mobile_visits[date], mobile_visits[mobile_visitors], 0)</f>
        <v>0</v>
      </c>
    </row>
    <row r="963" spans="1:9" x14ac:dyDescent="0.2">
      <c r="A963" s="1">
        <v>43697</v>
      </c>
      <c r="B963">
        <v>10197</v>
      </c>
      <c r="C963">
        <v>14888</v>
      </c>
      <c r="D963">
        <v>10819</v>
      </c>
      <c r="E963">
        <v>5819</v>
      </c>
      <c r="F963">
        <v>71</v>
      </c>
      <c r="G963" t="s">
        <v>20</v>
      </c>
      <c r="H963" t="str">
        <f>IF(Grammys[[#This Row],[date]] &gt;= DATE(2022, 2, 1), "Grammys", "Grammys + TRA")</f>
        <v>Grammys + TRA</v>
      </c>
      <c r="I963">
        <f>_xlfn.XLOOKUP(Grammys[[#This Row],[date]], mobile_visits[date], mobile_visits[mobile_visitors], 0)</f>
        <v>0</v>
      </c>
    </row>
    <row r="964" spans="1:9" x14ac:dyDescent="0.2">
      <c r="A964" s="1">
        <v>43698</v>
      </c>
      <c r="B964">
        <v>11365</v>
      </c>
      <c r="C964">
        <v>15865</v>
      </c>
      <c r="D964">
        <v>11996</v>
      </c>
      <c r="E964">
        <v>6092</v>
      </c>
      <c r="F964">
        <v>68</v>
      </c>
      <c r="G964" t="s">
        <v>20</v>
      </c>
      <c r="H964" t="str">
        <f>IF(Grammys[[#This Row],[date]] &gt;= DATE(2022, 2, 1), "Grammys", "Grammys + TRA")</f>
        <v>Grammys + TRA</v>
      </c>
      <c r="I964">
        <f>_xlfn.XLOOKUP(Grammys[[#This Row],[date]], mobile_visits[date], mobile_visits[mobile_visitors], 0)</f>
        <v>0</v>
      </c>
    </row>
    <row r="965" spans="1:9" x14ac:dyDescent="0.2">
      <c r="A965" s="1">
        <v>43699</v>
      </c>
      <c r="B965">
        <v>9347</v>
      </c>
      <c r="C965">
        <v>12687</v>
      </c>
      <c r="D965">
        <v>9742</v>
      </c>
      <c r="E965">
        <v>4378</v>
      </c>
      <c r="F965">
        <v>76</v>
      </c>
      <c r="G965" t="s">
        <v>20</v>
      </c>
      <c r="H965" t="str">
        <f>IF(Grammys[[#This Row],[date]] &gt;= DATE(2022, 2, 1), "Grammys", "Grammys + TRA")</f>
        <v>Grammys + TRA</v>
      </c>
      <c r="I965">
        <f>_xlfn.XLOOKUP(Grammys[[#This Row],[date]], mobile_visits[date], mobile_visits[mobile_visitors], 0)</f>
        <v>0</v>
      </c>
    </row>
    <row r="966" spans="1:9" x14ac:dyDescent="0.2">
      <c r="A966" s="1">
        <v>43700</v>
      </c>
      <c r="B966">
        <v>8160</v>
      </c>
      <c r="C966">
        <v>11245</v>
      </c>
      <c r="D966">
        <v>8523</v>
      </c>
      <c r="E966">
        <v>4174</v>
      </c>
      <c r="F966">
        <v>73</v>
      </c>
      <c r="G966" t="s">
        <v>20</v>
      </c>
      <c r="H966" t="str">
        <f>IF(Grammys[[#This Row],[date]] &gt;= DATE(2022, 2, 1), "Grammys", "Grammys + TRA")</f>
        <v>Grammys + TRA</v>
      </c>
      <c r="I966">
        <f>_xlfn.XLOOKUP(Grammys[[#This Row],[date]], mobile_visits[date], mobile_visits[mobile_visitors], 0)</f>
        <v>0</v>
      </c>
    </row>
    <row r="967" spans="1:9" x14ac:dyDescent="0.2">
      <c r="A967" s="1">
        <v>43701</v>
      </c>
      <c r="B967">
        <v>7001</v>
      </c>
      <c r="C967">
        <v>9968</v>
      </c>
      <c r="D967">
        <v>7310</v>
      </c>
      <c r="E967">
        <v>3539</v>
      </c>
      <c r="F967">
        <v>79</v>
      </c>
      <c r="G967" t="s">
        <v>20</v>
      </c>
      <c r="H967" t="str">
        <f>IF(Grammys[[#This Row],[date]] &gt;= DATE(2022, 2, 1), "Grammys", "Grammys + TRA")</f>
        <v>Grammys + TRA</v>
      </c>
      <c r="I967">
        <f>_xlfn.XLOOKUP(Grammys[[#This Row],[date]], mobile_visits[date], mobile_visits[mobile_visitors], 0)</f>
        <v>0</v>
      </c>
    </row>
    <row r="968" spans="1:9" x14ac:dyDescent="0.2">
      <c r="A968" s="1">
        <v>43702</v>
      </c>
      <c r="B968">
        <v>6959</v>
      </c>
      <c r="C968">
        <v>9739</v>
      </c>
      <c r="D968">
        <v>7241</v>
      </c>
      <c r="E968">
        <v>3515</v>
      </c>
      <c r="F968">
        <v>76</v>
      </c>
      <c r="G968" t="s">
        <v>20</v>
      </c>
      <c r="H968" t="str">
        <f>IF(Grammys[[#This Row],[date]] &gt;= DATE(2022, 2, 1), "Grammys", "Grammys + TRA")</f>
        <v>Grammys + TRA</v>
      </c>
      <c r="I968">
        <f>_xlfn.XLOOKUP(Grammys[[#This Row],[date]], mobile_visits[date], mobile_visits[mobile_visitors], 0)</f>
        <v>0</v>
      </c>
    </row>
    <row r="969" spans="1:9" x14ac:dyDescent="0.2">
      <c r="A969" s="1">
        <v>43703</v>
      </c>
      <c r="B969">
        <v>8033</v>
      </c>
      <c r="C969">
        <v>12085</v>
      </c>
      <c r="D969">
        <v>8496</v>
      </c>
      <c r="E969">
        <v>4072</v>
      </c>
      <c r="F969">
        <v>83</v>
      </c>
      <c r="G969" t="s">
        <v>20</v>
      </c>
      <c r="H969" t="str">
        <f>IF(Grammys[[#This Row],[date]] &gt;= DATE(2022, 2, 1), "Grammys", "Grammys + TRA")</f>
        <v>Grammys + TRA</v>
      </c>
      <c r="I969">
        <f>_xlfn.XLOOKUP(Grammys[[#This Row],[date]], mobile_visits[date], mobile_visits[mobile_visitors], 0)</f>
        <v>0</v>
      </c>
    </row>
    <row r="970" spans="1:9" x14ac:dyDescent="0.2">
      <c r="A970" s="1">
        <v>43704</v>
      </c>
      <c r="B970">
        <v>8315</v>
      </c>
      <c r="C970">
        <v>12225</v>
      </c>
      <c r="D970">
        <v>8797</v>
      </c>
      <c r="E970">
        <v>4307</v>
      </c>
      <c r="F970">
        <v>81</v>
      </c>
      <c r="G970" t="s">
        <v>20</v>
      </c>
      <c r="H970" t="str">
        <f>IF(Grammys[[#This Row],[date]] &gt;= DATE(2022, 2, 1), "Grammys", "Grammys + TRA")</f>
        <v>Grammys + TRA</v>
      </c>
      <c r="I970">
        <f>_xlfn.XLOOKUP(Grammys[[#This Row],[date]], mobile_visits[date], mobile_visits[mobile_visitors], 0)</f>
        <v>0</v>
      </c>
    </row>
    <row r="971" spans="1:9" x14ac:dyDescent="0.2">
      <c r="A971" s="1">
        <v>43705</v>
      </c>
      <c r="B971">
        <v>16128</v>
      </c>
      <c r="C971">
        <v>23256</v>
      </c>
      <c r="D971">
        <v>17176</v>
      </c>
      <c r="E971">
        <v>8092</v>
      </c>
      <c r="F971">
        <v>65</v>
      </c>
      <c r="G971" t="s">
        <v>20</v>
      </c>
      <c r="H971" t="str">
        <f>IF(Grammys[[#This Row],[date]] &gt;= DATE(2022, 2, 1), "Grammys", "Grammys + TRA")</f>
        <v>Grammys + TRA</v>
      </c>
      <c r="I971">
        <f>_xlfn.XLOOKUP(Grammys[[#This Row],[date]], mobile_visits[date], mobile_visits[mobile_visitors], 0)</f>
        <v>0</v>
      </c>
    </row>
    <row r="972" spans="1:9" x14ac:dyDescent="0.2">
      <c r="A972" s="1">
        <v>43706</v>
      </c>
      <c r="B972">
        <v>12813</v>
      </c>
      <c r="C972">
        <v>18124</v>
      </c>
      <c r="D972">
        <v>13458</v>
      </c>
      <c r="E972">
        <v>6553</v>
      </c>
      <c r="F972">
        <v>75</v>
      </c>
      <c r="G972" t="s">
        <v>20</v>
      </c>
      <c r="H972" t="str">
        <f>IF(Grammys[[#This Row],[date]] &gt;= DATE(2022, 2, 1), "Grammys", "Grammys + TRA")</f>
        <v>Grammys + TRA</v>
      </c>
      <c r="I972">
        <f>_xlfn.XLOOKUP(Grammys[[#This Row],[date]], mobile_visits[date], mobile_visits[mobile_visitors], 0)</f>
        <v>0</v>
      </c>
    </row>
    <row r="973" spans="1:9" x14ac:dyDescent="0.2">
      <c r="A973" s="1">
        <v>43707</v>
      </c>
      <c r="B973">
        <v>10930</v>
      </c>
      <c r="C973">
        <v>15938</v>
      </c>
      <c r="D973">
        <v>11504</v>
      </c>
      <c r="E973">
        <v>5591</v>
      </c>
      <c r="F973">
        <v>75</v>
      </c>
      <c r="G973" t="s">
        <v>20</v>
      </c>
      <c r="H973" t="str">
        <f>IF(Grammys[[#This Row],[date]] &gt;= DATE(2022, 2, 1), "Grammys", "Grammys + TRA")</f>
        <v>Grammys + TRA</v>
      </c>
      <c r="I973">
        <f>_xlfn.XLOOKUP(Grammys[[#This Row],[date]], mobile_visits[date], mobile_visits[mobile_visitors], 0)</f>
        <v>0</v>
      </c>
    </row>
    <row r="974" spans="1:9" x14ac:dyDescent="0.2">
      <c r="A974" s="1">
        <v>43708</v>
      </c>
      <c r="B974">
        <v>14794</v>
      </c>
      <c r="C974">
        <v>18583</v>
      </c>
      <c r="D974">
        <v>15549</v>
      </c>
      <c r="E974">
        <v>4947</v>
      </c>
      <c r="F974">
        <v>50</v>
      </c>
      <c r="G974" t="s">
        <v>20</v>
      </c>
      <c r="H974" t="str">
        <f>IF(Grammys[[#This Row],[date]] &gt;= DATE(2022, 2, 1), "Grammys", "Grammys + TRA")</f>
        <v>Grammys + TRA</v>
      </c>
      <c r="I974">
        <f>_xlfn.XLOOKUP(Grammys[[#This Row],[date]], mobile_visits[date], mobile_visits[mobile_visitors], 0)</f>
        <v>0</v>
      </c>
    </row>
    <row r="975" spans="1:9" x14ac:dyDescent="0.2">
      <c r="A975" s="1">
        <v>43709</v>
      </c>
      <c r="B975">
        <v>14627</v>
      </c>
      <c r="C975">
        <v>17877</v>
      </c>
      <c r="D975">
        <v>15121</v>
      </c>
      <c r="E975">
        <v>4827</v>
      </c>
      <c r="F975">
        <v>49</v>
      </c>
      <c r="G975" t="s">
        <v>20</v>
      </c>
      <c r="H975" t="str">
        <f>IF(Grammys[[#This Row],[date]] &gt;= DATE(2022, 2, 1), "Grammys", "Grammys + TRA")</f>
        <v>Grammys + TRA</v>
      </c>
      <c r="I975">
        <f>_xlfn.XLOOKUP(Grammys[[#This Row],[date]], mobile_visits[date], mobile_visits[mobile_visitors], 0)</f>
        <v>0</v>
      </c>
    </row>
    <row r="976" spans="1:9" x14ac:dyDescent="0.2">
      <c r="A976" s="1">
        <v>43710</v>
      </c>
      <c r="B976">
        <v>8695</v>
      </c>
      <c r="C976">
        <v>12655</v>
      </c>
      <c r="D976">
        <v>9176</v>
      </c>
      <c r="E976">
        <v>4346</v>
      </c>
      <c r="F976">
        <v>79</v>
      </c>
      <c r="G976" t="s">
        <v>20</v>
      </c>
      <c r="H976" t="str">
        <f>IF(Grammys[[#This Row],[date]] &gt;= DATE(2022, 2, 1), "Grammys", "Grammys + TRA")</f>
        <v>Grammys + TRA</v>
      </c>
      <c r="I976">
        <f>_xlfn.XLOOKUP(Grammys[[#This Row],[date]], mobile_visits[date], mobile_visits[mobile_visitors], 0)</f>
        <v>0</v>
      </c>
    </row>
    <row r="977" spans="1:9" x14ac:dyDescent="0.2">
      <c r="A977" s="1">
        <v>43711</v>
      </c>
      <c r="B977">
        <v>8340</v>
      </c>
      <c r="C977">
        <v>12519</v>
      </c>
      <c r="D977">
        <v>8781</v>
      </c>
      <c r="E977">
        <v>4285</v>
      </c>
      <c r="F977">
        <v>80</v>
      </c>
      <c r="G977" t="s">
        <v>20</v>
      </c>
      <c r="H977" t="str">
        <f>IF(Grammys[[#This Row],[date]] &gt;= DATE(2022, 2, 1), "Grammys", "Grammys + TRA")</f>
        <v>Grammys + TRA</v>
      </c>
      <c r="I977">
        <f>_xlfn.XLOOKUP(Grammys[[#This Row],[date]], mobile_visits[date], mobile_visits[mobile_visitors], 0)</f>
        <v>0</v>
      </c>
    </row>
    <row r="978" spans="1:9" x14ac:dyDescent="0.2">
      <c r="A978" s="1">
        <v>43712</v>
      </c>
      <c r="B978">
        <v>10296</v>
      </c>
      <c r="C978">
        <v>13732</v>
      </c>
      <c r="D978">
        <v>10767</v>
      </c>
      <c r="E978">
        <v>4909</v>
      </c>
      <c r="F978">
        <v>73</v>
      </c>
      <c r="G978" t="s">
        <v>20</v>
      </c>
      <c r="H978" t="str">
        <f>IF(Grammys[[#This Row],[date]] &gt;= DATE(2022, 2, 1), "Grammys", "Grammys + TRA")</f>
        <v>Grammys + TRA</v>
      </c>
      <c r="I978">
        <f>_xlfn.XLOOKUP(Grammys[[#This Row],[date]], mobile_visits[date], mobile_visits[mobile_visitors], 0)</f>
        <v>0</v>
      </c>
    </row>
    <row r="979" spans="1:9" x14ac:dyDescent="0.2">
      <c r="A979" s="1">
        <v>43713</v>
      </c>
      <c r="B979">
        <v>25821</v>
      </c>
      <c r="C979">
        <v>30424</v>
      </c>
      <c r="D979">
        <v>26382</v>
      </c>
      <c r="E979">
        <v>8042</v>
      </c>
      <c r="F979">
        <v>86</v>
      </c>
      <c r="G979" t="s">
        <v>20</v>
      </c>
      <c r="H979" t="str">
        <f>IF(Grammys[[#This Row],[date]] &gt;= DATE(2022, 2, 1), "Grammys", "Grammys + TRA")</f>
        <v>Grammys + TRA</v>
      </c>
      <c r="I979">
        <f>_xlfn.XLOOKUP(Grammys[[#This Row],[date]], mobile_visits[date], mobile_visits[mobile_visitors], 0)</f>
        <v>0</v>
      </c>
    </row>
    <row r="980" spans="1:9" x14ac:dyDescent="0.2">
      <c r="A980" s="1">
        <v>43714</v>
      </c>
      <c r="B980">
        <v>11170</v>
      </c>
      <c r="C980">
        <v>14380</v>
      </c>
      <c r="D980">
        <v>11742</v>
      </c>
      <c r="E980">
        <v>5360</v>
      </c>
      <c r="F980">
        <v>79</v>
      </c>
      <c r="G980" t="s">
        <v>20</v>
      </c>
      <c r="H980" t="str">
        <f>IF(Grammys[[#This Row],[date]] &gt;= DATE(2022, 2, 1), "Grammys", "Grammys + TRA")</f>
        <v>Grammys + TRA</v>
      </c>
      <c r="I980">
        <f>_xlfn.XLOOKUP(Grammys[[#This Row],[date]], mobile_visits[date], mobile_visits[mobile_visitors], 0)</f>
        <v>0</v>
      </c>
    </row>
    <row r="981" spans="1:9" x14ac:dyDescent="0.2">
      <c r="A981" s="1">
        <v>43715</v>
      </c>
      <c r="B981">
        <v>10037</v>
      </c>
      <c r="C981">
        <v>13005</v>
      </c>
      <c r="D981">
        <v>10528</v>
      </c>
      <c r="E981">
        <v>4615</v>
      </c>
      <c r="F981">
        <v>80</v>
      </c>
      <c r="G981" t="s">
        <v>20</v>
      </c>
      <c r="H981" t="str">
        <f>IF(Grammys[[#This Row],[date]] &gt;= DATE(2022, 2, 1), "Grammys", "Grammys + TRA")</f>
        <v>Grammys + TRA</v>
      </c>
      <c r="I981">
        <f>_xlfn.XLOOKUP(Grammys[[#This Row],[date]], mobile_visits[date], mobile_visits[mobile_visitors], 0)</f>
        <v>0</v>
      </c>
    </row>
    <row r="982" spans="1:9" x14ac:dyDescent="0.2">
      <c r="A982" s="1">
        <v>43716</v>
      </c>
      <c r="B982">
        <v>9921</v>
      </c>
      <c r="C982">
        <v>13048</v>
      </c>
      <c r="D982">
        <v>10285</v>
      </c>
      <c r="E982">
        <v>4307</v>
      </c>
      <c r="F982">
        <v>79</v>
      </c>
      <c r="G982" t="s">
        <v>20</v>
      </c>
      <c r="H982" t="str">
        <f>IF(Grammys[[#This Row],[date]] &gt;= DATE(2022, 2, 1), "Grammys", "Grammys + TRA")</f>
        <v>Grammys + TRA</v>
      </c>
      <c r="I982">
        <f>_xlfn.XLOOKUP(Grammys[[#This Row],[date]], mobile_visits[date], mobile_visits[mobile_visitors], 0)</f>
        <v>0</v>
      </c>
    </row>
    <row r="983" spans="1:9" x14ac:dyDescent="0.2">
      <c r="A983" s="1">
        <v>43717</v>
      </c>
      <c r="B983">
        <v>7993</v>
      </c>
      <c r="C983">
        <v>11929</v>
      </c>
      <c r="D983">
        <v>8515</v>
      </c>
      <c r="E983">
        <v>4135</v>
      </c>
      <c r="F983">
        <v>83</v>
      </c>
      <c r="G983" t="s">
        <v>20</v>
      </c>
      <c r="H983" t="str">
        <f>IF(Grammys[[#This Row],[date]] &gt;= DATE(2022, 2, 1), "Grammys", "Grammys + TRA")</f>
        <v>Grammys + TRA</v>
      </c>
      <c r="I983">
        <f>_xlfn.XLOOKUP(Grammys[[#This Row],[date]], mobile_visits[date], mobile_visits[mobile_visitors], 0)</f>
        <v>0</v>
      </c>
    </row>
    <row r="984" spans="1:9" x14ac:dyDescent="0.2">
      <c r="A984" s="1">
        <v>43718</v>
      </c>
      <c r="B984">
        <v>7871</v>
      </c>
      <c r="C984">
        <v>11633</v>
      </c>
      <c r="D984">
        <v>8298</v>
      </c>
      <c r="E984">
        <v>3829</v>
      </c>
      <c r="F984">
        <v>91</v>
      </c>
      <c r="G984" t="s">
        <v>20</v>
      </c>
      <c r="H984" t="str">
        <f>IF(Grammys[[#This Row],[date]] &gt;= DATE(2022, 2, 1), "Grammys", "Grammys + TRA")</f>
        <v>Grammys + TRA</v>
      </c>
      <c r="I984">
        <f>_xlfn.XLOOKUP(Grammys[[#This Row],[date]], mobile_visits[date], mobile_visits[mobile_visitors], 0)</f>
        <v>0</v>
      </c>
    </row>
    <row r="985" spans="1:9" x14ac:dyDescent="0.2">
      <c r="A985" s="1">
        <v>43719</v>
      </c>
      <c r="B985">
        <v>15129</v>
      </c>
      <c r="C985">
        <v>17449</v>
      </c>
      <c r="D985">
        <v>15883</v>
      </c>
      <c r="E985">
        <v>7896</v>
      </c>
      <c r="F985">
        <v>91</v>
      </c>
      <c r="G985" t="s">
        <v>20</v>
      </c>
      <c r="H985" t="str">
        <f>IF(Grammys[[#This Row],[date]] &gt;= DATE(2022, 2, 1), "Grammys", "Grammys + TRA")</f>
        <v>Grammys + TRA</v>
      </c>
      <c r="I985">
        <f>_xlfn.XLOOKUP(Grammys[[#This Row],[date]], mobile_visits[date], mobile_visits[mobile_visitors], 0)</f>
        <v>0</v>
      </c>
    </row>
    <row r="986" spans="1:9" x14ac:dyDescent="0.2">
      <c r="A986" s="1">
        <v>43720</v>
      </c>
      <c r="B986">
        <v>11051</v>
      </c>
      <c r="C986">
        <v>13777</v>
      </c>
      <c r="D986">
        <v>11461</v>
      </c>
      <c r="E986">
        <v>5312</v>
      </c>
      <c r="F986">
        <v>91</v>
      </c>
      <c r="G986" t="s">
        <v>20</v>
      </c>
      <c r="H986" t="str">
        <f>IF(Grammys[[#This Row],[date]] &gt;= DATE(2022, 2, 1), "Grammys", "Grammys + TRA")</f>
        <v>Grammys + TRA</v>
      </c>
      <c r="I986">
        <f>_xlfn.XLOOKUP(Grammys[[#This Row],[date]], mobile_visits[date], mobile_visits[mobile_visitors], 0)</f>
        <v>0</v>
      </c>
    </row>
    <row r="987" spans="1:9" x14ac:dyDescent="0.2">
      <c r="A987" s="1">
        <v>43721</v>
      </c>
      <c r="B987">
        <v>18065</v>
      </c>
      <c r="C987">
        <v>21594</v>
      </c>
      <c r="D987">
        <v>18658</v>
      </c>
      <c r="E987">
        <v>12083</v>
      </c>
      <c r="F987">
        <v>54</v>
      </c>
      <c r="G987" t="s">
        <v>20</v>
      </c>
      <c r="H987" t="str">
        <f>IF(Grammys[[#This Row],[date]] &gt;= DATE(2022, 2, 1), "Grammys", "Grammys + TRA")</f>
        <v>Grammys + TRA</v>
      </c>
      <c r="I987">
        <f>_xlfn.XLOOKUP(Grammys[[#This Row],[date]], mobile_visits[date], mobile_visits[mobile_visitors], 0)</f>
        <v>0</v>
      </c>
    </row>
    <row r="988" spans="1:9" x14ac:dyDescent="0.2">
      <c r="A988" s="1">
        <v>43722</v>
      </c>
      <c r="B988">
        <v>23228</v>
      </c>
      <c r="C988">
        <v>27025</v>
      </c>
      <c r="D988">
        <v>23578</v>
      </c>
      <c r="E988">
        <v>17495</v>
      </c>
      <c r="F988">
        <v>37</v>
      </c>
      <c r="G988" t="s">
        <v>20</v>
      </c>
      <c r="H988" t="str">
        <f>IF(Grammys[[#This Row],[date]] &gt;= DATE(2022, 2, 1), "Grammys", "Grammys + TRA")</f>
        <v>Grammys + TRA</v>
      </c>
      <c r="I988">
        <f>_xlfn.XLOOKUP(Grammys[[#This Row],[date]], mobile_visits[date], mobile_visits[mobile_visitors], 0)</f>
        <v>0</v>
      </c>
    </row>
    <row r="989" spans="1:9" x14ac:dyDescent="0.2">
      <c r="A989" s="1">
        <v>43723</v>
      </c>
      <c r="B989">
        <v>18797</v>
      </c>
      <c r="C989">
        <v>22900</v>
      </c>
      <c r="D989">
        <v>19270</v>
      </c>
      <c r="E989">
        <v>13640</v>
      </c>
      <c r="F989">
        <v>44</v>
      </c>
      <c r="G989" t="s">
        <v>20</v>
      </c>
      <c r="H989" t="str">
        <f>IF(Grammys[[#This Row],[date]] &gt;= DATE(2022, 2, 1), "Grammys", "Grammys + TRA")</f>
        <v>Grammys + TRA</v>
      </c>
      <c r="I989">
        <f>_xlfn.XLOOKUP(Grammys[[#This Row],[date]], mobile_visits[date], mobile_visits[mobile_visitors], 0)</f>
        <v>0</v>
      </c>
    </row>
    <row r="990" spans="1:9" x14ac:dyDescent="0.2">
      <c r="A990" s="1">
        <v>43724</v>
      </c>
      <c r="B990">
        <v>14136</v>
      </c>
      <c r="C990">
        <v>17913</v>
      </c>
      <c r="D990">
        <v>14702</v>
      </c>
      <c r="E990">
        <v>9333</v>
      </c>
      <c r="F990">
        <v>57</v>
      </c>
      <c r="G990" t="s">
        <v>20</v>
      </c>
      <c r="H990" t="str">
        <f>IF(Grammys[[#This Row],[date]] &gt;= DATE(2022, 2, 1), "Grammys", "Grammys + TRA")</f>
        <v>Grammys + TRA</v>
      </c>
      <c r="I990">
        <f>_xlfn.XLOOKUP(Grammys[[#This Row],[date]], mobile_visits[date], mobile_visits[mobile_visitors], 0)</f>
        <v>0</v>
      </c>
    </row>
    <row r="991" spans="1:9" x14ac:dyDescent="0.2">
      <c r="A991" s="1">
        <v>43725</v>
      </c>
      <c r="B991">
        <v>9528</v>
      </c>
      <c r="C991">
        <v>13382</v>
      </c>
      <c r="D991">
        <v>10084</v>
      </c>
      <c r="E991">
        <v>5203</v>
      </c>
      <c r="F991">
        <v>76</v>
      </c>
      <c r="G991" t="s">
        <v>20</v>
      </c>
      <c r="H991" t="str">
        <f>IF(Grammys[[#This Row],[date]] &gt;= DATE(2022, 2, 1), "Grammys", "Grammys + TRA")</f>
        <v>Grammys + TRA</v>
      </c>
      <c r="I991">
        <f>_xlfn.XLOOKUP(Grammys[[#This Row],[date]], mobile_visits[date], mobile_visits[mobile_visitors], 0)</f>
        <v>0</v>
      </c>
    </row>
    <row r="992" spans="1:9" x14ac:dyDescent="0.2">
      <c r="A992" s="1">
        <v>43726</v>
      </c>
      <c r="B992">
        <v>9187</v>
      </c>
      <c r="C992">
        <v>13050</v>
      </c>
      <c r="D992">
        <v>9661</v>
      </c>
      <c r="E992">
        <v>4671</v>
      </c>
      <c r="F992">
        <v>77</v>
      </c>
      <c r="G992" t="s">
        <v>20</v>
      </c>
      <c r="H992" t="str">
        <f>IF(Grammys[[#This Row],[date]] &gt;= DATE(2022, 2, 1), "Grammys", "Grammys + TRA")</f>
        <v>Grammys + TRA</v>
      </c>
      <c r="I992">
        <f>_xlfn.XLOOKUP(Grammys[[#This Row],[date]], mobile_visits[date], mobile_visits[mobile_visitors], 0)</f>
        <v>0</v>
      </c>
    </row>
    <row r="993" spans="1:9" x14ac:dyDescent="0.2">
      <c r="A993" s="1">
        <v>43727</v>
      </c>
      <c r="B993">
        <v>9078</v>
      </c>
      <c r="C993">
        <v>12770</v>
      </c>
      <c r="D993">
        <v>9630</v>
      </c>
      <c r="E993">
        <v>4570</v>
      </c>
      <c r="F993">
        <v>83</v>
      </c>
      <c r="G993" t="s">
        <v>20</v>
      </c>
      <c r="H993" t="str">
        <f>IF(Grammys[[#This Row],[date]] &gt;= DATE(2022, 2, 1), "Grammys", "Grammys + TRA")</f>
        <v>Grammys + TRA</v>
      </c>
      <c r="I993">
        <f>_xlfn.XLOOKUP(Grammys[[#This Row],[date]], mobile_visits[date], mobile_visits[mobile_visitors], 0)</f>
        <v>0</v>
      </c>
    </row>
    <row r="994" spans="1:9" x14ac:dyDescent="0.2">
      <c r="A994" s="1">
        <v>43728</v>
      </c>
      <c r="B994">
        <v>10102</v>
      </c>
      <c r="C994">
        <v>13531</v>
      </c>
      <c r="D994">
        <v>10645</v>
      </c>
      <c r="E994">
        <v>5333</v>
      </c>
      <c r="F994">
        <v>74</v>
      </c>
      <c r="G994" t="s">
        <v>20</v>
      </c>
      <c r="H994" t="str">
        <f>IF(Grammys[[#This Row],[date]] &gt;= DATE(2022, 2, 1), "Grammys", "Grammys + TRA")</f>
        <v>Grammys + TRA</v>
      </c>
      <c r="I994">
        <f>_xlfn.XLOOKUP(Grammys[[#This Row],[date]], mobile_visits[date], mobile_visits[mobile_visitors], 0)</f>
        <v>0</v>
      </c>
    </row>
    <row r="995" spans="1:9" x14ac:dyDescent="0.2">
      <c r="A995" s="1">
        <v>43729</v>
      </c>
      <c r="B995">
        <v>10161</v>
      </c>
      <c r="C995">
        <v>13843</v>
      </c>
      <c r="D995">
        <v>10710</v>
      </c>
      <c r="E995">
        <v>5251</v>
      </c>
      <c r="F995">
        <v>73</v>
      </c>
      <c r="G995" t="s">
        <v>20</v>
      </c>
      <c r="H995" t="str">
        <f>IF(Grammys[[#This Row],[date]] &gt;= DATE(2022, 2, 1), "Grammys", "Grammys + TRA")</f>
        <v>Grammys + TRA</v>
      </c>
      <c r="I995">
        <f>_xlfn.XLOOKUP(Grammys[[#This Row],[date]], mobile_visits[date], mobile_visits[mobile_visitors], 0)</f>
        <v>0</v>
      </c>
    </row>
    <row r="996" spans="1:9" x14ac:dyDescent="0.2">
      <c r="A996" s="1">
        <v>43730</v>
      </c>
      <c r="B996">
        <v>13074</v>
      </c>
      <c r="C996">
        <v>18192</v>
      </c>
      <c r="D996">
        <v>13544</v>
      </c>
      <c r="E996">
        <v>6246</v>
      </c>
      <c r="F996">
        <v>68</v>
      </c>
      <c r="G996" t="s">
        <v>20</v>
      </c>
      <c r="H996" t="str">
        <f>IF(Grammys[[#This Row],[date]] &gt;= DATE(2022, 2, 1), "Grammys", "Grammys + TRA")</f>
        <v>Grammys + TRA</v>
      </c>
      <c r="I996">
        <f>_xlfn.XLOOKUP(Grammys[[#This Row],[date]], mobile_visits[date], mobile_visits[mobile_visitors], 0)</f>
        <v>0</v>
      </c>
    </row>
    <row r="997" spans="1:9" x14ac:dyDescent="0.2">
      <c r="A997" s="1">
        <v>43731</v>
      </c>
      <c r="B997">
        <v>11947</v>
      </c>
      <c r="C997">
        <v>17078</v>
      </c>
      <c r="D997">
        <v>12455</v>
      </c>
      <c r="E997">
        <v>6304</v>
      </c>
      <c r="F997">
        <v>75</v>
      </c>
      <c r="G997" t="s">
        <v>20</v>
      </c>
      <c r="H997" t="str">
        <f>IF(Grammys[[#This Row],[date]] &gt;= DATE(2022, 2, 1), "Grammys", "Grammys + TRA")</f>
        <v>Grammys + TRA</v>
      </c>
      <c r="I997">
        <f>_xlfn.XLOOKUP(Grammys[[#This Row],[date]], mobile_visits[date], mobile_visits[mobile_visitors], 0)</f>
        <v>0</v>
      </c>
    </row>
    <row r="998" spans="1:9" x14ac:dyDescent="0.2">
      <c r="A998" s="1">
        <v>43732</v>
      </c>
      <c r="B998">
        <v>27064</v>
      </c>
      <c r="C998">
        <v>34492</v>
      </c>
      <c r="D998">
        <v>28229</v>
      </c>
      <c r="E998">
        <v>8150</v>
      </c>
      <c r="F998">
        <v>63</v>
      </c>
      <c r="G998" t="s">
        <v>20</v>
      </c>
      <c r="H998" t="str">
        <f>IF(Grammys[[#This Row],[date]] &gt;= DATE(2022, 2, 1), "Grammys", "Grammys + TRA")</f>
        <v>Grammys + TRA</v>
      </c>
      <c r="I998">
        <f>_xlfn.XLOOKUP(Grammys[[#This Row],[date]], mobile_visits[date], mobile_visits[mobile_visitors], 0)</f>
        <v>0</v>
      </c>
    </row>
    <row r="999" spans="1:9" x14ac:dyDescent="0.2">
      <c r="A999" s="1">
        <v>43733</v>
      </c>
      <c r="B999">
        <v>20065</v>
      </c>
      <c r="C999">
        <v>28921</v>
      </c>
      <c r="D999">
        <v>21178</v>
      </c>
      <c r="E999">
        <v>8656</v>
      </c>
      <c r="F999">
        <v>81</v>
      </c>
      <c r="G999" t="s">
        <v>20</v>
      </c>
      <c r="H999" t="str">
        <f>IF(Grammys[[#This Row],[date]] &gt;= DATE(2022, 2, 1), "Grammys", "Grammys + TRA")</f>
        <v>Grammys + TRA</v>
      </c>
      <c r="I999">
        <f>_xlfn.XLOOKUP(Grammys[[#This Row],[date]], mobile_visits[date], mobile_visits[mobile_visitors], 0)</f>
        <v>0</v>
      </c>
    </row>
    <row r="1000" spans="1:9" x14ac:dyDescent="0.2">
      <c r="A1000" s="1">
        <v>43734</v>
      </c>
      <c r="B1000">
        <v>16694</v>
      </c>
      <c r="C1000">
        <v>25131</v>
      </c>
      <c r="D1000">
        <v>17588</v>
      </c>
      <c r="E1000">
        <v>8117</v>
      </c>
      <c r="F1000">
        <v>72</v>
      </c>
      <c r="G1000" t="s">
        <v>20</v>
      </c>
      <c r="H1000" t="str">
        <f>IF(Grammys[[#This Row],[date]] &gt;= DATE(2022, 2, 1), "Grammys", "Grammys + TRA")</f>
        <v>Grammys + TRA</v>
      </c>
      <c r="I1000">
        <f>_xlfn.XLOOKUP(Grammys[[#This Row],[date]], mobile_visits[date], mobile_visits[mobile_visitors], 0)</f>
        <v>0</v>
      </c>
    </row>
    <row r="1001" spans="1:9" x14ac:dyDescent="0.2">
      <c r="A1001" s="1">
        <v>43735</v>
      </c>
      <c r="B1001">
        <v>13417</v>
      </c>
      <c r="C1001">
        <v>20939</v>
      </c>
      <c r="D1001">
        <v>14267</v>
      </c>
      <c r="E1001">
        <v>6703</v>
      </c>
      <c r="F1001">
        <v>73</v>
      </c>
      <c r="G1001" t="s">
        <v>20</v>
      </c>
      <c r="H1001" t="str">
        <f>IF(Grammys[[#This Row],[date]] &gt;= DATE(2022, 2, 1), "Grammys", "Grammys + TRA")</f>
        <v>Grammys + TRA</v>
      </c>
      <c r="I1001">
        <f>_xlfn.XLOOKUP(Grammys[[#This Row],[date]], mobile_visits[date], mobile_visits[mobile_visitors], 0)</f>
        <v>0</v>
      </c>
    </row>
    <row r="1002" spans="1:9" x14ac:dyDescent="0.2">
      <c r="A1002" s="1">
        <v>43736</v>
      </c>
      <c r="B1002">
        <v>11283</v>
      </c>
      <c r="C1002">
        <v>17859</v>
      </c>
      <c r="D1002">
        <v>12065</v>
      </c>
      <c r="E1002">
        <v>5695</v>
      </c>
      <c r="F1002">
        <v>78</v>
      </c>
      <c r="G1002" t="s">
        <v>20</v>
      </c>
      <c r="H1002" t="str">
        <f>IF(Grammys[[#This Row],[date]] &gt;= DATE(2022, 2, 1), "Grammys", "Grammys + TRA")</f>
        <v>Grammys + TRA</v>
      </c>
      <c r="I1002">
        <f>_xlfn.XLOOKUP(Grammys[[#This Row],[date]], mobile_visits[date], mobile_visits[mobile_visitors], 0)</f>
        <v>0</v>
      </c>
    </row>
    <row r="1003" spans="1:9" x14ac:dyDescent="0.2">
      <c r="A1003" s="1">
        <v>43737</v>
      </c>
      <c r="B1003">
        <v>10719</v>
      </c>
      <c r="C1003">
        <v>16852</v>
      </c>
      <c r="D1003">
        <v>11446</v>
      </c>
      <c r="E1003">
        <v>5537</v>
      </c>
      <c r="F1003">
        <v>77</v>
      </c>
      <c r="G1003" t="s">
        <v>20</v>
      </c>
      <c r="H1003" t="str">
        <f>IF(Grammys[[#This Row],[date]] &gt;= DATE(2022, 2, 1), "Grammys", "Grammys + TRA")</f>
        <v>Grammys + TRA</v>
      </c>
      <c r="I1003">
        <f>_xlfn.XLOOKUP(Grammys[[#This Row],[date]], mobile_visits[date], mobile_visits[mobile_visitors], 0)</f>
        <v>0</v>
      </c>
    </row>
    <row r="1004" spans="1:9" x14ac:dyDescent="0.2">
      <c r="A1004" s="1">
        <v>43738</v>
      </c>
      <c r="B1004">
        <v>11582</v>
      </c>
      <c r="C1004">
        <v>17360</v>
      </c>
      <c r="D1004">
        <v>12392</v>
      </c>
      <c r="E1004">
        <v>5776</v>
      </c>
      <c r="F1004">
        <v>81</v>
      </c>
      <c r="G1004" t="s">
        <v>20</v>
      </c>
      <c r="H1004" t="str">
        <f>IF(Grammys[[#This Row],[date]] &gt;= DATE(2022, 2, 1), "Grammys", "Grammys + TRA")</f>
        <v>Grammys + TRA</v>
      </c>
      <c r="I1004">
        <f>_xlfn.XLOOKUP(Grammys[[#This Row],[date]], mobile_visits[date], mobile_visits[mobile_visitors], 0)</f>
        <v>0</v>
      </c>
    </row>
    <row r="1005" spans="1:9" x14ac:dyDescent="0.2">
      <c r="A1005" s="1">
        <v>43739</v>
      </c>
      <c r="B1005">
        <v>12212</v>
      </c>
      <c r="C1005">
        <v>17328</v>
      </c>
      <c r="D1005">
        <v>12816</v>
      </c>
      <c r="E1005">
        <v>5960</v>
      </c>
      <c r="F1005">
        <v>76</v>
      </c>
      <c r="G1005" t="s">
        <v>20</v>
      </c>
      <c r="H1005" t="str">
        <f>IF(Grammys[[#This Row],[date]] &gt;= DATE(2022, 2, 1), "Grammys", "Grammys + TRA")</f>
        <v>Grammys + TRA</v>
      </c>
      <c r="I1005">
        <f>_xlfn.XLOOKUP(Grammys[[#This Row],[date]], mobile_visits[date], mobile_visits[mobile_visitors], 0)</f>
        <v>0</v>
      </c>
    </row>
    <row r="1006" spans="1:9" x14ac:dyDescent="0.2">
      <c r="A1006" s="1">
        <v>43740</v>
      </c>
      <c r="B1006">
        <v>11405</v>
      </c>
      <c r="C1006">
        <v>16876</v>
      </c>
      <c r="D1006">
        <v>12034</v>
      </c>
      <c r="E1006">
        <v>5600</v>
      </c>
      <c r="F1006">
        <v>75</v>
      </c>
      <c r="G1006" t="s">
        <v>20</v>
      </c>
      <c r="H1006" t="str">
        <f>IF(Grammys[[#This Row],[date]] &gt;= DATE(2022, 2, 1), "Grammys", "Grammys + TRA")</f>
        <v>Grammys + TRA</v>
      </c>
      <c r="I1006">
        <f>_xlfn.XLOOKUP(Grammys[[#This Row],[date]], mobile_visits[date], mobile_visits[mobile_visitors], 0)</f>
        <v>0</v>
      </c>
    </row>
    <row r="1007" spans="1:9" x14ac:dyDescent="0.2">
      <c r="A1007" s="1">
        <v>43741</v>
      </c>
      <c r="B1007">
        <v>11627</v>
      </c>
      <c r="C1007">
        <v>17068</v>
      </c>
      <c r="D1007">
        <v>12341</v>
      </c>
      <c r="E1007">
        <v>5862</v>
      </c>
      <c r="F1007">
        <v>81</v>
      </c>
      <c r="G1007" t="s">
        <v>20</v>
      </c>
      <c r="H1007" t="str">
        <f>IF(Grammys[[#This Row],[date]] &gt;= DATE(2022, 2, 1), "Grammys", "Grammys + TRA")</f>
        <v>Grammys + TRA</v>
      </c>
      <c r="I1007">
        <f>_xlfn.XLOOKUP(Grammys[[#This Row],[date]], mobile_visits[date], mobile_visits[mobile_visitors], 0)</f>
        <v>0</v>
      </c>
    </row>
    <row r="1008" spans="1:9" x14ac:dyDescent="0.2">
      <c r="A1008" s="1">
        <v>43742</v>
      </c>
      <c r="B1008">
        <v>11427</v>
      </c>
      <c r="C1008">
        <v>16908</v>
      </c>
      <c r="D1008">
        <v>12244</v>
      </c>
      <c r="E1008">
        <v>5625</v>
      </c>
      <c r="F1008">
        <v>79</v>
      </c>
      <c r="G1008" t="s">
        <v>20</v>
      </c>
      <c r="H1008" t="str">
        <f>IF(Grammys[[#This Row],[date]] &gt;= DATE(2022, 2, 1), "Grammys", "Grammys + TRA")</f>
        <v>Grammys + TRA</v>
      </c>
      <c r="I1008">
        <f>_xlfn.XLOOKUP(Grammys[[#This Row],[date]], mobile_visits[date], mobile_visits[mobile_visitors], 0)</f>
        <v>0</v>
      </c>
    </row>
    <row r="1009" spans="1:9" x14ac:dyDescent="0.2">
      <c r="A1009" s="1">
        <v>43743</v>
      </c>
      <c r="B1009">
        <v>12796</v>
      </c>
      <c r="C1009">
        <v>20098</v>
      </c>
      <c r="D1009">
        <v>13735</v>
      </c>
      <c r="E1009">
        <v>6813</v>
      </c>
      <c r="F1009">
        <v>66</v>
      </c>
      <c r="G1009" t="s">
        <v>20</v>
      </c>
      <c r="H1009" t="str">
        <f>IF(Grammys[[#This Row],[date]] &gt;= DATE(2022, 2, 1), "Grammys", "Grammys + TRA")</f>
        <v>Grammys + TRA</v>
      </c>
      <c r="I1009">
        <f>_xlfn.XLOOKUP(Grammys[[#This Row],[date]], mobile_visits[date], mobile_visits[mobile_visitors], 0)</f>
        <v>0</v>
      </c>
    </row>
    <row r="1010" spans="1:9" x14ac:dyDescent="0.2">
      <c r="A1010" s="1">
        <v>43744</v>
      </c>
      <c r="B1010">
        <v>14441</v>
      </c>
      <c r="C1010">
        <v>23729</v>
      </c>
      <c r="D1010">
        <v>15540</v>
      </c>
      <c r="E1010">
        <v>7614</v>
      </c>
      <c r="F1010">
        <v>72</v>
      </c>
      <c r="G1010" t="s">
        <v>20</v>
      </c>
      <c r="H1010" t="str">
        <f>IF(Grammys[[#This Row],[date]] &gt;= DATE(2022, 2, 1), "Grammys", "Grammys + TRA")</f>
        <v>Grammys + TRA</v>
      </c>
      <c r="I1010">
        <f>_xlfn.XLOOKUP(Grammys[[#This Row],[date]], mobile_visits[date], mobile_visits[mobile_visitors], 0)</f>
        <v>0</v>
      </c>
    </row>
    <row r="1011" spans="1:9" x14ac:dyDescent="0.2">
      <c r="A1011" s="1">
        <v>43745</v>
      </c>
      <c r="B1011">
        <v>17752</v>
      </c>
      <c r="C1011">
        <v>27229</v>
      </c>
      <c r="D1011">
        <v>18772</v>
      </c>
      <c r="E1011">
        <v>10274</v>
      </c>
      <c r="F1011">
        <v>64</v>
      </c>
      <c r="G1011" t="s">
        <v>20</v>
      </c>
      <c r="H1011" t="str">
        <f>IF(Grammys[[#This Row],[date]] &gt;= DATE(2022, 2, 1), "Grammys", "Grammys + TRA")</f>
        <v>Grammys + TRA</v>
      </c>
      <c r="I1011">
        <f>_xlfn.XLOOKUP(Grammys[[#This Row],[date]], mobile_visits[date], mobile_visits[mobile_visitors], 0)</f>
        <v>0</v>
      </c>
    </row>
    <row r="1012" spans="1:9" x14ac:dyDescent="0.2">
      <c r="A1012" s="1">
        <v>43746</v>
      </c>
      <c r="B1012">
        <v>16721</v>
      </c>
      <c r="C1012">
        <v>25420</v>
      </c>
      <c r="D1012">
        <v>17664</v>
      </c>
      <c r="E1012">
        <v>8771</v>
      </c>
      <c r="F1012">
        <v>70</v>
      </c>
      <c r="G1012" t="s">
        <v>20</v>
      </c>
      <c r="H1012" t="str">
        <f>IF(Grammys[[#This Row],[date]] &gt;= DATE(2022, 2, 1), "Grammys", "Grammys + TRA")</f>
        <v>Grammys + TRA</v>
      </c>
      <c r="I1012">
        <f>_xlfn.XLOOKUP(Grammys[[#This Row],[date]], mobile_visits[date], mobile_visits[mobile_visitors], 0)</f>
        <v>0</v>
      </c>
    </row>
    <row r="1013" spans="1:9" x14ac:dyDescent="0.2">
      <c r="A1013" s="1">
        <v>43747</v>
      </c>
      <c r="B1013">
        <v>13744</v>
      </c>
      <c r="C1013">
        <v>21194</v>
      </c>
      <c r="D1013">
        <v>14515</v>
      </c>
      <c r="E1013">
        <v>6879</v>
      </c>
      <c r="F1013">
        <v>75</v>
      </c>
      <c r="G1013" t="s">
        <v>20</v>
      </c>
      <c r="H1013" t="str">
        <f>IF(Grammys[[#This Row],[date]] &gt;= DATE(2022, 2, 1), "Grammys", "Grammys + TRA")</f>
        <v>Grammys + TRA</v>
      </c>
      <c r="I1013">
        <f>_xlfn.XLOOKUP(Grammys[[#This Row],[date]], mobile_visits[date], mobile_visits[mobile_visitors], 0)</f>
        <v>0</v>
      </c>
    </row>
    <row r="1014" spans="1:9" x14ac:dyDescent="0.2">
      <c r="A1014" s="1">
        <v>43748</v>
      </c>
      <c r="B1014">
        <v>12265</v>
      </c>
      <c r="C1014">
        <v>19320</v>
      </c>
      <c r="D1014">
        <v>13126</v>
      </c>
      <c r="E1014">
        <v>5995</v>
      </c>
      <c r="F1014">
        <v>77</v>
      </c>
      <c r="G1014" t="s">
        <v>20</v>
      </c>
      <c r="H1014" t="str">
        <f>IF(Grammys[[#This Row],[date]] &gt;= DATE(2022, 2, 1), "Grammys", "Grammys + TRA")</f>
        <v>Grammys + TRA</v>
      </c>
      <c r="I1014">
        <f>_xlfn.XLOOKUP(Grammys[[#This Row],[date]], mobile_visits[date], mobile_visits[mobile_visitors], 0)</f>
        <v>0</v>
      </c>
    </row>
    <row r="1015" spans="1:9" x14ac:dyDescent="0.2">
      <c r="A1015" s="1">
        <v>43749</v>
      </c>
      <c r="B1015">
        <v>10819</v>
      </c>
      <c r="C1015">
        <v>15829</v>
      </c>
      <c r="D1015">
        <v>11510</v>
      </c>
      <c r="E1015">
        <v>5576</v>
      </c>
      <c r="F1015">
        <v>71</v>
      </c>
      <c r="G1015" t="s">
        <v>20</v>
      </c>
      <c r="H1015" t="str">
        <f>IF(Grammys[[#This Row],[date]] &gt;= DATE(2022, 2, 1), "Grammys", "Grammys + TRA")</f>
        <v>Grammys + TRA</v>
      </c>
      <c r="I1015">
        <f>_xlfn.XLOOKUP(Grammys[[#This Row],[date]], mobile_visits[date], mobile_visits[mobile_visitors], 0)</f>
        <v>0</v>
      </c>
    </row>
    <row r="1016" spans="1:9" x14ac:dyDescent="0.2">
      <c r="A1016" s="1">
        <v>43750</v>
      </c>
      <c r="B1016">
        <v>10731</v>
      </c>
      <c r="C1016">
        <v>15343</v>
      </c>
      <c r="D1016">
        <v>11457</v>
      </c>
      <c r="E1016">
        <v>5304</v>
      </c>
      <c r="F1016">
        <v>73</v>
      </c>
      <c r="G1016" t="s">
        <v>20</v>
      </c>
      <c r="H1016" t="str">
        <f>IF(Grammys[[#This Row],[date]] &gt;= DATE(2022, 2, 1), "Grammys", "Grammys + TRA")</f>
        <v>Grammys + TRA</v>
      </c>
      <c r="I1016">
        <f>_xlfn.XLOOKUP(Grammys[[#This Row],[date]], mobile_visits[date], mobile_visits[mobile_visitors], 0)</f>
        <v>0</v>
      </c>
    </row>
    <row r="1017" spans="1:9" x14ac:dyDescent="0.2">
      <c r="A1017" s="1">
        <v>43751</v>
      </c>
      <c r="B1017">
        <v>11359</v>
      </c>
      <c r="C1017">
        <v>16675</v>
      </c>
      <c r="D1017">
        <v>12208</v>
      </c>
      <c r="E1017">
        <v>5235</v>
      </c>
      <c r="F1017">
        <v>76</v>
      </c>
      <c r="G1017" t="s">
        <v>20</v>
      </c>
      <c r="H1017" t="str">
        <f>IF(Grammys[[#This Row],[date]] &gt;= DATE(2022, 2, 1), "Grammys", "Grammys + TRA")</f>
        <v>Grammys + TRA</v>
      </c>
      <c r="I1017">
        <f>_xlfn.XLOOKUP(Grammys[[#This Row],[date]], mobile_visits[date], mobile_visits[mobile_visitors], 0)</f>
        <v>0</v>
      </c>
    </row>
    <row r="1018" spans="1:9" x14ac:dyDescent="0.2">
      <c r="A1018" s="1">
        <v>43752</v>
      </c>
      <c r="B1018">
        <v>11114</v>
      </c>
      <c r="C1018">
        <v>15872</v>
      </c>
      <c r="D1018">
        <v>11783</v>
      </c>
      <c r="E1018">
        <v>5421</v>
      </c>
      <c r="F1018">
        <v>72</v>
      </c>
      <c r="G1018" t="s">
        <v>20</v>
      </c>
      <c r="H1018" t="str">
        <f>IF(Grammys[[#This Row],[date]] &gt;= DATE(2022, 2, 1), "Grammys", "Grammys + TRA")</f>
        <v>Grammys + TRA</v>
      </c>
      <c r="I1018">
        <f>_xlfn.XLOOKUP(Grammys[[#This Row],[date]], mobile_visits[date], mobile_visits[mobile_visitors], 0)</f>
        <v>0</v>
      </c>
    </row>
    <row r="1019" spans="1:9" x14ac:dyDescent="0.2">
      <c r="A1019" s="1">
        <v>43753</v>
      </c>
      <c r="B1019">
        <v>10913</v>
      </c>
      <c r="C1019">
        <v>15477</v>
      </c>
      <c r="D1019">
        <v>11404</v>
      </c>
      <c r="E1019">
        <v>5661</v>
      </c>
      <c r="F1019">
        <v>72</v>
      </c>
      <c r="G1019" t="s">
        <v>20</v>
      </c>
      <c r="H1019" t="str">
        <f>IF(Grammys[[#This Row],[date]] &gt;= DATE(2022, 2, 1), "Grammys", "Grammys + TRA")</f>
        <v>Grammys + TRA</v>
      </c>
      <c r="I1019">
        <f>_xlfn.XLOOKUP(Grammys[[#This Row],[date]], mobile_visits[date], mobile_visits[mobile_visitors], 0)</f>
        <v>0</v>
      </c>
    </row>
    <row r="1020" spans="1:9" x14ac:dyDescent="0.2">
      <c r="A1020" s="1">
        <v>43754</v>
      </c>
      <c r="B1020">
        <v>9965</v>
      </c>
      <c r="C1020">
        <v>14896</v>
      </c>
      <c r="D1020">
        <v>10591</v>
      </c>
      <c r="E1020">
        <v>5298</v>
      </c>
      <c r="F1020">
        <v>76</v>
      </c>
      <c r="G1020" t="s">
        <v>20</v>
      </c>
      <c r="H1020" t="str">
        <f>IF(Grammys[[#This Row],[date]] &gt;= DATE(2022, 2, 1), "Grammys", "Grammys + TRA")</f>
        <v>Grammys + TRA</v>
      </c>
      <c r="I1020">
        <f>_xlfn.XLOOKUP(Grammys[[#This Row],[date]], mobile_visits[date], mobile_visits[mobile_visitors], 0)</f>
        <v>0</v>
      </c>
    </row>
    <row r="1021" spans="1:9" x14ac:dyDescent="0.2">
      <c r="A1021" s="1">
        <v>43755</v>
      </c>
      <c r="B1021">
        <v>10564</v>
      </c>
      <c r="C1021">
        <v>15268</v>
      </c>
      <c r="D1021">
        <v>11211</v>
      </c>
      <c r="E1021">
        <v>5667</v>
      </c>
      <c r="F1021">
        <v>72</v>
      </c>
      <c r="G1021" t="s">
        <v>20</v>
      </c>
      <c r="H1021" t="str">
        <f>IF(Grammys[[#This Row],[date]] &gt;= DATE(2022, 2, 1), "Grammys", "Grammys + TRA")</f>
        <v>Grammys + TRA</v>
      </c>
      <c r="I1021">
        <f>_xlfn.XLOOKUP(Grammys[[#This Row],[date]], mobile_visits[date], mobile_visits[mobile_visitors], 0)</f>
        <v>0</v>
      </c>
    </row>
    <row r="1022" spans="1:9" x14ac:dyDescent="0.2">
      <c r="A1022" s="1">
        <v>43756</v>
      </c>
      <c r="B1022">
        <v>10955</v>
      </c>
      <c r="C1022">
        <v>15391</v>
      </c>
      <c r="D1022">
        <v>11645</v>
      </c>
      <c r="E1022">
        <v>5984</v>
      </c>
      <c r="F1022">
        <v>68</v>
      </c>
      <c r="G1022" t="s">
        <v>20</v>
      </c>
      <c r="H1022" t="str">
        <f>IF(Grammys[[#This Row],[date]] &gt;= DATE(2022, 2, 1), "Grammys", "Grammys + TRA")</f>
        <v>Grammys + TRA</v>
      </c>
      <c r="I1022">
        <f>_xlfn.XLOOKUP(Grammys[[#This Row],[date]], mobile_visits[date], mobile_visits[mobile_visitors], 0)</f>
        <v>0</v>
      </c>
    </row>
    <row r="1023" spans="1:9" x14ac:dyDescent="0.2">
      <c r="A1023" s="1">
        <v>43757</v>
      </c>
      <c r="B1023">
        <v>9374</v>
      </c>
      <c r="C1023">
        <v>14128</v>
      </c>
      <c r="D1023">
        <v>9831</v>
      </c>
      <c r="E1023">
        <v>4996</v>
      </c>
      <c r="F1023">
        <v>73</v>
      </c>
      <c r="G1023" t="s">
        <v>20</v>
      </c>
      <c r="H1023" t="str">
        <f>IF(Grammys[[#This Row],[date]] &gt;= DATE(2022, 2, 1), "Grammys", "Grammys + TRA")</f>
        <v>Grammys + TRA</v>
      </c>
      <c r="I1023">
        <f>_xlfn.XLOOKUP(Grammys[[#This Row],[date]], mobile_visits[date], mobile_visits[mobile_visitors], 0)</f>
        <v>0</v>
      </c>
    </row>
    <row r="1024" spans="1:9" x14ac:dyDescent="0.2">
      <c r="A1024" s="1">
        <v>43758</v>
      </c>
      <c r="B1024">
        <v>9363</v>
      </c>
      <c r="C1024">
        <v>14163</v>
      </c>
      <c r="D1024">
        <v>9980</v>
      </c>
      <c r="E1024">
        <v>5030</v>
      </c>
      <c r="F1024">
        <v>70</v>
      </c>
      <c r="G1024" t="s">
        <v>20</v>
      </c>
      <c r="H1024" t="str">
        <f>IF(Grammys[[#This Row],[date]] &gt;= DATE(2022, 2, 1), "Grammys", "Grammys + TRA")</f>
        <v>Grammys + TRA</v>
      </c>
      <c r="I1024">
        <f>_xlfn.XLOOKUP(Grammys[[#This Row],[date]], mobile_visits[date], mobile_visits[mobile_visitors], 0)</f>
        <v>0</v>
      </c>
    </row>
    <row r="1025" spans="1:9" x14ac:dyDescent="0.2">
      <c r="A1025" s="1">
        <v>43759</v>
      </c>
      <c r="B1025">
        <v>10841</v>
      </c>
      <c r="C1025">
        <v>15819</v>
      </c>
      <c r="D1025">
        <v>11470</v>
      </c>
      <c r="E1025">
        <v>4981</v>
      </c>
      <c r="F1025">
        <v>72</v>
      </c>
      <c r="G1025" t="s">
        <v>20</v>
      </c>
      <c r="H1025" t="str">
        <f>IF(Grammys[[#This Row],[date]] &gt;= DATE(2022, 2, 1), "Grammys", "Grammys + TRA")</f>
        <v>Grammys + TRA</v>
      </c>
      <c r="I1025">
        <f>_xlfn.XLOOKUP(Grammys[[#This Row],[date]], mobile_visits[date], mobile_visits[mobile_visitors], 0)</f>
        <v>0</v>
      </c>
    </row>
    <row r="1026" spans="1:9" x14ac:dyDescent="0.2">
      <c r="A1026" s="1">
        <v>43760</v>
      </c>
      <c r="B1026">
        <v>12348</v>
      </c>
      <c r="C1026">
        <v>17285</v>
      </c>
      <c r="D1026">
        <v>13163</v>
      </c>
      <c r="E1026">
        <v>5929</v>
      </c>
      <c r="F1026">
        <v>69</v>
      </c>
      <c r="G1026" t="s">
        <v>20</v>
      </c>
      <c r="H1026" t="str">
        <f>IF(Grammys[[#This Row],[date]] &gt;= DATE(2022, 2, 1), "Grammys", "Grammys + TRA")</f>
        <v>Grammys + TRA</v>
      </c>
      <c r="I1026">
        <f>_xlfn.XLOOKUP(Grammys[[#This Row],[date]], mobile_visits[date], mobile_visits[mobile_visitors], 0)</f>
        <v>0</v>
      </c>
    </row>
    <row r="1027" spans="1:9" x14ac:dyDescent="0.2">
      <c r="A1027" s="1">
        <v>43761</v>
      </c>
      <c r="B1027">
        <v>9297</v>
      </c>
      <c r="C1027">
        <v>13491</v>
      </c>
      <c r="D1027">
        <v>9827</v>
      </c>
      <c r="E1027">
        <v>4796</v>
      </c>
      <c r="F1027">
        <v>80</v>
      </c>
      <c r="G1027" t="s">
        <v>20</v>
      </c>
      <c r="H1027" t="str">
        <f>IF(Grammys[[#This Row],[date]] &gt;= DATE(2022, 2, 1), "Grammys", "Grammys + TRA")</f>
        <v>Grammys + TRA</v>
      </c>
      <c r="I1027">
        <f>_xlfn.XLOOKUP(Grammys[[#This Row],[date]], mobile_visits[date], mobile_visits[mobile_visitors], 0)</f>
        <v>0</v>
      </c>
    </row>
    <row r="1028" spans="1:9" x14ac:dyDescent="0.2">
      <c r="A1028" s="1">
        <v>43762</v>
      </c>
      <c r="B1028">
        <v>10441</v>
      </c>
      <c r="C1028">
        <v>15149</v>
      </c>
      <c r="D1028">
        <v>11055</v>
      </c>
      <c r="E1028">
        <v>5138</v>
      </c>
      <c r="F1028">
        <v>91</v>
      </c>
      <c r="G1028" t="s">
        <v>20</v>
      </c>
      <c r="H1028" t="str">
        <f>IF(Grammys[[#This Row],[date]] &gt;= DATE(2022, 2, 1), "Grammys", "Grammys + TRA")</f>
        <v>Grammys + TRA</v>
      </c>
      <c r="I1028">
        <f>_xlfn.XLOOKUP(Grammys[[#This Row],[date]], mobile_visits[date], mobile_visits[mobile_visitors], 0)</f>
        <v>0</v>
      </c>
    </row>
    <row r="1029" spans="1:9" x14ac:dyDescent="0.2">
      <c r="A1029" s="1">
        <v>43763</v>
      </c>
      <c r="B1029">
        <v>11573</v>
      </c>
      <c r="C1029">
        <v>16098</v>
      </c>
      <c r="D1029">
        <v>12315</v>
      </c>
      <c r="E1029">
        <v>6094</v>
      </c>
      <c r="F1029">
        <v>69</v>
      </c>
      <c r="G1029" t="s">
        <v>20</v>
      </c>
      <c r="H1029" t="str">
        <f>IF(Grammys[[#This Row],[date]] &gt;= DATE(2022, 2, 1), "Grammys", "Grammys + TRA")</f>
        <v>Grammys + TRA</v>
      </c>
      <c r="I1029">
        <f>_xlfn.XLOOKUP(Grammys[[#This Row],[date]], mobile_visits[date], mobile_visits[mobile_visitors], 0)</f>
        <v>0</v>
      </c>
    </row>
    <row r="1030" spans="1:9" x14ac:dyDescent="0.2">
      <c r="A1030" s="1">
        <v>43764</v>
      </c>
      <c r="B1030">
        <v>9629</v>
      </c>
      <c r="C1030">
        <v>13729</v>
      </c>
      <c r="D1030">
        <v>10105</v>
      </c>
      <c r="E1030">
        <v>5140</v>
      </c>
      <c r="F1030">
        <v>72</v>
      </c>
      <c r="G1030" t="s">
        <v>20</v>
      </c>
      <c r="H1030" t="str">
        <f>IF(Grammys[[#This Row],[date]] &gt;= DATE(2022, 2, 1), "Grammys", "Grammys + TRA")</f>
        <v>Grammys + TRA</v>
      </c>
      <c r="I1030">
        <f>_xlfn.XLOOKUP(Grammys[[#This Row],[date]], mobile_visits[date], mobile_visits[mobile_visitors], 0)</f>
        <v>0</v>
      </c>
    </row>
    <row r="1031" spans="1:9" x14ac:dyDescent="0.2">
      <c r="A1031" s="1">
        <v>43765</v>
      </c>
      <c r="B1031">
        <v>8494</v>
      </c>
      <c r="C1031">
        <v>12702</v>
      </c>
      <c r="D1031">
        <v>9068</v>
      </c>
      <c r="E1031">
        <v>4662</v>
      </c>
      <c r="F1031">
        <v>69</v>
      </c>
      <c r="G1031" t="s">
        <v>20</v>
      </c>
      <c r="H1031" t="str">
        <f>IF(Grammys[[#This Row],[date]] &gt;= DATE(2022, 2, 1), "Grammys", "Grammys + TRA")</f>
        <v>Grammys + TRA</v>
      </c>
      <c r="I1031">
        <f>_xlfn.XLOOKUP(Grammys[[#This Row],[date]], mobile_visits[date], mobile_visits[mobile_visitors], 0)</f>
        <v>0</v>
      </c>
    </row>
    <row r="1032" spans="1:9" x14ac:dyDescent="0.2">
      <c r="A1032" s="1">
        <v>43766</v>
      </c>
      <c r="B1032">
        <v>9180</v>
      </c>
      <c r="C1032">
        <v>13755</v>
      </c>
      <c r="D1032">
        <v>9759</v>
      </c>
      <c r="E1032">
        <v>4941</v>
      </c>
      <c r="F1032">
        <v>75</v>
      </c>
      <c r="G1032" t="s">
        <v>20</v>
      </c>
      <c r="H1032" t="str">
        <f>IF(Grammys[[#This Row],[date]] &gt;= DATE(2022, 2, 1), "Grammys", "Grammys + TRA")</f>
        <v>Grammys + TRA</v>
      </c>
      <c r="I1032">
        <f>_xlfn.XLOOKUP(Grammys[[#This Row],[date]], mobile_visits[date], mobile_visits[mobile_visitors], 0)</f>
        <v>0</v>
      </c>
    </row>
    <row r="1033" spans="1:9" x14ac:dyDescent="0.2">
      <c r="A1033" s="1">
        <v>43767</v>
      </c>
      <c r="B1033">
        <v>10130</v>
      </c>
      <c r="C1033">
        <v>14605</v>
      </c>
      <c r="D1033">
        <v>10694</v>
      </c>
      <c r="E1033">
        <v>5328</v>
      </c>
      <c r="F1033">
        <v>80</v>
      </c>
      <c r="G1033" t="s">
        <v>20</v>
      </c>
      <c r="H1033" t="str">
        <f>IF(Grammys[[#This Row],[date]] &gt;= DATE(2022, 2, 1), "Grammys", "Grammys + TRA")</f>
        <v>Grammys + TRA</v>
      </c>
      <c r="I1033">
        <f>_xlfn.XLOOKUP(Grammys[[#This Row],[date]], mobile_visits[date], mobile_visits[mobile_visitors], 0)</f>
        <v>0</v>
      </c>
    </row>
    <row r="1034" spans="1:9" x14ac:dyDescent="0.2">
      <c r="A1034" s="1">
        <v>43768</v>
      </c>
      <c r="B1034">
        <v>9234</v>
      </c>
      <c r="C1034">
        <v>13093</v>
      </c>
      <c r="D1034">
        <v>9767</v>
      </c>
      <c r="E1034">
        <v>4787</v>
      </c>
      <c r="F1034">
        <v>78</v>
      </c>
      <c r="G1034" t="s">
        <v>20</v>
      </c>
      <c r="H1034" t="str">
        <f>IF(Grammys[[#This Row],[date]] &gt;= DATE(2022, 2, 1), "Grammys", "Grammys + TRA")</f>
        <v>Grammys + TRA</v>
      </c>
      <c r="I1034">
        <f>_xlfn.XLOOKUP(Grammys[[#This Row],[date]], mobile_visits[date], mobile_visits[mobile_visitors], 0)</f>
        <v>0</v>
      </c>
    </row>
    <row r="1035" spans="1:9" x14ac:dyDescent="0.2">
      <c r="A1035" s="1">
        <v>43769</v>
      </c>
      <c r="B1035">
        <v>7856</v>
      </c>
      <c r="C1035">
        <v>11073</v>
      </c>
      <c r="D1035">
        <v>8183</v>
      </c>
      <c r="E1035">
        <v>4109</v>
      </c>
      <c r="F1035">
        <v>78</v>
      </c>
      <c r="G1035" t="s">
        <v>20</v>
      </c>
      <c r="H1035" t="str">
        <f>IF(Grammys[[#This Row],[date]] &gt;= DATE(2022, 2, 1), "Grammys", "Grammys + TRA")</f>
        <v>Grammys + TRA</v>
      </c>
      <c r="I1035">
        <f>_xlfn.XLOOKUP(Grammys[[#This Row],[date]], mobile_visits[date], mobile_visits[mobile_visitors], 0)</f>
        <v>0</v>
      </c>
    </row>
    <row r="1036" spans="1:9" x14ac:dyDescent="0.2">
      <c r="A1036" s="1">
        <v>43770</v>
      </c>
      <c r="B1036">
        <v>9494</v>
      </c>
      <c r="C1036">
        <v>13369</v>
      </c>
      <c r="D1036">
        <v>10037</v>
      </c>
      <c r="E1036">
        <v>5038</v>
      </c>
      <c r="F1036">
        <v>79</v>
      </c>
      <c r="G1036" t="s">
        <v>20</v>
      </c>
      <c r="H1036" t="str">
        <f>IF(Grammys[[#This Row],[date]] &gt;= DATE(2022, 2, 1), "Grammys", "Grammys + TRA")</f>
        <v>Grammys + TRA</v>
      </c>
      <c r="I1036">
        <f>_xlfn.XLOOKUP(Grammys[[#This Row],[date]], mobile_visits[date], mobile_visits[mobile_visitors], 0)</f>
        <v>0</v>
      </c>
    </row>
    <row r="1037" spans="1:9" x14ac:dyDescent="0.2">
      <c r="A1037" s="1">
        <v>43771</v>
      </c>
      <c r="B1037">
        <v>8702</v>
      </c>
      <c r="C1037">
        <v>12735</v>
      </c>
      <c r="D1037">
        <v>9118</v>
      </c>
      <c r="E1037">
        <v>4311</v>
      </c>
      <c r="F1037">
        <v>75</v>
      </c>
      <c r="G1037" t="s">
        <v>20</v>
      </c>
      <c r="H1037" t="str">
        <f>IF(Grammys[[#This Row],[date]] &gt;= DATE(2022, 2, 1), "Grammys", "Grammys + TRA")</f>
        <v>Grammys + TRA</v>
      </c>
      <c r="I1037">
        <f>_xlfn.XLOOKUP(Grammys[[#This Row],[date]], mobile_visits[date], mobile_visits[mobile_visitors], 0)</f>
        <v>0</v>
      </c>
    </row>
    <row r="1038" spans="1:9" x14ac:dyDescent="0.2">
      <c r="A1038" s="1">
        <v>43772</v>
      </c>
      <c r="B1038">
        <v>10333</v>
      </c>
      <c r="C1038">
        <v>14736</v>
      </c>
      <c r="D1038">
        <v>10771</v>
      </c>
      <c r="E1038">
        <v>4895</v>
      </c>
      <c r="F1038">
        <v>74</v>
      </c>
      <c r="G1038" t="s">
        <v>20</v>
      </c>
      <c r="H1038" t="str">
        <f>IF(Grammys[[#This Row],[date]] &gt;= DATE(2022, 2, 1), "Grammys", "Grammys + TRA")</f>
        <v>Grammys + TRA</v>
      </c>
      <c r="I1038">
        <f>_xlfn.XLOOKUP(Grammys[[#This Row],[date]], mobile_visits[date], mobile_visits[mobile_visitors], 0)</f>
        <v>0</v>
      </c>
    </row>
    <row r="1039" spans="1:9" x14ac:dyDescent="0.2">
      <c r="A1039" s="1">
        <v>43773</v>
      </c>
      <c r="B1039">
        <v>9978</v>
      </c>
      <c r="C1039">
        <v>14584</v>
      </c>
      <c r="D1039">
        <v>10543</v>
      </c>
      <c r="E1039">
        <v>5140</v>
      </c>
      <c r="F1039">
        <v>75</v>
      </c>
      <c r="G1039" t="s">
        <v>20</v>
      </c>
      <c r="H1039" t="str">
        <f>IF(Grammys[[#This Row],[date]] &gt;= DATE(2022, 2, 1), "Grammys", "Grammys + TRA")</f>
        <v>Grammys + TRA</v>
      </c>
      <c r="I1039">
        <f>_xlfn.XLOOKUP(Grammys[[#This Row],[date]], mobile_visits[date], mobile_visits[mobile_visitors], 0)</f>
        <v>0</v>
      </c>
    </row>
    <row r="1040" spans="1:9" x14ac:dyDescent="0.2">
      <c r="A1040" s="1">
        <v>43774</v>
      </c>
      <c r="B1040">
        <v>10297</v>
      </c>
      <c r="C1040">
        <v>14928</v>
      </c>
      <c r="D1040">
        <v>10967</v>
      </c>
      <c r="E1040">
        <v>5165</v>
      </c>
      <c r="F1040">
        <v>72</v>
      </c>
      <c r="G1040" t="s">
        <v>20</v>
      </c>
      <c r="H1040" t="str">
        <f>IF(Grammys[[#This Row],[date]] &gt;= DATE(2022, 2, 1), "Grammys", "Grammys + TRA")</f>
        <v>Grammys + TRA</v>
      </c>
      <c r="I1040">
        <f>_xlfn.XLOOKUP(Grammys[[#This Row],[date]], mobile_visits[date], mobile_visits[mobile_visitors], 0)</f>
        <v>0</v>
      </c>
    </row>
    <row r="1041" spans="1:9" x14ac:dyDescent="0.2">
      <c r="A1041" s="1">
        <v>43775</v>
      </c>
      <c r="B1041">
        <v>10591</v>
      </c>
      <c r="C1041">
        <v>14923</v>
      </c>
      <c r="D1041">
        <v>11110</v>
      </c>
      <c r="E1041">
        <v>5531</v>
      </c>
      <c r="F1041">
        <v>74</v>
      </c>
      <c r="G1041" t="s">
        <v>20</v>
      </c>
      <c r="H1041" t="str">
        <f>IF(Grammys[[#This Row],[date]] &gt;= DATE(2022, 2, 1), "Grammys", "Grammys + TRA")</f>
        <v>Grammys + TRA</v>
      </c>
      <c r="I1041">
        <f>_xlfn.XLOOKUP(Grammys[[#This Row],[date]], mobile_visits[date], mobile_visits[mobile_visitors], 0)</f>
        <v>0</v>
      </c>
    </row>
    <row r="1042" spans="1:9" x14ac:dyDescent="0.2">
      <c r="A1042" s="1">
        <v>43776</v>
      </c>
      <c r="B1042">
        <v>9534</v>
      </c>
      <c r="C1042">
        <v>14168</v>
      </c>
      <c r="D1042">
        <v>10082</v>
      </c>
      <c r="E1042">
        <v>4993</v>
      </c>
      <c r="F1042">
        <v>78</v>
      </c>
      <c r="G1042" t="s">
        <v>20</v>
      </c>
      <c r="H1042" t="str">
        <f>IF(Grammys[[#This Row],[date]] &gt;= DATE(2022, 2, 1), "Grammys", "Grammys + TRA")</f>
        <v>Grammys + TRA</v>
      </c>
      <c r="I1042">
        <f>_xlfn.XLOOKUP(Grammys[[#This Row],[date]], mobile_visits[date], mobile_visits[mobile_visitors], 0)</f>
        <v>0</v>
      </c>
    </row>
    <row r="1043" spans="1:9" x14ac:dyDescent="0.2">
      <c r="A1043" s="1">
        <v>43777</v>
      </c>
      <c r="B1043">
        <v>8732</v>
      </c>
      <c r="C1043">
        <v>12936</v>
      </c>
      <c r="D1043">
        <v>9184</v>
      </c>
      <c r="E1043">
        <v>4477</v>
      </c>
      <c r="F1043">
        <v>79</v>
      </c>
      <c r="G1043" t="s">
        <v>20</v>
      </c>
      <c r="H1043" t="str">
        <f>IF(Grammys[[#This Row],[date]] &gt;= DATE(2022, 2, 1), "Grammys", "Grammys + TRA")</f>
        <v>Grammys + TRA</v>
      </c>
      <c r="I1043">
        <f>_xlfn.XLOOKUP(Grammys[[#This Row],[date]], mobile_visits[date], mobile_visits[mobile_visitors], 0)</f>
        <v>0</v>
      </c>
    </row>
    <row r="1044" spans="1:9" x14ac:dyDescent="0.2">
      <c r="A1044" s="1">
        <v>43778</v>
      </c>
      <c r="B1044">
        <v>8736</v>
      </c>
      <c r="C1044">
        <v>12271</v>
      </c>
      <c r="D1044">
        <v>9174</v>
      </c>
      <c r="E1044">
        <v>4465</v>
      </c>
      <c r="F1044">
        <v>76</v>
      </c>
      <c r="G1044" t="s">
        <v>20</v>
      </c>
      <c r="H1044" t="str">
        <f>IF(Grammys[[#This Row],[date]] &gt;= DATE(2022, 2, 1), "Grammys", "Grammys + TRA")</f>
        <v>Grammys + TRA</v>
      </c>
      <c r="I1044">
        <f>_xlfn.XLOOKUP(Grammys[[#This Row],[date]], mobile_visits[date], mobile_visits[mobile_visitors], 0)</f>
        <v>0</v>
      </c>
    </row>
    <row r="1045" spans="1:9" x14ac:dyDescent="0.2">
      <c r="A1045" s="1">
        <v>43779</v>
      </c>
      <c r="B1045">
        <v>9430</v>
      </c>
      <c r="C1045">
        <v>14059</v>
      </c>
      <c r="D1045">
        <v>10023</v>
      </c>
      <c r="E1045">
        <v>4782</v>
      </c>
      <c r="F1045">
        <v>74</v>
      </c>
      <c r="G1045" t="s">
        <v>20</v>
      </c>
      <c r="H1045" t="str">
        <f>IF(Grammys[[#This Row],[date]] &gt;= DATE(2022, 2, 1), "Grammys", "Grammys + TRA")</f>
        <v>Grammys + TRA</v>
      </c>
      <c r="I1045">
        <f>_xlfn.XLOOKUP(Grammys[[#This Row],[date]], mobile_visits[date], mobile_visits[mobile_visitors], 0)</f>
        <v>0</v>
      </c>
    </row>
    <row r="1046" spans="1:9" x14ac:dyDescent="0.2">
      <c r="A1046" s="1">
        <v>43780</v>
      </c>
      <c r="B1046">
        <v>10541</v>
      </c>
      <c r="C1046">
        <v>15736</v>
      </c>
      <c r="D1046">
        <v>11207</v>
      </c>
      <c r="E1046">
        <v>5397</v>
      </c>
      <c r="F1046">
        <v>79</v>
      </c>
      <c r="G1046" t="s">
        <v>20</v>
      </c>
      <c r="H1046" t="str">
        <f>IF(Grammys[[#This Row],[date]] &gt;= DATE(2022, 2, 1), "Grammys", "Grammys + TRA")</f>
        <v>Grammys + TRA</v>
      </c>
      <c r="I1046">
        <f>_xlfn.XLOOKUP(Grammys[[#This Row],[date]], mobile_visits[date], mobile_visits[mobile_visitors], 0)</f>
        <v>0</v>
      </c>
    </row>
    <row r="1047" spans="1:9" x14ac:dyDescent="0.2">
      <c r="A1047" s="1">
        <v>43781</v>
      </c>
      <c r="B1047">
        <v>11674</v>
      </c>
      <c r="C1047">
        <v>17844</v>
      </c>
      <c r="D1047">
        <v>12547</v>
      </c>
      <c r="E1047">
        <v>5524</v>
      </c>
      <c r="F1047">
        <v>85</v>
      </c>
      <c r="G1047" t="s">
        <v>20</v>
      </c>
      <c r="H1047" t="str">
        <f>IF(Grammys[[#This Row],[date]] &gt;= DATE(2022, 2, 1), "Grammys", "Grammys + TRA")</f>
        <v>Grammys + TRA</v>
      </c>
      <c r="I1047">
        <f>_xlfn.XLOOKUP(Grammys[[#This Row],[date]], mobile_visits[date], mobile_visits[mobile_visitors], 0)</f>
        <v>0</v>
      </c>
    </row>
    <row r="1048" spans="1:9" x14ac:dyDescent="0.2">
      <c r="A1048" s="1">
        <v>43782</v>
      </c>
      <c r="B1048">
        <v>16101</v>
      </c>
      <c r="C1048">
        <v>22758</v>
      </c>
      <c r="D1048">
        <v>16984</v>
      </c>
      <c r="E1048">
        <v>6879</v>
      </c>
      <c r="F1048">
        <v>79</v>
      </c>
      <c r="G1048" t="s">
        <v>20</v>
      </c>
      <c r="H1048" t="str">
        <f>IF(Grammys[[#This Row],[date]] &gt;= DATE(2022, 2, 1), "Grammys", "Grammys + TRA")</f>
        <v>Grammys + TRA</v>
      </c>
      <c r="I1048">
        <f>_xlfn.XLOOKUP(Grammys[[#This Row],[date]], mobile_visits[date], mobile_visits[mobile_visitors], 0)</f>
        <v>0</v>
      </c>
    </row>
    <row r="1049" spans="1:9" x14ac:dyDescent="0.2">
      <c r="A1049" s="1">
        <v>43783</v>
      </c>
      <c r="B1049">
        <v>35920</v>
      </c>
      <c r="C1049">
        <v>47951</v>
      </c>
      <c r="D1049">
        <v>38470</v>
      </c>
      <c r="E1049">
        <v>12996</v>
      </c>
      <c r="F1049">
        <v>72</v>
      </c>
      <c r="G1049" t="s">
        <v>20</v>
      </c>
      <c r="H1049" t="str">
        <f>IF(Grammys[[#This Row],[date]] &gt;= DATE(2022, 2, 1), "Grammys", "Grammys + TRA")</f>
        <v>Grammys + TRA</v>
      </c>
      <c r="I1049">
        <f>_xlfn.XLOOKUP(Grammys[[#This Row],[date]], mobile_visits[date], mobile_visits[mobile_visitors], 0)</f>
        <v>0</v>
      </c>
    </row>
    <row r="1050" spans="1:9" x14ac:dyDescent="0.2">
      <c r="A1050" s="1">
        <v>43784</v>
      </c>
      <c r="B1050">
        <v>31921</v>
      </c>
      <c r="C1050">
        <v>40709</v>
      </c>
      <c r="D1050">
        <v>33095</v>
      </c>
      <c r="E1050">
        <v>11905</v>
      </c>
      <c r="F1050">
        <v>66</v>
      </c>
      <c r="G1050" t="s">
        <v>20</v>
      </c>
      <c r="H1050" t="str">
        <f>IF(Grammys[[#This Row],[date]] &gt;= DATE(2022, 2, 1), "Grammys", "Grammys + TRA")</f>
        <v>Grammys + TRA</v>
      </c>
      <c r="I1050">
        <f>_xlfn.XLOOKUP(Grammys[[#This Row],[date]], mobile_visits[date], mobile_visits[mobile_visitors], 0)</f>
        <v>0</v>
      </c>
    </row>
    <row r="1051" spans="1:9" x14ac:dyDescent="0.2">
      <c r="A1051" s="1">
        <v>43785</v>
      </c>
      <c r="B1051">
        <v>20894</v>
      </c>
      <c r="C1051">
        <v>30222</v>
      </c>
      <c r="D1051">
        <v>21928</v>
      </c>
      <c r="E1051">
        <v>9041</v>
      </c>
      <c r="F1051">
        <v>67</v>
      </c>
      <c r="G1051" t="s">
        <v>20</v>
      </c>
      <c r="H1051" t="str">
        <f>IF(Grammys[[#This Row],[date]] &gt;= DATE(2022, 2, 1), "Grammys", "Grammys + TRA")</f>
        <v>Grammys + TRA</v>
      </c>
      <c r="I1051">
        <f>_xlfn.XLOOKUP(Grammys[[#This Row],[date]], mobile_visits[date], mobile_visits[mobile_visitors], 0)</f>
        <v>0</v>
      </c>
    </row>
    <row r="1052" spans="1:9" x14ac:dyDescent="0.2">
      <c r="A1052" s="1">
        <v>43786</v>
      </c>
      <c r="B1052">
        <v>15511</v>
      </c>
      <c r="C1052">
        <v>23757</v>
      </c>
      <c r="D1052">
        <v>16273</v>
      </c>
      <c r="E1052">
        <v>7167</v>
      </c>
      <c r="F1052">
        <v>76</v>
      </c>
      <c r="G1052" t="s">
        <v>20</v>
      </c>
      <c r="H1052" t="str">
        <f>IF(Grammys[[#This Row],[date]] &gt;= DATE(2022, 2, 1), "Grammys", "Grammys + TRA")</f>
        <v>Grammys + TRA</v>
      </c>
      <c r="I1052">
        <f>_xlfn.XLOOKUP(Grammys[[#This Row],[date]], mobile_visits[date], mobile_visits[mobile_visitors], 0)</f>
        <v>0</v>
      </c>
    </row>
    <row r="1053" spans="1:9" x14ac:dyDescent="0.2">
      <c r="A1053" s="1">
        <v>43787</v>
      </c>
      <c r="B1053">
        <v>22021</v>
      </c>
      <c r="C1053">
        <v>32224</v>
      </c>
      <c r="D1053">
        <v>23391</v>
      </c>
      <c r="E1053">
        <v>8583</v>
      </c>
      <c r="F1053">
        <v>74</v>
      </c>
      <c r="G1053" t="s">
        <v>20</v>
      </c>
      <c r="H1053" t="str">
        <f>IF(Grammys[[#This Row],[date]] &gt;= DATE(2022, 2, 1), "Grammys", "Grammys + TRA")</f>
        <v>Grammys + TRA</v>
      </c>
      <c r="I1053">
        <f>_xlfn.XLOOKUP(Grammys[[#This Row],[date]], mobile_visits[date], mobile_visits[mobile_visitors], 0)</f>
        <v>0</v>
      </c>
    </row>
    <row r="1054" spans="1:9" x14ac:dyDescent="0.2">
      <c r="A1054" s="1">
        <v>43788</v>
      </c>
      <c r="B1054">
        <v>82270</v>
      </c>
      <c r="C1054">
        <v>167996</v>
      </c>
      <c r="D1054">
        <v>93174</v>
      </c>
      <c r="E1054">
        <v>26490</v>
      </c>
      <c r="F1054">
        <v>101</v>
      </c>
      <c r="G1054" t="s">
        <v>21</v>
      </c>
      <c r="H1054" t="str">
        <f>IF(Grammys[[#This Row],[date]] &gt;= DATE(2022, 2, 1), "Grammys", "Grammys + TRA")</f>
        <v>Grammys + TRA</v>
      </c>
      <c r="I1054">
        <f>_xlfn.XLOOKUP(Grammys[[#This Row],[date]], mobile_visits[date], mobile_visits[mobile_visitors], 0)</f>
        <v>0</v>
      </c>
    </row>
    <row r="1055" spans="1:9" x14ac:dyDescent="0.2">
      <c r="A1055" s="1">
        <v>43789</v>
      </c>
      <c r="B1055">
        <v>1130463</v>
      </c>
      <c r="C1055">
        <v>1648239</v>
      </c>
      <c r="D1055">
        <v>1266668</v>
      </c>
      <c r="E1055">
        <v>334908</v>
      </c>
      <c r="F1055">
        <v>151</v>
      </c>
      <c r="G1055" t="s">
        <v>20</v>
      </c>
      <c r="H1055" t="str">
        <f>IF(Grammys[[#This Row],[date]] &gt;= DATE(2022, 2, 1), "Grammys", "Grammys + TRA")</f>
        <v>Grammys + TRA</v>
      </c>
      <c r="I1055">
        <f>_xlfn.XLOOKUP(Grammys[[#This Row],[date]], mobile_visits[date], mobile_visits[mobile_visitors], 0)</f>
        <v>0</v>
      </c>
    </row>
    <row r="1056" spans="1:9" x14ac:dyDescent="0.2">
      <c r="A1056" s="1">
        <v>43790</v>
      </c>
      <c r="B1056">
        <v>299375</v>
      </c>
      <c r="C1056">
        <v>391840</v>
      </c>
      <c r="D1056">
        <v>327475</v>
      </c>
      <c r="E1056">
        <v>122804</v>
      </c>
      <c r="F1056">
        <v>122</v>
      </c>
      <c r="G1056" t="s">
        <v>20</v>
      </c>
      <c r="H1056" t="str">
        <f>IF(Grammys[[#This Row],[date]] &gt;= DATE(2022, 2, 1), "Grammys", "Grammys + TRA")</f>
        <v>Grammys + TRA</v>
      </c>
      <c r="I1056">
        <f>_xlfn.XLOOKUP(Grammys[[#This Row],[date]], mobile_visits[date], mobile_visits[mobile_visitors], 0)</f>
        <v>0</v>
      </c>
    </row>
    <row r="1057" spans="1:9" x14ac:dyDescent="0.2">
      <c r="A1057" s="1">
        <v>43791</v>
      </c>
      <c r="B1057">
        <v>117189</v>
      </c>
      <c r="C1057">
        <v>159397</v>
      </c>
      <c r="D1057">
        <v>130105</v>
      </c>
      <c r="E1057">
        <v>50234</v>
      </c>
      <c r="F1057">
        <v>120</v>
      </c>
      <c r="G1057" t="s">
        <v>20</v>
      </c>
      <c r="H1057" t="str">
        <f>IF(Grammys[[#This Row],[date]] &gt;= DATE(2022, 2, 1), "Grammys", "Grammys + TRA")</f>
        <v>Grammys + TRA</v>
      </c>
      <c r="I1057">
        <f>_xlfn.XLOOKUP(Grammys[[#This Row],[date]], mobile_visits[date], mobile_visits[mobile_visitors], 0)</f>
        <v>0</v>
      </c>
    </row>
    <row r="1058" spans="1:9" x14ac:dyDescent="0.2">
      <c r="A1058" s="1">
        <v>43792</v>
      </c>
      <c r="B1058">
        <v>80045</v>
      </c>
      <c r="C1058">
        <v>112196</v>
      </c>
      <c r="D1058">
        <v>88071</v>
      </c>
      <c r="E1058">
        <v>34198</v>
      </c>
      <c r="F1058">
        <v>118</v>
      </c>
      <c r="G1058" t="s">
        <v>20</v>
      </c>
      <c r="H1058" t="str">
        <f>IF(Grammys[[#This Row],[date]] &gt;= DATE(2022, 2, 1), "Grammys", "Grammys + TRA")</f>
        <v>Grammys + TRA</v>
      </c>
      <c r="I1058">
        <f>_xlfn.XLOOKUP(Grammys[[#This Row],[date]], mobile_visits[date], mobile_visits[mobile_visitors], 0)</f>
        <v>0</v>
      </c>
    </row>
    <row r="1059" spans="1:9" x14ac:dyDescent="0.2">
      <c r="A1059" s="1">
        <v>43793</v>
      </c>
      <c r="B1059">
        <v>82649</v>
      </c>
      <c r="C1059">
        <v>121816</v>
      </c>
      <c r="D1059">
        <v>90178</v>
      </c>
      <c r="E1059">
        <v>34349</v>
      </c>
      <c r="F1059">
        <v>115</v>
      </c>
      <c r="G1059" t="s">
        <v>20</v>
      </c>
      <c r="H1059" t="str">
        <f>IF(Grammys[[#This Row],[date]] &gt;= DATE(2022, 2, 1), "Grammys", "Grammys + TRA")</f>
        <v>Grammys + TRA</v>
      </c>
      <c r="I1059">
        <f>_xlfn.XLOOKUP(Grammys[[#This Row],[date]], mobile_visits[date], mobile_visits[mobile_visitors], 0)</f>
        <v>0</v>
      </c>
    </row>
    <row r="1060" spans="1:9" x14ac:dyDescent="0.2">
      <c r="A1060" s="1">
        <v>43794</v>
      </c>
      <c r="B1060">
        <v>77906</v>
      </c>
      <c r="C1060">
        <v>122232</v>
      </c>
      <c r="D1060">
        <v>85790</v>
      </c>
      <c r="E1060">
        <v>32086</v>
      </c>
      <c r="F1060">
        <v>107</v>
      </c>
      <c r="G1060" t="s">
        <v>20</v>
      </c>
      <c r="H1060" t="str">
        <f>IF(Grammys[[#This Row],[date]] &gt;= DATE(2022, 2, 1), "Grammys", "Grammys + TRA")</f>
        <v>Grammys + TRA</v>
      </c>
      <c r="I1060">
        <f>_xlfn.XLOOKUP(Grammys[[#This Row],[date]], mobile_visits[date], mobile_visits[mobile_visitors], 0)</f>
        <v>0</v>
      </c>
    </row>
    <row r="1061" spans="1:9" x14ac:dyDescent="0.2">
      <c r="A1061" s="1">
        <v>43795</v>
      </c>
      <c r="B1061">
        <v>61179</v>
      </c>
      <c r="C1061">
        <v>104900</v>
      </c>
      <c r="D1061">
        <v>68266</v>
      </c>
      <c r="E1061">
        <v>22569</v>
      </c>
      <c r="F1061">
        <v>105</v>
      </c>
      <c r="G1061" t="s">
        <v>20</v>
      </c>
      <c r="H1061" t="str">
        <f>IF(Grammys[[#This Row],[date]] &gt;= DATE(2022, 2, 1), "Grammys", "Grammys + TRA")</f>
        <v>Grammys + TRA</v>
      </c>
      <c r="I1061">
        <f>_xlfn.XLOOKUP(Grammys[[#This Row],[date]], mobile_visits[date], mobile_visits[mobile_visitors], 0)</f>
        <v>0</v>
      </c>
    </row>
    <row r="1062" spans="1:9" x14ac:dyDescent="0.2">
      <c r="A1062" s="1">
        <v>43796</v>
      </c>
      <c r="B1062">
        <v>62492</v>
      </c>
      <c r="C1062">
        <v>114200</v>
      </c>
      <c r="D1062">
        <v>71187</v>
      </c>
      <c r="E1062">
        <v>20132</v>
      </c>
      <c r="F1062">
        <v>94</v>
      </c>
      <c r="G1062" t="s">
        <v>20</v>
      </c>
      <c r="H1062" t="str">
        <f>IF(Grammys[[#This Row],[date]] &gt;= DATE(2022, 2, 1), "Grammys", "Grammys + TRA")</f>
        <v>Grammys + TRA</v>
      </c>
      <c r="I1062">
        <f>_xlfn.XLOOKUP(Grammys[[#This Row],[date]], mobile_visits[date], mobile_visits[mobile_visitors], 0)</f>
        <v>0</v>
      </c>
    </row>
    <row r="1063" spans="1:9" x14ac:dyDescent="0.2">
      <c r="A1063" s="1">
        <v>43797</v>
      </c>
      <c r="B1063">
        <v>38787</v>
      </c>
      <c r="C1063">
        <v>66015</v>
      </c>
      <c r="D1063">
        <v>42528</v>
      </c>
      <c r="E1063">
        <v>14239</v>
      </c>
      <c r="F1063">
        <v>91</v>
      </c>
      <c r="G1063" t="s">
        <v>20</v>
      </c>
      <c r="H1063" t="str">
        <f>IF(Grammys[[#This Row],[date]] &gt;= DATE(2022, 2, 1), "Grammys", "Grammys + TRA")</f>
        <v>Grammys + TRA</v>
      </c>
      <c r="I1063">
        <f>_xlfn.XLOOKUP(Grammys[[#This Row],[date]], mobile_visits[date], mobile_visits[mobile_visitors], 0)</f>
        <v>0</v>
      </c>
    </row>
    <row r="1064" spans="1:9" x14ac:dyDescent="0.2">
      <c r="A1064" s="1">
        <v>43798</v>
      </c>
      <c r="B1064">
        <v>30157</v>
      </c>
      <c r="C1064">
        <v>50691</v>
      </c>
      <c r="D1064">
        <v>32560</v>
      </c>
      <c r="E1064">
        <v>10628</v>
      </c>
      <c r="F1064">
        <v>96</v>
      </c>
      <c r="G1064" t="s">
        <v>20</v>
      </c>
      <c r="H1064" t="str">
        <f>IF(Grammys[[#This Row],[date]] &gt;= DATE(2022, 2, 1), "Grammys", "Grammys + TRA")</f>
        <v>Grammys + TRA</v>
      </c>
      <c r="I1064">
        <f>_xlfn.XLOOKUP(Grammys[[#This Row],[date]], mobile_visits[date], mobile_visits[mobile_visitors], 0)</f>
        <v>0</v>
      </c>
    </row>
    <row r="1065" spans="1:9" x14ac:dyDescent="0.2">
      <c r="A1065" s="1">
        <v>43799</v>
      </c>
      <c r="B1065">
        <v>27939</v>
      </c>
      <c r="C1065">
        <v>45503</v>
      </c>
      <c r="D1065">
        <v>30239</v>
      </c>
      <c r="E1065">
        <v>10255</v>
      </c>
      <c r="F1065">
        <v>90</v>
      </c>
      <c r="G1065" t="s">
        <v>20</v>
      </c>
      <c r="H1065" t="str">
        <f>IF(Grammys[[#This Row],[date]] &gt;= DATE(2022, 2, 1), "Grammys", "Grammys + TRA")</f>
        <v>Grammys + TRA</v>
      </c>
      <c r="I1065">
        <f>_xlfn.XLOOKUP(Grammys[[#This Row],[date]], mobile_visits[date], mobile_visits[mobile_visitors], 0)</f>
        <v>0</v>
      </c>
    </row>
    <row r="1066" spans="1:9" x14ac:dyDescent="0.2">
      <c r="A1066" s="1">
        <v>43800</v>
      </c>
      <c r="B1066">
        <v>24553</v>
      </c>
      <c r="C1066">
        <v>37584</v>
      </c>
      <c r="D1066">
        <v>26007</v>
      </c>
      <c r="E1066">
        <v>9342</v>
      </c>
      <c r="F1066">
        <v>97</v>
      </c>
      <c r="G1066" t="s">
        <v>20</v>
      </c>
      <c r="H1066" t="str">
        <f>IF(Grammys[[#This Row],[date]] &gt;= DATE(2022, 2, 1), "Grammys", "Grammys + TRA")</f>
        <v>Grammys + TRA</v>
      </c>
      <c r="I1066">
        <f>_xlfn.XLOOKUP(Grammys[[#This Row],[date]], mobile_visits[date], mobile_visits[mobile_visitors], 0)</f>
        <v>0</v>
      </c>
    </row>
    <row r="1067" spans="1:9" x14ac:dyDescent="0.2">
      <c r="A1067" s="1">
        <v>43801</v>
      </c>
      <c r="B1067">
        <v>22364</v>
      </c>
      <c r="C1067">
        <v>34416</v>
      </c>
      <c r="D1067">
        <v>23810</v>
      </c>
      <c r="E1067">
        <v>8991</v>
      </c>
      <c r="F1067">
        <v>102</v>
      </c>
      <c r="G1067" t="s">
        <v>20</v>
      </c>
      <c r="H1067" t="str">
        <f>IF(Grammys[[#This Row],[date]] &gt;= DATE(2022, 2, 1), "Grammys", "Grammys + TRA")</f>
        <v>Grammys + TRA</v>
      </c>
      <c r="I1067">
        <f>_xlfn.XLOOKUP(Grammys[[#This Row],[date]], mobile_visits[date], mobile_visits[mobile_visitors], 0)</f>
        <v>0</v>
      </c>
    </row>
    <row r="1068" spans="1:9" x14ac:dyDescent="0.2">
      <c r="A1068" s="1">
        <v>43802</v>
      </c>
      <c r="B1068">
        <v>22129</v>
      </c>
      <c r="C1068">
        <v>34005</v>
      </c>
      <c r="D1068">
        <v>23924</v>
      </c>
      <c r="E1068">
        <v>9154</v>
      </c>
      <c r="F1068">
        <v>102</v>
      </c>
      <c r="G1068" t="s">
        <v>20</v>
      </c>
      <c r="H1068" t="str">
        <f>IF(Grammys[[#This Row],[date]] &gt;= DATE(2022, 2, 1), "Grammys", "Grammys + TRA")</f>
        <v>Grammys + TRA</v>
      </c>
      <c r="I1068">
        <f>_xlfn.XLOOKUP(Grammys[[#This Row],[date]], mobile_visits[date], mobile_visits[mobile_visitors], 0)</f>
        <v>0</v>
      </c>
    </row>
    <row r="1069" spans="1:9" x14ac:dyDescent="0.2">
      <c r="A1069" s="1">
        <v>43803</v>
      </c>
      <c r="B1069">
        <v>24693</v>
      </c>
      <c r="C1069">
        <v>36077</v>
      </c>
      <c r="D1069">
        <v>26619</v>
      </c>
      <c r="E1069">
        <v>10606</v>
      </c>
      <c r="F1069">
        <v>96</v>
      </c>
      <c r="G1069" t="s">
        <v>20</v>
      </c>
      <c r="H1069" t="str">
        <f>IF(Grammys[[#This Row],[date]] &gt;= DATE(2022, 2, 1), "Grammys", "Grammys + TRA")</f>
        <v>Grammys + TRA</v>
      </c>
      <c r="I1069">
        <f>_xlfn.XLOOKUP(Grammys[[#This Row],[date]], mobile_visits[date], mobile_visits[mobile_visitors], 0)</f>
        <v>0</v>
      </c>
    </row>
    <row r="1070" spans="1:9" x14ac:dyDescent="0.2">
      <c r="A1070" s="1">
        <v>43804</v>
      </c>
      <c r="B1070">
        <v>25202</v>
      </c>
      <c r="C1070">
        <v>36047</v>
      </c>
      <c r="D1070">
        <v>26643</v>
      </c>
      <c r="E1070">
        <v>10751</v>
      </c>
      <c r="F1070">
        <v>95</v>
      </c>
      <c r="G1070" t="s">
        <v>20</v>
      </c>
      <c r="H1070" t="str">
        <f>IF(Grammys[[#This Row],[date]] &gt;= DATE(2022, 2, 1), "Grammys", "Grammys + TRA")</f>
        <v>Grammys + TRA</v>
      </c>
      <c r="I1070">
        <f>_xlfn.XLOOKUP(Grammys[[#This Row],[date]], mobile_visits[date], mobile_visits[mobile_visitors], 0)</f>
        <v>0</v>
      </c>
    </row>
    <row r="1071" spans="1:9" x14ac:dyDescent="0.2">
      <c r="A1071" s="1">
        <v>43805</v>
      </c>
      <c r="B1071">
        <v>21967</v>
      </c>
      <c r="C1071">
        <v>32791</v>
      </c>
      <c r="D1071">
        <v>23657</v>
      </c>
      <c r="E1071">
        <v>9747</v>
      </c>
      <c r="F1071">
        <v>98</v>
      </c>
      <c r="G1071" t="s">
        <v>20</v>
      </c>
      <c r="H1071" t="str">
        <f>IF(Grammys[[#This Row],[date]] &gt;= DATE(2022, 2, 1), "Grammys", "Grammys + TRA")</f>
        <v>Grammys + TRA</v>
      </c>
      <c r="I1071">
        <f>_xlfn.XLOOKUP(Grammys[[#This Row],[date]], mobile_visits[date], mobile_visits[mobile_visitors], 0)</f>
        <v>0</v>
      </c>
    </row>
    <row r="1072" spans="1:9" x14ac:dyDescent="0.2">
      <c r="A1072" s="1">
        <v>43806</v>
      </c>
      <c r="B1072">
        <v>18397</v>
      </c>
      <c r="C1072">
        <v>27406</v>
      </c>
      <c r="D1072">
        <v>19723</v>
      </c>
      <c r="E1072">
        <v>8663</v>
      </c>
      <c r="F1072">
        <v>98</v>
      </c>
      <c r="G1072" t="s">
        <v>20</v>
      </c>
      <c r="H1072" t="str">
        <f>IF(Grammys[[#This Row],[date]] &gt;= DATE(2022, 2, 1), "Grammys", "Grammys + TRA")</f>
        <v>Grammys + TRA</v>
      </c>
      <c r="I1072">
        <f>_xlfn.XLOOKUP(Grammys[[#This Row],[date]], mobile_visits[date], mobile_visits[mobile_visitors], 0)</f>
        <v>0</v>
      </c>
    </row>
    <row r="1073" spans="1:9" x14ac:dyDescent="0.2">
      <c r="A1073" s="1">
        <v>43807</v>
      </c>
      <c r="B1073">
        <v>20762</v>
      </c>
      <c r="C1073">
        <v>30991</v>
      </c>
      <c r="D1073">
        <v>22423</v>
      </c>
      <c r="E1073">
        <v>9932</v>
      </c>
      <c r="F1073">
        <v>96</v>
      </c>
      <c r="G1073" t="s">
        <v>20</v>
      </c>
      <c r="H1073" t="str">
        <f>IF(Grammys[[#This Row],[date]] &gt;= DATE(2022, 2, 1), "Grammys", "Grammys + TRA")</f>
        <v>Grammys + TRA</v>
      </c>
      <c r="I1073">
        <f>_xlfn.XLOOKUP(Grammys[[#This Row],[date]], mobile_visits[date], mobile_visits[mobile_visitors], 0)</f>
        <v>0</v>
      </c>
    </row>
    <row r="1074" spans="1:9" x14ac:dyDescent="0.2">
      <c r="A1074" s="1">
        <v>43808</v>
      </c>
      <c r="B1074">
        <v>25476</v>
      </c>
      <c r="C1074">
        <v>38792</v>
      </c>
      <c r="D1074">
        <v>27703</v>
      </c>
      <c r="E1074">
        <v>11420</v>
      </c>
      <c r="F1074">
        <v>98</v>
      </c>
      <c r="G1074" t="s">
        <v>20</v>
      </c>
      <c r="H1074" t="str">
        <f>IF(Grammys[[#This Row],[date]] &gt;= DATE(2022, 2, 1), "Grammys", "Grammys + TRA")</f>
        <v>Grammys + TRA</v>
      </c>
      <c r="I1074">
        <f>_xlfn.XLOOKUP(Grammys[[#This Row],[date]], mobile_visits[date], mobile_visits[mobile_visitors], 0)</f>
        <v>0</v>
      </c>
    </row>
    <row r="1075" spans="1:9" x14ac:dyDescent="0.2">
      <c r="A1075" s="1">
        <v>43809</v>
      </c>
      <c r="B1075">
        <v>25792</v>
      </c>
      <c r="C1075">
        <v>38603</v>
      </c>
      <c r="D1075">
        <v>27751</v>
      </c>
      <c r="E1075">
        <v>11451</v>
      </c>
      <c r="F1075">
        <v>100</v>
      </c>
      <c r="G1075" t="s">
        <v>20</v>
      </c>
      <c r="H1075" t="str">
        <f>IF(Grammys[[#This Row],[date]] &gt;= DATE(2022, 2, 1), "Grammys", "Grammys + TRA")</f>
        <v>Grammys + TRA</v>
      </c>
      <c r="I1075">
        <f>_xlfn.XLOOKUP(Grammys[[#This Row],[date]], mobile_visits[date], mobile_visits[mobile_visitors], 0)</f>
        <v>0</v>
      </c>
    </row>
    <row r="1076" spans="1:9" x14ac:dyDescent="0.2">
      <c r="A1076" s="1">
        <v>43810</v>
      </c>
      <c r="B1076">
        <v>23778</v>
      </c>
      <c r="C1076">
        <v>33978</v>
      </c>
      <c r="D1076">
        <v>25450</v>
      </c>
      <c r="E1076">
        <v>11160</v>
      </c>
      <c r="F1076">
        <v>99</v>
      </c>
      <c r="G1076" t="s">
        <v>20</v>
      </c>
      <c r="H1076" t="str">
        <f>IF(Grammys[[#This Row],[date]] &gt;= DATE(2022, 2, 1), "Grammys", "Grammys + TRA")</f>
        <v>Grammys + TRA</v>
      </c>
      <c r="I1076">
        <f>_xlfn.XLOOKUP(Grammys[[#This Row],[date]], mobile_visits[date], mobile_visits[mobile_visitors], 0)</f>
        <v>0</v>
      </c>
    </row>
    <row r="1077" spans="1:9" x14ac:dyDescent="0.2">
      <c r="A1077" s="1">
        <v>43811</v>
      </c>
      <c r="B1077">
        <v>20997</v>
      </c>
      <c r="C1077">
        <v>30602</v>
      </c>
      <c r="D1077">
        <v>22870</v>
      </c>
      <c r="E1077">
        <v>9645</v>
      </c>
      <c r="F1077">
        <v>97</v>
      </c>
      <c r="G1077" t="s">
        <v>20</v>
      </c>
      <c r="H1077" t="str">
        <f>IF(Grammys[[#This Row],[date]] &gt;= DATE(2022, 2, 1), "Grammys", "Grammys + TRA")</f>
        <v>Grammys + TRA</v>
      </c>
      <c r="I1077">
        <f>_xlfn.XLOOKUP(Grammys[[#This Row],[date]], mobile_visits[date], mobile_visits[mobile_visitors], 0)</f>
        <v>0</v>
      </c>
    </row>
    <row r="1078" spans="1:9" x14ac:dyDescent="0.2">
      <c r="A1078" s="1">
        <v>43812</v>
      </c>
      <c r="B1078">
        <v>20475</v>
      </c>
      <c r="C1078">
        <v>29799</v>
      </c>
      <c r="D1078">
        <v>22249</v>
      </c>
      <c r="E1078">
        <v>9677</v>
      </c>
      <c r="F1078">
        <v>96</v>
      </c>
      <c r="G1078" t="s">
        <v>20</v>
      </c>
      <c r="H1078" t="str">
        <f>IF(Grammys[[#This Row],[date]] &gt;= DATE(2022, 2, 1), "Grammys", "Grammys + TRA")</f>
        <v>Grammys + TRA</v>
      </c>
      <c r="I1078">
        <f>_xlfn.XLOOKUP(Grammys[[#This Row],[date]], mobile_visits[date], mobile_visits[mobile_visitors], 0)</f>
        <v>0</v>
      </c>
    </row>
    <row r="1079" spans="1:9" x14ac:dyDescent="0.2">
      <c r="A1079" s="1">
        <v>43813</v>
      </c>
      <c r="B1079">
        <v>18742</v>
      </c>
      <c r="C1079">
        <v>27880</v>
      </c>
      <c r="D1079">
        <v>20367</v>
      </c>
      <c r="E1079">
        <v>9217</v>
      </c>
      <c r="F1079">
        <v>98</v>
      </c>
      <c r="G1079" t="s">
        <v>20</v>
      </c>
      <c r="H1079" t="str">
        <f>IF(Grammys[[#This Row],[date]] &gt;= DATE(2022, 2, 1), "Grammys", "Grammys + TRA")</f>
        <v>Grammys + TRA</v>
      </c>
      <c r="I1079">
        <f>_xlfn.XLOOKUP(Grammys[[#This Row],[date]], mobile_visits[date], mobile_visits[mobile_visitors], 0)</f>
        <v>0</v>
      </c>
    </row>
    <row r="1080" spans="1:9" x14ac:dyDescent="0.2">
      <c r="A1080" s="1">
        <v>43814</v>
      </c>
      <c r="B1080">
        <v>19131</v>
      </c>
      <c r="C1080">
        <v>27595</v>
      </c>
      <c r="D1080">
        <v>20439</v>
      </c>
      <c r="E1080">
        <v>9016</v>
      </c>
      <c r="F1080">
        <v>99</v>
      </c>
      <c r="G1080" t="s">
        <v>20</v>
      </c>
      <c r="H1080" t="str">
        <f>IF(Grammys[[#This Row],[date]] &gt;= DATE(2022, 2, 1), "Grammys", "Grammys + TRA")</f>
        <v>Grammys + TRA</v>
      </c>
      <c r="I1080">
        <f>_xlfn.XLOOKUP(Grammys[[#This Row],[date]], mobile_visits[date], mobile_visits[mobile_visitors], 0)</f>
        <v>0</v>
      </c>
    </row>
    <row r="1081" spans="1:9" x14ac:dyDescent="0.2">
      <c r="A1081" s="1">
        <v>43815</v>
      </c>
      <c r="B1081">
        <v>18022</v>
      </c>
      <c r="C1081">
        <v>26803</v>
      </c>
      <c r="D1081">
        <v>19511</v>
      </c>
      <c r="E1081">
        <v>8583</v>
      </c>
      <c r="F1081">
        <v>102</v>
      </c>
      <c r="G1081" t="s">
        <v>20</v>
      </c>
      <c r="H1081" t="str">
        <f>IF(Grammys[[#This Row],[date]] &gt;= DATE(2022, 2, 1), "Grammys", "Grammys + TRA")</f>
        <v>Grammys + TRA</v>
      </c>
      <c r="I1081">
        <f>_xlfn.XLOOKUP(Grammys[[#This Row],[date]], mobile_visits[date], mobile_visits[mobile_visitors], 0)</f>
        <v>0</v>
      </c>
    </row>
    <row r="1082" spans="1:9" x14ac:dyDescent="0.2">
      <c r="A1082" s="1">
        <v>43816</v>
      </c>
      <c r="B1082">
        <v>19550</v>
      </c>
      <c r="C1082">
        <v>28747</v>
      </c>
      <c r="D1082">
        <v>20888</v>
      </c>
      <c r="E1082">
        <v>8966</v>
      </c>
      <c r="F1082">
        <v>106</v>
      </c>
      <c r="G1082" t="s">
        <v>20</v>
      </c>
      <c r="H1082" t="str">
        <f>IF(Grammys[[#This Row],[date]] &gt;= DATE(2022, 2, 1), "Grammys", "Grammys + TRA")</f>
        <v>Grammys + TRA</v>
      </c>
      <c r="I1082">
        <f>_xlfn.XLOOKUP(Grammys[[#This Row],[date]], mobile_visits[date], mobile_visits[mobile_visitors], 0)</f>
        <v>0</v>
      </c>
    </row>
    <row r="1083" spans="1:9" x14ac:dyDescent="0.2">
      <c r="A1083" s="1">
        <v>43817</v>
      </c>
      <c r="B1083">
        <v>18721</v>
      </c>
      <c r="C1083">
        <v>26936</v>
      </c>
      <c r="D1083">
        <v>19973</v>
      </c>
      <c r="E1083">
        <v>8627</v>
      </c>
      <c r="F1083">
        <v>100</v>
      </c>
      <c r="G1083" t="s">
        <v>20</v>
      </c>
      <c r="H1083" t="str">
        <f>IF(Grammys[[#This Row],[date]] &gt;= DATE(2022, 2, 1), "Grammys", "Grammys + TRA")</f>
        <v>Grammys + TRA</v>
      </c>
      <c r="I1083">
        <f>_xlfn.XLOOKUP(Grammys[[#This Row],[date]], mobile_visits[date], mobile_visits[mobile_visitors], 0)</f>
        <v>0</v>
      </c>
    </row>
    <row r="1084" spans="1:9" x14ac:dyDescent="0.2">
      <c r="A1084" s="1">
        <v>43818</v>
      </c>
      <c r="B1084">
        <v>18308</v>
      </c>
      <c r="C1084">
        <v>26561</v>
      </c>
      <c r="D1084">
        <v>19588</v>
      </c>
      <c r="E1084">
        <v>9033</v>
      </c>
      <c r="F1084">
        <v>96</v>
      </c>
      <c r="G1084" t="s">
        <v>20</v>
      </c>
      <c r="H1084" t="str">
        <f>IF(Grammys[[#This Row],[date]] &gt;= DATE(2022, 2, 1), "Grammys", "Grammys + TRA")</f>
        <v>Grammys + TRA</v>
      </c>
      <c r="I1084">
        <f>_xlfn.XLOOKUP(Grammys[[#This Row],[date]], mobile_visits[date], mobile_visits[mobile_visitors], 0)</f>
        <v>0</v>
      </c>
    </row>
    <row r="1085" spans="1:9" x14ac:dyDescent="0.2">
      <c r="A1085" s="1">
        <v>43819</v>
      </c>
      <c r="B1085">
        <v>17747</v>
      </c>
      <c r="C1085">
        <v>25199</v>
      </c>
      <c r="D1085">
        <v>19122</v>
      </c>
      <c r="E1085">
        <v>8663</v>
      </c>
      <c r="F1085">
        <v>87</v>
      </c>
      <c r="G1085" t="s">
        <v>20</v>
      </c>
      <c r="H1085" t="str">
        <f>IF(Grammys[[#This Row],[date]] &gt;= DATE(2022, 2, 1), "Grammys", "Grammys + TRA")</f>
        <v>Grammys + TRA</v>
      </c>
      <c r="I1085">
        <f>_xlfn.XLOOKUP(Grammys[[#This Row],[date]], mobile_visits[date], mobile_visits[mobile_visitors], 0)</f>
        <v>0</v>
      </c>
    </row>
    <row r="1086" spans="1:9" x14ac:dyDescent="0.2">
      <c r="A1086" s="1">
        <v>43820</v>
      </c>
      <c r="B1086">
        <v>15927</v>
      </c>
      <c r="C1086">
        <v>23174</v>
      </c>
      <c r="D1086">
        <v>17305</v>
      </c>
      <c r="E1086">
        <v>8113</v>
      </c>
      <c r="F1086">
        <v>89</v>
      </c>
      <c r="G1086" t="s">
        <v>20</v>
      </c>
      <c r="H1086" t="str">
        <f>IF(Grammys[[#This Row],[date]] &gt;= DATE(2022, 2, 1), "Grammys", "Grammys + TRA")</f>
        <v>Grammys + TRA</v>
      </c>
      <c r="I1086">
        <f>_xlfn.XLOOKUP(Grammys[[#This Row],[date]], mobile_visits[date], mobile_visits[mobile_visitors], 0)</f>
        <v>0</v>
      </c>
    </row>
    <row r="1087" spans="1:9" x14ac:dyDescent="0.2">
      <c r="A1087" s="1">
        <v>43821</v>
      </c>
      <c r="B1087">
        <v>15731</v>
      </c>
      <c r="C1087">
        <v>23614</v>
      </c>
      <c r="D1087">
        <v>17337</v>
      </c>
      <c r="E1087">
        <v>8033</v>
      </c>
      <c r="F1087">
        <v>95</v>
      </c>
      <c r="G1087" t="s">
        <v>20</v>
      </c>
      <c r="H1087" t="str">
        <f>IF(Grammys[[#This Row],[date]] &gt;= DATE(2022, 2, 1), "Grammys", "Grammys + TRA")</f>
        <v>Grammys + TRA</v>
      </c>
      <c r="I1087">
        <f>_xlfn.XLOOKUP(Grammys[[#This Row],[date]], mobile_visits[date], mobile_visits[mobile_visitors], 0)</f>
        <v>0</v>
      </c>
    </row>
    <row r="1088" spans="1:9" x14ac:dyDescent="0.2">
      <c r="A1088" s="1">
        <v>43822</v>
      </c>
      <c r="B1088">
        <v>16400</v>
      </c>
      <c r="C1088">
        <v>23477</v>
      </c>
      <c r="D1088">
        <v>17524</v>
      </c>
      <c r="E1088">
        <v>7637</v>
      </c>
      <c r="F1088">
        <v>94</v>
      </c>
      <c r="G1088" t="s">
        <v>20</v>
      </c>
      <c r="H1088" t="str">
        <f>IF(Grammys[[#This Row],[date]] &gt;= DATE(2022, 2, 1), "Grammys", "Grammys + TRA")</f>
        <v>Grammys + TRA</v>
      </c>
      <c r="I1088">
        <f>_xlfn.XLOOKUP(Grammys[[#This Row],[date]], mobile_visits[date], mobile_visits[mobile_visitors], 0)</f>
        <v>0</v>
      </c>
    </row>
    <row r="1089" spans="1:9" x14ac:dyDescent="0.2">
      <c r="A1089" s="1">
        <v>43823</v>
      </c>
      <c r="B1089">
        <v>15063</v>
      </c>
      <c r="C1089">
        <v>21327</v>
      </c>
      <c r="D1089">
        <v>16201</v>
      </c>
      <c r="E1089">
        <v>6988</v>
      </c>
      <c r="F1089">
        <v>91</v>
      </c>
      <c r="G1089" t="s">
        <v>20</v>
      </c>
      <c r="H1089" t="str">
        <f>IF(Grammys[[#This Row],[date]] &gt;= DATE(2022, 2, 1), "Grammys", "Grammys + TRA")</f>
        <v>Grammys + TRA</v>
      </c>
      <c r="I1089">
        <f>_xlfn.XLOOKUP(Grammys[[#This Row],[date]], mobile_visits[date], mobile_visits[mobile_visitors], 0)</f>
        <v>0</v>
      </c>
    </row>
    <row r="1090" spans="1:9" x14ac:dyDescent="0.2">
      <c r="A1090" s="1">
        <v>43824</v>
      </c>
      <c r="B1090">
        <v>14357</v>
      </c>
      <c r="C1090">
        <v>20952</v>
      </c>
      <c r="D1090">
        <v>15384</v>
      </c>
      <c r="E1090">
        <v>6885</v>
      </c>
      <c r="F1090">
        <v>91</v>
      </c>
      <c r="G1090" t="s">
        <v>20</v>
      </c>
      <c r="H1090" t="str">
        <f>IF(Grammys[[#This Row],[date]] &gt;= DATE(2022, 2, 1), "Grammys", "Grammys + TRA")</f>
        <v>Grammys + TRA</v>
      </c>
      <c r="I1090">
        <f>_xlfn.XLOOKUP(Grammys[[#This Row],[date]], mobile_visits[date], mobile_visits[mobile_visitors], 0)</f>
        <v>0</v>
      </c>
    </row>
    <row r="1091" spans="1:9" x14ac:dyDescent="0.2">
      <c r="A1091" s="1">
        <v>43825</v>
      </c>
      <c r="B1091">
        <v>15433</v>
      </c>
      <c r="C1091">
        <v>23630</v>
      </c>
      <c r="D1091">
        <v>16581</v>
      </c>
      <c r="E1091">
        <v>7379</v>
      </c>
      <c r="F1091">
        <v>102</v>
      </c>
      <c r="G1091" t="s">
        <v>20</v>
      </c>
      <c r="H1091" t="str">
        <f>IF(Grammys[[#This Row],[date]] &gt;= DATE(2022, 2, 1), "Grammys", "Grammys + TRA")</f>
        <v>Grammys + TRA</v>
      </c>
      <c r="I1091">
        <f>_xlfn.XLOOKUP(Grammys[[#This Row],[date]], mobile_visits[date], mobile_visits[mobile_visitors], 0)</f>
        <v>0</v>
      </c>
    </row>
    <row r="1092" spans="1:9" x14ac:dyDescent="0.2">
      <c r="A1092" s="1">
        <v>43826</v>
      </c>
      <c r="B1092">
        <v>16127</v>
      </c>
      <c r="C1092">
        <v>23795</v>
      </c>
      <c r="D1092">
        <v>17490</v>
      </c>
      <c r="E1092">
        <v>7969</v>
      </c>
      <c r="F1092">
        <v>97</v>
      </c>
      <c r="G1092" t="s">
        <v>20</v>
      </c>
      <c r="H1092" t="str">
        <f>IF(Grammys[[#This Row],[date]] &gt;= DATE(2022, 2, 1), "Grammys", "Grammys + TRA")</f>
        <v>Grammys + TRA</v>
      </c>
      <c r="I1092">
        <f>_xlfn.XLOOKUP(Grammys[[#This Row],[date]], mobile_visits[date], mobile_visits[mobile_visitors], 0)</f>
        <v>0</v>
      </c>
    </row>
    <row r="1093" spans="1:9" x14ac:dyDescent="0.2">
      <c r="A1093" s="1">
        <v>43827</v>
      </c>
      <c r="B1093">
        <v>16420</v>
      </c>
      <c r="C1093">
        <v>24097</v>
      </c>
      <c r="D1093">
        <v>17577</v>
      </c>
      <c r="E1093">
        <v>7877</v>
      </c>
      <c r="F1093">
        <v>99</v>
      </c>
      <c r="G1093" t="s">
        <v>20</v>
      </c>
      <c r="H1093" t="str">
        <f>IF(Grammys[[#This Row],[date]] &gt;= DATE(2022, 2, 1), "Grammys", "Grammys + TRA")</f>
        <v>Grammys + TRA</v>
      </c>
      <c r="I1093">
        <f>_xlfn.XLOOKUP(Grammys[[#This Row],[date]], mobile_visits[date], mobile_visits[mobile_visitors], 0)</f>
        <v>0</v>
      </c>
    </row>
    <row r="1094" spans="1:9" x14ac:dyDescent="0.2">
      <c r="A1094" s="1">
        <v>43828</v>
      </c>
      <c r="B1094">
        <v>18250</v>
      </c>
      <c r="C1094">
        <v>26428</v>
      </c>
      <c r="D1094">
        <v>19465</v>
      </c>
      <c r="E1094">
        <v>8699</v>
      </c>
      <c r="F1094">
        <v>100</v>
      </c>
      <c r="G1094" t="s">
        <v>20</v>
      </c>
      <c r="H1094" t="str">
        <f>IF(Grammys[[#This Row],[date]] &gt;= DATE(2022, 2, 1), "Grammys", "Grammys + TRA")</f>
        <v>Grammys + TRA</v>
      </c>
      <c r="I1094">
        <f>_xlfn.XLOOKUP(Grammys[[#This Row],[date]], mobile_visits[date], mobile_visits[mobile_visitors], 0)</f>
        <v>0</v>
      </c>
    </row>
    <row r="1095" spans="1:9" x14ac:dyDescent="0.2">
      <c r="A1095" s="1">
        <v>43829</v>
      </c>
      <c r="B1095">
        <v>18083</v>
      </c>
      <c r="C1095">
        <v>27361</v>
      </c>
      <c r="D1095">
        <v>19740</v>
      </c>
      <c r="E1095">
        <v>8439</v>
      </c>
      <c r="F1095">
        <v>104</v>
      </c>
      <c r="G1095" t="s">
        <v>20</v>
      </c>
      <c r="H1095" t="str">
        <f>IF(Grammys[[#This Row],[date]] &gt;= DATE(2022, 2, 1), "Grammys", "Grammys + TRA")</f>
        <v>Grammys + TRA</v>
      </c>
      <c r="I1095">
        <f>_xlfn.XLOOKUP(Grammys[[#This Row],[date]], mobile_visits[date], mobile_visits[mobile_visitors], 0)</f>
        <v>0</v>
      </c>
    </row>
    <row r="1096" spans="1:9" x14ac:dyDescent="0.2">
      <c r="A1096" s="1">
        <v>43830</v>
      </c>
      <c r="B1096">
        <v>29389</v>
      </c>
      <c r="C1096">
        <v>37027</v>
      </c>
      <c r="D1096">
        <v>31068</v>
      </c>
      <c r="E1096">
        <v>13385</v>
      </c>
      <c r="F1096">
        <v>69</v>
      </c>
      <c r="G1096" t="s">
        <v>20</v>
      </c>
      <c r="H1096" t="str">
        <f>IF(Grammys[[#This Row],[date]] &gt;= DATE(2022, 2, 1), "Grammys", "Grammys + TRA")</f>
        <v>Grammys + TRA</v>
      </c>
      <c r="I1096">
        <f>_xlfn.XLOOKUP(Grammys[[#This Row],[date]], mobile_visits[date], mobile_visits[mobile_visitors], 0)</f>
        <v>0</v>
      </c>
    </row>
    <row r="1097" spans="1:9" x14ac:dyDescent="0.2">
      <c r="A1097" s="1">
        <v>43831</v>
      </c>
      <c r="B1097">
        <v>18485</v>
      </c>
      <c r="C1097">
        <v>26293</v>
      </c>
      <c r="D1097">
        <v>19936</v>
      </c>
      <c r="E1097">
        <v>8896</v>
      </c>
      <c r="F1097">
        <v>98</v>
      </c>
      <c r="G1097" t="s">
        <v>20</v>
      </c>
      <c r="H1097" t="str">
        <f>IF(Grammys[[#This Row],[date]] &gt;= DATE(2022, 2, 1), "Grammys", "Grammys + TRA")</f>
        <v>Grammys + TRA</v>
      </c>
      <c r="I1097">
        <f>_xlfn.XLOOKUP(Grammys[[#This Row],[date]], mobile_visits[date], mobile_visits[mobile_visitors], 0)</f>
        <v>0</v>
      </c>
    </row>
    <row r="1098" spans="1:9" x14ac:dyDescent="0.2">
      <c r="A1098" s="1">
        <v>43832</v>
      </c>
      <c r="B1098">
        <v>20550</v>
      </c>
      <c r="C1098">
        <v>30007</v>
      </c>
      <c r="D1098">
        <v>22236</v>
      </c>
      <c r="E1098">
        <v>9024</v>
      </c>
      <c r="F1098">
        <v>107</v>
      </c>
      <c r="G1098" t="s">
        <v>20</v>
      </c>
      <c r="H1098" t="str">
        <f>IF(Grammys[[#This Row],[date]] &gt;= DATE(2022, 2, 1), "Grammys", "Grammys + TRA")</f>
        <v>Grammys + TRA</v>
      </c>
      <c r="I1098">
        <f>_xlfn.XLOOKUP(Grammys[[#This Row],[date]], mobile_visits[date], mobile_visits[mobile_visitors], 0)</f>
        <v>0</v>
      </c>
    </row>
    <row r="1099" spans="1:9" x14ac:dyDescent="0.2">
      <c r="A1099" s="1">
        <v>43833</v>
      </c>
      <c r="B1099">
        <v>20712</v>
      </c>
      <c r="C1099">
        <v>29158</v>
      </c>
      <c r="D1099">
        <v>22353</v>
      </c>
      <c r="E1099">
        <v>9076</v>
      </c>
      <c r="F1099">
        <v>99</v>
      </c>
      <c r="G1099" t="s">
        <v>20</v>
      </c>
      <c r="H1099" t="str">
        <f>IF(Grammys[[#This Row],[date]] &gt;= DATE(2022, 2, 1), "Grammys", "Grammys + TRA")</f>
        <v>Grammys + TRA</v>
      </c>
      <c r="I1099">
        <f>_xlfn.XLOOKUP(Grammys[[#This Row],[date]], mobile_visits[date], mobile_visits[mobile_visitors], 0)</f>
        <v>0</v>
      </c>
    </row>
    <row r="1100" spans="1:9" x14ac:dyDescent="0.2">
      <c r="A1100" s="1">
        <v>43834</v>
      </c>
      <c r="B1100">
        <v>20738</v>
      </c>
      <c r="C1100">
        <v>29467</v>
      </c>
      <c r="D1100">
        <v>22157</v>
      </c>
      <c r="E1100">
        <v>9657</v>
      </c>
      <c r="F1100">
        <v>99</v>
      </c>
      <c r="G1100" t="s">
        <v>20</v>
      </c>
      <c r="H1100" t="str">
        <f>IF(Grammys[[#This Row],[date]] &gt;= DATE(2022, 2, 1), "Grammys", "Grammys + TRA")</f>
        <v>Grammys + TRA</v>
      </c>
      <c r="I1100">
        <f>_xlfn.XLOOKUP(Grammys[[#This Row],[date]], mobile_visits[date], mobile_visits[mobile_visitors], 0)</f>
        <v>0</v>
      </c>
    </row>
    <row r="1101" spans="1:9" x14ac:dyDescent="0.2">
      <c r="A1101" s="1">
        <v>43835</v>
      </c>
      <c r="B1101">
        <v>30413</v>
      </c>
      <c r="C1101">
        <v>42773</v>
      </c>
      <c r="D1101">
        <v>31971</v>
      </c>
      <c r="E1101">
        <v>14995</v>
      </c>
      <c r="F1101">
        <v>95</v>
      </c>
      <c r="G1101" t="s">
        <v>20</v>
      </c>
      <c r="H1101" t="str">
        <f>IF(Grammys[[#This Row],[date]] &gt;= DATE(2022, 2, 1), "Grammys", "Grammys + TRA")</f>
        <v>Grammys + TRA</v>
      </c>
      <c r="I1101">
        <f>_xlfn.XLOOKUP(Grammys[[#This Row],[date]], mobile_visits[date], mobile_visits[mobile_visitors], 0)</f>
        <v>0</v>
      </c>
    </row>
    <row r="1102" spans="1:9" x14ac:dyDescent="0.2">
      <c r="A1102" s="1">
        <v>43836</v>
      </c>
      <c r="B1102">
        <v>34103</v>
      </c>
      <c r="C1102">
        <v>46393</v>
      </c>
      <c r="D1102">
        <v>36787</v>
      </c>
      <c r="E1102">
        <v>18640</v>
      </c>
      <c r="F1102">
        <v>85</v>
      </c>
      <c r="G1102" t="s">
        <v>20</v>
      </c>
      <c r="H1102" t="str">
        <f>IF(Grammys[[#This Row],[date]] &gt;= DATE(2022, 2, 1), "Grammys", "Grammys + TRA")</f>
        <v>Grammys + TRA</v>
      </c>
      <c r="I1102">
        <f>_xlfn.XLOOKUP(Grammys[[#This Row],[date]], mobile_visits[date], mobile_visits[mobile_visitors], 0)</f>
        <v>0</v>
      </c>
    </row>
    <row r="1103" spans="1:9" x14ac:dyDescent="0.2">
      <c r="A1103" s="1">
        <v>43837</v>
      </c>
      <c r="B1103">
        <v>27628</v>
      </c>
      <c r="C1103">
        <v>41006</v>
      </c>
      <c r="D1103">
        <v>29776</v>
      </c>
      <c r="E1103">
        <v>12977</v>
      </c>
      <c r="F1103">
        <v>107</v>
      </c>
      <c r="G1103" t="s">
        <v>20</v>
      </c>
      <c r="H1103" t="str">
        <f>IF(Grammys[[#This Row],[date]] &gt;= DATE(2022, 2, 1), "Grammys", "Grammys + TRA")</f>
        <v>Grammys + TRA</v>
      </c>
      <c r="I1103">
        <f>_xlfn.XLOOKUP(Grammys[[#This Row],[date]], mobile_visits[date], mobile_visits[mobile_visitors], 0)</f>
        <v>0</v>
      </c>
    </row>
    <row r="1104" spans="1:9" x14ac:dyDescent="0.2">
      <c r="A1104" s="1">
        <v>43838</v>
      </c>
      <c r="B1104">
        <v>44062</v>
      </c>
      <c r="C1104">
        <v>60557</v>
      </c>
      <c r="D1104">
        <v>47554</v>
      </c>
      <c r="E1104">
        <v>16973</v>
      </c>
      <c r="F1104">
        <v>93</v>
      </c>
      <c r="G1104" t="s">
        <v>20</v>
      </c>
      <c r="H1104" t="str">
        <f>IF(Grammys[[#This Row],[date]] &gt;= DATE(2022, 2, 1), "Grammys", "Grammys + TRA")</f>
        <v>Grammys + TRA</v>
      </c>
      <c r="I1104">
        <f>_xlfn.XLOOKUP(Grammys[[#This Row],[date]], mobile_visits[date], mobile_visits[mobile_visitors], 0)</f>
        <v>0</v>
      </c>
    </row>
    <row r="1105" spans="1:9" x14ac:dyDescent="0.2">
      <c r="A1105" s="1">
        <v>43839</v>
      </c>
      <c r="B1105">
        <v>33177</v>
      </c>
      <c r="C1105">
        <v>46770</v>
      </c>
      <c r="D1105">
        <v>35669</v>
      </c>
      <c r="E1105">
        <v>14232</v>
      </c>
      <c r="F1105">
        <v>98</v>
      </c>
      <c r="G1105" t="s">
        <v>20</v>
      </c>
      <c r="H1105" t="str">
        <f>IF(Grammys[[#This Row],[date]] &gt;= DATE(2022, 2, 1), "Grammys", "Grammys + TRA")</f>
        <v>Grammys + TRA</v>
      </c>
      <c r="I1105">
        <f>_xlfn.XLOOKUP(Grammys[[#This Row],[date]], mobile_visits[date], mobile_visits[mobile_visitors], 0)</f>
        <v>0</v>
      </c>
    </row>
    <row r="1106" spans="1:9" x14ac:dyDescent="0.2">
      <c r="A1106" s="1">
        <v>43840</v>
      </c>
      <c r="B1106">
        <v>27813</v>
      </c>
      <c r="C1106">
        <v>39093</v>
      </c>
      <c r="D1106">
        <v>29454</v>
      </c>
      <c r="E1106">
        <v>12121</v>
      </c>
      <c r="F1106">
        <v>100</v>
      </c>
      <c r="G1106" t="s">
        <v>20</v>
      </c>
      <c r="H1106" t="str">
        <f>IF(Grammys[[#This Row],[date]] &gt;= DATE(2022, 2, 1), "Grammys", "Grammys + TRA")</f>
        <v>Grammys + TRA</v>
      </c>
      <c r="I1106">
        <f>_xlfn.XLOOKUP(Grammys[[#This Row],[date]], mobile_visits[date], mobile_visits[mobile_visitors], 0)</f>
        <v>0</v>
      </c>
    </row>
    <row r="1107" spans="1:9" x14ac:dyDescent="0.2">
      <c r="A1107" s="1">
        <v>43841</v>
      </c>
      <c r="B1107">
        <v>35869</v>
      </c>
      <c r="C1107">
        <v>51048</v>
      </c>
      <c r="D1107">
        <v>38471</v>
      </c>
      <c r="E1107">
        <v>15381</v>
      </c>
      <c r="F1107">
        <v>97</v>
      </c>
      <c r="G1107" t="s">
        <v>20</v>
      </c>
      <c r="H1107" t="str">
        <f>IF(Grammys[[#This Row],[date]] &gt;= DATE(2022, 2, 1), "Grammys", "Grammys + TRA")</f>
        <v>Grammys + TRA</v>
      </c>
      <c r="I1107">
        <f>_xlfn.XLOOKUP(Grammys[[#This Row],[date]], mobile_visits[date], mobile_visits[mobile_visitors], 0)</f>
        <v>0</v>
      </c>
    </row>
    <row r="1108" spans="1:9" x14ac:dyDescent="0.2">
      <c r="A1108" s="1">
        <v>43842</v>
      </c>
      <c r="B1108">
        <v>33297</v>
      </c>
      <c r="C1108">
        <v>48803</v>
      </c>
      <c r="D1108">
        <v>36243</v>
      </c>
      <c r="E1108">
        <v>15027</v>
      </c>
      <c r="F1108">
        <v>103</v>
      </c>
      <c r="G1108" t="s">
        <v>20</v>
      </c>
      <c r="H1108" t="str">
        <f>IF(Grammys[[#This Row],[date]] &gt;= DATE(2022, 2, 1), "Grammys", "Grammys + TRA")</f>
        <v>Grammys + TRA</v>
      </c>
      <c r="I1108">
        <f>_xlfn.XLOOKUP(Grammys[[#This Row],[date]], mobile_visits[date], mobile_visits[mobile_visitors], 0)</f>
        <v>0</v>
      </c>
    </row>
    <row r="1109" spans="1:9" x14ac:dyDescent="0.2">
      <c r="A1109" s="1">
        <v>43843</v>
      </c>
      <c r="B1109">
        <v>33987</v>
      </c>
      <c r="C1109">
        <v>49624</v>
      </c>
      <c r="D1109">
        <v>36675</v>
      </c>
      <c r="E1109">
        <v>14498</v>
      </c>
      <c r="F1109">
        <v>114</v>
      </c>
      <c r="G1109" t="s">
        <v>20</v>
      </c>
      <c r="H1109" t="str">
        <f>IF(Grammys[[#This Row],[date]] &gt;= DATE(2022, 2, 1), "Grammys", "Grammys + TRA")</f>
        <v>Grammys + TRA</v>
      </c>
      <c r="I1109">
        <f>_xlfn.XLOOKUP(Grammys[[#This Row],[date]], mobile_visits[date], mobile_visits[mobile_visitors], 0)</f>
        <v>0</v>
      </c>
    </row>
    <row r="1110" spans="1:9" x14ac:dyDescent="0.2">
      <c r="A1110" s="1">
        <v>43844</v>
      </c>
      <c r="B1110">
        <v>52583</v>
      </c>
      <c r="C1110">
        <v>75105</v>
      </c>
      <c r="D1110">
        <v>56261</v>
      </c>
      <c r="E1110">
        <v>23422</v>
      </c>
      <c r="F1110">
        <v>95</v>
      </c>
      <c r="G1110" t="s">
        <v>20</v>
      </c>
      <c r="H1110" t="str">
        <f>IF(Grammys[[#This Row],[date]] &gt;= DATE(2022, 2, 1), "Grammys", "Grammys + TRA")</f>
        <v>Grammys + TRA</v>
      </c>
      <c r="I1110">
        <f>_xlfn.XLOOKUP(Grammys[[#This Row],[date]], mobile_visits[date], mobile_visits[mobile_visitors], 0)</f>
        <v>0</v>
      </c>
    </row>
    <row r="1111" spans="1:9" x14ac:dyDescent="0.2">
      <c r="A1111" s="1">
        <v>43845</v>
      </c>
      <c r="B1111">
        <v>58571</v>
      </c>
      <c r="C1111">
        <v>86819</v>
      </c>
      <c r="D1111">
        <v>63958</v>
      </c>
      <c r="E1111">
        <v>25878</v>
      </c>
      <c r="F1111">
        <v>101</v>
      </c>
      <c r="G1111" t="s">
        <v>20</v>
      </c>
      <c r="H1111" t="str">
        <f>IF(Grammys[[#This Row],[date]] &gt;= DATE(2022, 2, 1), "Grammys", "Grammys + TRA")</f>
        <v>Grammys + TRA</v>
      </c>
      <c r="I1111">
        <f>_xlfn.XLOOKUP(Grammys[[#This Row],[date]], mobile_visits[date], mobile_visits[mobile_visitors], 0)</f>
        <v>0</v>
      </c>
    </row>
    <row r="1112" spans="1:9" x14ac:dyDescent="0.2">
      <c r="A1112" s="1">
        <v>43846</v>
      </c>
      <c r="B1112">
        <v>40561</v>
      </c>
      <c r="C1112">
        <v>60485</v>
      </c>
      <c r="D1112">
        <v>43829</v>
      </c>
      <c r="E1112">
        <v>17747</v>
      </c>
      <c r="F1112">
        <v>110</v>
      </c>
      <c r="G1112" t="s">
        <v>20</v>
      </c>
      <c r="H1112" t="str">
        <f>IF(Grammys[[#This Row],[date]] &gt;= DATE(2022, 2, 1), "Grammys", "Grammys + TRA")</f>
        <v>Grammys + TRA</v>
      </c>
      <c r="I1112">
        <f>_xlfn.XLOOKUP(Grammys[[#This Row],[date]], mobile_visits[date], mobile_visits[mobile_visitors], 0)</f>
        <v>0</v>
      </c>
    </row>
    <row r="1113" spans="1:9" x14ac:dyDescent="0.2">
      <c r="A1113" s="1">
        <v>43847</v>
      </c>
      <c r="B1113">
        <v>37597</v>
      </c>
      <c r="C1113">
        <v>55752</v>
      </c>
      <c r="D1113">
        <v>40722</v>
      </c>
      <c r="E1113">
        <v>16314</v>
      </c>
      <c r="F1113">
        <v>108</v>
      </c>
      <c r="G1113" t="s">
        <v>20</v>
      </c>
      <c r="H1113" t="str">
        <f>IF(Grammys[[#This Row],[date]] &gt;= DATE(2022, 2, 1), "Grammys", "Grammys + TRA")</f>
        <v>Grammys + TRA</v>
      </c>
      <c r="I1113">
        <f>_xlfn.XLOOKUP(Grammys[[#This Row],[date]], mobile_visits[date], mobile_visits[mobile_visitors], 0)</f>
        <v>0</v>
      </c>
    </row>
    <row r="1114" spans="1:9" x14ac:dyDescent="0.2">
      <c r="A1114" s="1">
        <v>43848</v>
      </c>
      <c r="B1114">
        <v>34892</v>
      </c>
      <c r="C1114">
        <v>50430</v>
      </c>
      <c r="D1114">
        <v>37524</v>
      </c>
      <c r="E1114">
        <v>15847</v>
      </c>
      <c r="F1114">
        <v>100</v>
      </c>
      <c r="G1114" t="s">
        <v>20</v>
      </c>
      <c r="H1114" t="str">
        <f>IF(Grammys[[#This Row],[date]] &gt;= DATE(2022, 2, 1), "Grammys", "Grammys + TRA")</f>
        <v>Grammys + TRA</v>
      </c>
      <c r="I1114">
        <f>_xlfn.XLOOKUP(Grammys[[#This Row],[date]], mobile_visits[date], mobile_visits[mobile_visitors], 0)</f>
        <v>0</v>
      </c>
    </row>
    <row r="1115" spans="1:9" x14ac:dyDescent="0.2">
      <c r="A1115" s="1">
        <v>43849</v>
      </c>
      <c r="B1115">
        <v>55119</v>
      </c>
      <c r="C1115">
        <v>79862</v>
      </c>
      <c r="D1115">
        <v>59662</v>
      </c>
      <c r="E1115">
        <v>24384</v>
      </c>
      <c r="F1115">
        <v>108</v>
      </c>
      <c r="G1115" t="s">
        <v>20</v>
      </c>
      <c r="H1115" t="str">
        <f>IF(Grammys[[#This Row],[date]] &gt;= DATE(2022, 2, 1), "Grammys", "Grammys + TRA")</f>
        <v>Grammys + TRA</v>
      </c>
      <c r="I1115">
        <f>_xlfn.XLOOKUP(Grammys[[#This Row],[date]], mobile_visits[date], mobile_visits[mobile_visitors], 0)</f>
        <v>0</v>
      </c>
    </row>
    <row r="1116" spans="1:9" x14ac:dyDescent="0.2">
      <c r="A1116" s="1">
        <v>43850</v>
      </c>
      <c r="B1116">
        <v>46281</v>
      </c>
      <c r="C1116">
        <v>71863</v>
      </c>
      <c r="D1116">
        <v>51351</v>
      </c>
      <c r="E1116">
        <v>21311</v>
      </c>
      <c r="F1116">
        <v>118</v>
      </c>
      <c r="G1116" t="s">
        <v>20</v>
      </c>
      <c r="H1116" t="str">
        <f>IF(Grammys[[#This Row],[date]] &gt;= DATE(2022, 2, 1), "Grammys", "Grammys + TRA")</f>
        <v>Grammys + TRA</v>
      </c>
      <c r="I1116">
        <f>_xlfn.XLOOKUP(Grammys[[#This Row],[date]], mobile_visits[date], mobile_visits[mobile_visitors], 0)</f>
        <v>0</v>
      </c>
    </row>
    <row r="1117" spans="1:9" x14ac:dyDescent="0.2">
      <c r="A1117" s="1">
        <v>43851</v>
      </c>
      <c r="B1117">
        <v>60163</v>
      </c>
      <c r="C1117">
        <v>91734</v>
      </c>
      <c r="D1117">
        <v>65946</v>
      </c>
      <c r="E1117">
        <v>25805</v>
      </c>
      <c r="F1117">
        <v>119</v>
      </c>
      <c r="G1117" t="s">
        <v>20</v>
      </c>
      <c r="H1117" t="str">
        <f>IF(Grammys[[#This Row],[date]] &gt;= DATE(2022, 2, 1), "Grammys", "Grammys + TRA")</f>
        <v>Grammys + TRA</v>
      </c>
      <c r="I1117">
        <f>_xlfn.XLOOKUP(Grammys[[#This Row],[date]], mobile_visits[date], mobile_visits[mobile_visitors], 0)</f>
        <v>0</v>
      </c>
    </row>
    <row r="1118" spans="1:9" x14ac:dyDescent="0.2">
      <c r="A1118" s="1">
        <v>43852</v>
      </c>
      <c r="B1118">
        <v>86179</v>
      </c>
      <c r="C1118">
        <v>130932</v>
      </c>
      <c r="D1118">
        <v>95372</v>
      </c>
      <c r="E1118">
        <v>39408</v>
      </c>
      <c r="F1118">
        <v>113</v>
      </c>
      <c r="G1118" t="s">
        <v>20</v>
      </c>
      <c r="H1118" t="str">
        <f>IF(Grammys[[#This Row],[date]] &gt;= DATE(2022, 2, 1), "Grammys", "Grammys + TRA")</f>
        <v>Grammys + TRA</v>
      </c>
      <c r="I1118">
        <f>_xlfn.XLOOKUP(Grammys[[#This Row],[date]], mobile_visits[date], mobile_visits[mobile_visitors], 0)</f>
        <v>0</v>
      </c>
    </row>
    <row r="1119" spans="1:9" x14ac:dyDescent="0.2">
      <c r="A1119" s="1">
        <v>43853</v>
      </c>
      <c r="B1119">
        <v>166060</v>
      </c>
      <c r="C1119">
        <v>245647</v>
      </c>
      <c r="D1119">
        <v>186227</v>
      </c>
      <c r="E1119">
        <v>79482</v>
      </c>
      <c r="F1119">
        <v>91</v>
      </c>
      <c r="G1119" t="s">
        <v>20</v>
      </c>
      <c r="H1119" t="str">
        <f>IF(Grammys[[#This Row],[date]] &gt;= DATE(2022, 2, 1), "Grammys", "Grammys + TRA")</f>
        <v>Grammys + TRA</v>
      </c>
      <c r="I1119">
        <f>_xlfn.XLOOKUP(Grammys[[#This Row],[date]], mobile_visits[date], mobile_visits[mobile_visitors], 0)</f>
        <v>0</v>
      </c>
    </row>
    <row r="1120" spans="1:9" x14ac:dyDescent="0.2">
      <c r="A1120" s="1">
        <v>43854</v>
      </c>
      <c r="B1120">
        <v>145152</v>
      </c>
      <c r="C1120">
        <v>209696</v>
      </c>
      <c r="D1120">
        <v>156763</v>
      </c>
      <c r="E1120">
        <v>67173</v>
      </c>
      <c r="F1120">
        <v>109</v>
      </c>
      <c r="G1120" t="s">
        <v>20</v>
      </c>
      <c r="H1120" t="str">
        <f>IF(Grammys[[#This Row],[date]] &gt;= DATE(2022, 2, 1), "Grammys", "Grammys + TRA")</f>
        <v>Grammys + TRA</v>
      </c>
      <c r="I1120">
        <f>_xlfn.XLOOKUP(Grammys[[#This Row],[date]], mobile_visits[date], mobile_visits[mobile_visitors], 0)</f>
        <v>0</v>
      </c>
    </row>
    <row r="1121" spans="1:9" x14ac:dyDescent="0.2">
      <c r="A1121" s="1">
        <v>43855</v>
      </c>
      <c r="B1121">
        <v>208046</v>
      </c>
      <c r="C1121">
        <v>304052</v>
      </c>
      <c r="D1121">
        <v>225912</v>
      </c>
      <c r="E1121">
        <v>101458</v>
      </c>
      <c r="F1121">
        <v>111</v>
      </c>
      <c r="G1121" t="s">
        <v>20</v>
      </c>
      <c r="H1121" t="str">
        <f>IF(Grammys[[#This Row],[date]] &gt;= DATE(2022, 2, 1), "Grammys", "Grammys + TRA")</f>
        <v>Grammys + TRA</v>
      </c>
      <c r="I1121">
        <f>_xlfn.XLOOKUP(Grammys[[#This Row],[date]], mobile_visits[date], mobile_visits[mobile_visitors], 0)</f>
        <v>0</v>
      </c>
    </row>
    <row r="1122" spans="1:9" x14ac:dyDescent="0.2">
      <c r="A1122" s="1">
        <v>43856</v>
      </c>
      <c r="B1122">
        <v>2261512</v>
      </c>
      <c r="C1122">
        <v>6688450</v>
      </c>
      <c r="D1122">
        <v>2634408</v>
      </c>
      <c r="E1122">
        <v>796382</v>
      </c>
      <c r="F1122">
        <v>230</v>
      </c>
      <c r="G1122" t="s">
        <v>21</v>
      </c>
      <c r="H1122" t="str">
        <f>IF(Grammys[[#This Row],[date]] &gt;= DATE(2022, 2, 1), "Grammys", "Grammys + TRA")</f>
        <v>Grammys + TRA</v>
      </c>
      <c r="I1122">
        <f>_xlfn.XLOOKUP(Grammys[[#This Row],[date]], mobile_visits[date], mobile_visits[mobile_visitors], 0)</f>
        <v>0</v>
      </c>
    </row>
    <row r="1123" spans="1:9" x14ac:dyDescent="0.2">
      <c r="A1123" s="1">
        <v>43857</v>
      </c>
      <c r="B1123">
        <v>1473248</v>
      </c>
      <c r="C1123">
        <v>2837611</v>
      </c>
      <c r="D1123">
        <v>1563182</v>
      </c>
      <c r="E1123">
        <v>480366</v>
      </c>
      <c r="F1123">
        <v>142</v>
      </c>
      <c r="G1123" t="s">
        <v>20</v>
      </c>
      <c r="H1123" t="str">
        <f>IF(Grammys[[#This Row],[date]] &gt;= DATE(2022, 2, 1), "Grammys", "Grammys + TRA")</f>
        <v>Grammys + TRA</v>
      </c>
      <c r="I1123">
        <f>_xlfn.XLOOKUP(Grammys[[#This Row],[date]], mobile_visits[date], mobile_visits[mobile_visitors], 0)</f>
        <v>0</v>
      </c>
    </row>
    <row r="1124" spans="1:9" x14ac:dyDescent="0.2">
      <c r="A1124" s="1">
        <v>43858</v>
      </c>
      <c r="B1124">
        <v>402339</v>
      </c>
      <c r="C1124">
        <v>741599</v>
      </c>
      <c r="D1124">
        <v>412677</v>
      </c>
      <c r="E1124">
        <v>150009</v>
      </c>
      <c r="F1124">
        <v>145</v>
      </c>
      <c r="G1124" t="s">
        <v>20</v>
      </c>
      <c r="H1124" t="str">
        <f>IF(Grammys[[#This Row],[date]] &gt;= DATE(2022, 2, 1), "Grammys", "Grammys + TRA")</f>
        <v>Grammys + TRA</v>
      </c>
      <c r="I1124">
        <f>_xlfn.XLOOKUP(Grammys[[#This Row],[date]], mobile_visits[date], mobile_visits[mobile_visitors], 0)</f>
        <v>0</v>
      </c>
    </row>
    <row r="1125" spans="1:9" x14ac:dyDescent="0.2">
      <c r="A1125" s="1">
        <v>43859</v>
      </c>
      <c r="B1125">
        <v>185134</v>
      </c>
      <c r="C1125">
        <v>352986</v>
      </c>
      <c r="D1125">
        <v>191260</v>
      </c>
      <c r="E1125">
        <v>73119</v>
      </c>
      <c r="F1125">
        <v>140</v>
      </c>
      <c r="G1125" t="s">
        <v>20</v>
      </c>
      <c r="H1125" t="str">
        <f>IF(Grammys[[#This Row],[date]] &gt;= DATE(2022, 2, 1), "Grammys", "Grammys + TRA")</f>
        <v>Grammys + TRA</v>
      </c>
      <c r="I1125">
        <f>_xlfn.XLOOKUP(Grammys[[#This Row],[date]], mobile_visits[date], mobile_visits[mobile_visitors], 0)</f>
        <v>0</v>
      </c>
    </row>
    <row r="1126" spans="1:9" x14ac:dyDescent="0.2">
      <c r="A1126" s="1">
        <v>43860</v>
      </c>
      <c r="B1126">
        <v>109443</v>
      </c>
      <c r="C1126">
        <v>217120</v>
      </c>
      <c r="D1126">
        <v>115193</v>
      </c>
      <c r="E1126">
        <v>47690</v>
      </c>
      <c r="F1126">
        <v>123</v>
      </c>
      <c r="G1126" t="s">
        <v>20</v>
      </c>
      <c r="H1126" t="str">
        <f>IF(Grammys[[#This Row],[date]] &gt;= DATE(2022, 2, 1), "Grammys", "Grammys + TRA")</f>
        <v>Grammys + TRA</v>
      </c>
      <c r="I1126">
        <f>_xlfn.XLOOKUP(Grammys[[#This Row],[date]], mobile_visits[date], mobile_visits[mobile_visitors], 0)</f>
        <v>0</v>
      </c>
    </row>
    <row r="1127" spans="1:9" x14ac:dyDescent="0.2">
      <c r="A1127" s="1">
        <v>43861</v>
      </c>
      <c r="B1127">
        <v>106853</v>
      </c>
      <c r="C1127">
        <v>190538</v>
      </c>
      <c r="D1127">
        <v>110860</v>
      </c>
      <c r="E1127">
        <v>46916</v>
      </c>
      <c r="F1127">
        <v>113</v>
      </c>
      <c r="G1127" t="s">
        <v>20</v>
      </c>
      <c r="H1127" t="str">
        <f>IF(Grammys[[#This Row],[date]] &gt;= DATE(2022, 2, 1), "Grammys", "Grammys + TRA")</f>
        <v>Grammys + TRA</v>
      </c>
      <c r="I1127">
        <f>_xlfn.XLOOKUP(Grammys[[#This Row],[date]], mobile_visits[date], mobile_visits[mobile_visitors], 0)</f>
        <v>0</v>
      </c>
    </row>
    <row r="1128" spans="1:9" x14ac:dyDescent="0.2">
      <c r="A1128" s="1">
        <v>43862</v>
      </c>
      <c r="B1128">
        <v>98319</v>
      </c>
      <c r="C1128">
        <v>160279</v>
      </c>
      <c r="D1128">
        <v>101703</v>
      </c>
      <c r="E1128">
        <v>44597</v>
      </c>
      <c r="F1128">
        <v>101</v>
      </c>
      <c r="G1128" t="s">
        <v>20</v>
      </c>
      <c r="H1128" t="str">
        <f>IF(Grammys[[#This Row],[date]] &gt;= DATE(2022, 2, 1), "Grammys", "Grammys + TRA")</f>
        <v>Grammys + TRA</v>
      </c>
      <c r="I1128">
        <f>_xlfn.XLOOKUP(Grammys[[#This Row],[date]], mobile_visits[date], mobile_visits[mobile_visitors], 0)</f>
        <v>0</v>
      </c>
    </row>
    <row r="1129" spans="1:9" x14ac:dyDescent="0.2">
      <c r="A1129" s="1">
        <v>43863</v>
      </c>
      <c r="B1129">
        <v>94254</v>
      </c>
      <c r="C1129">
        <v>145051</v>
      </c>
      <c r="D1129">
        <v>98917</v>
      </c>
      <c r="E1129">
        <v>44790</v>
      </c>
      <c r="F1129">
        <v>90</v>
      </c>
      <c r="G1129" t="s">
        <v>20</v>
      </c>
      <c r="H1129" t="str">
        <f>IF(Grammys[[#This Row],[date]] &gt;= DATE(2022, 2, 1), "Grammys", "Grammys + TRA")</f>
        <v>Grammys + TRA</v>
      </c>
      <c r="I1129">
        <f>_xlfn.XLOOKUP(Grammys[[#This Row],[date]], mobile_visits[date], mobile_visits[mobile_visitors], 0)</f>
        <v>0</v>
      </c>
    </row>
    <row r="1130" spans="1:9" x14ac:dyDescent="0.2">
      <c r="A1130" s="1">
        <v>43864</v>
      </c>
      <c r="B1130">
        <v>80043</v>
      </c>
      <c r="C1130">
        <v>117792</v>
      </c>
      <c r="D1130">
        <v>84444</v>
      </c>
      <c r="E1130">
        <v>34884</v>
      </c>
      <c r="F1130">
        <v>101</v>
      </c>
      <c r="G1130" t="s">
        <v>20</v>
      </c>
      <c r="H1130" t="str">
        <f>IF(Grammys[[#This Row],[date]] &gt;= DATE(2022, 2, 1), "Grammys", "Grammys + TRA")</f>
        <v>Grammys + TRA</v>
      </c>
      <c r="I1130">
        <f>_xlfn.XLOOKUP(Grammys[[#This Row],[date]], mobile_visits[date], mobile_visits[mobile_visitors], 0)</f>
        <v>0</v>
      </c>
    </row>
    <row r="1131" spans="1:9" x14ac:dyDescent="0.2">
      <c r="A1131" s="1">
        <v>43865</v>
      </c>
      <c r="B1131">
        <v>54334</v>
      </c>
      <c r="C1131">
        <v>76752</v>
      </c>
      <c r="D1131">
        <v>57429</v>
      </c>
      <c r="E1131">
        <v>24907</v>
      </c>
      <c r="F1131">
        <v>88</v>
      </c>
      <c r="G1131" t="s">
        <v>20</v>
      </c>
      <c r="H1131" t="str">
        <f>IF(Grammys[[#This Row],[date]] &gt;= DATE(2022, 2, 1), "Grammys", "Grammys + TRA")</f>
        <v>Grammys + TRA</v>
      </c>
      <c r="I1131">
        <f>_xlfn.XLOOKUP(Grammys[[#This Row],[date]], mobile_visits[date], mobile_visits[mobile_visitors], 0)</f>
        <v>0</v>
      </c>
    </row>
    <row r="1132" spans="1:9" x14ac:dyDescent="0.2">
      <c r="A1132" s="1">
        <v>43866</v>
      </c>
      <c r="B1132">
        <v>41409</v>
      </c>
      <c r="C1132">
        <v>59957</v>
      </c>
      <c r="D1132">
        <v>44059</v>
      </c>
      <c r="E1132">
        <v>20298</v>
      </c>
      <c r="F1132">
        <v>95</v>
      </c>
      <c r="G1132" t="s">
        <v>20</v>
      </c>
      <c r="H1132" t="str">
        <f>IF(Grammys[[#This Row],[date]] &gt;= DATE(2022, 2, 1), "Grammys", "Grammys + TRA")</f>
        <v>Grammys + TRA</v>
      </c>
      <c r="I1132">
        <f>_xlfn.XLOOKUP(Grammys[[#This Row],[date]], mobile_visits[date], mobile_visits[mobile_visitors], 0)</f>
        <v>0</v>
      </c>
    </row>
    <row r="1133" spans="1:9" x14ac:dyDescent="0.2">
      <c r="A1133" s="1">
        <v>43867</v>
      </c>
      <c r="B1133">
        <v>38833</v>
      </c>
      <c r="C1133">
        <v>55270</v>
      </c>
      <c r="D1133">
        <v>40895</v>
      </c>
      <c r="E1133">
        <v>18882</v>
      </c>
      <c r="F1133">
        <v>93</v>
      </c>
      <c r="G1133" t="s">
        <v>20</v>
      </c>
      <c r="H1133" t="str">
        <f>IF(Grammys[[#This Row],[date]] &gt;= DATE(2022, 2, 1), "Grammys", "Grammys + TRA")</f>
        <v>Grammys + TRA</v>
      </c>
      <c r="I1133">
        <f>_xlfn.XLOOKUP(Grammys[[#This Row],[date]], mobile_visits[date], mobile_visits[mobile_visitors], 0)</f>
        <v>0</v>
      </c>
    </row>
    <row r="1134" spans="1:9" x14ac:dyDescent="0.2">
      <c r="A1134" s="1">
        <v>43868</v>
      </c>
      <c r="B1134">
        <v>35022</v>
      </c>
      <c r="C1134">
        <v>50920</v>
      </c>
      <c r="D1134">
        <v>37638</v>
      </c>
      <c r="E1134">
        <v>17732</v>
      </c>
      <c r="F1134">
        <v>91</v>
      </c>
      <c r="G1134" t="s">
        <v>20</v>
      </c>
      <c r="H1134" t="str">
        <f>IF(Grammys[[#This Row],[date]] &gt;= DATE(2022, 2, 1), "Grammys", "Grammys + TRA")</f>
        <v>Grammys + TRA</v>
      </c>
      <c r="I1134">
        <f>_xlfn.XLOOKUP(Grammys[[#This Row],[date]], mobile_visits[date], mobile_visits[mobile_visitors], 0)</f>
        <v>0</v>
      </c>
    </row>
    <row r="1135" spans="1:9" x14ac:dyDescent="0.2">
      <c r="A1135" s="1">
        <v>43869</v>
      </c>
      <c r="B1135">
        <v>35951</v>
      </c>
      <c r="C1135">
        <v>49920</v>
      </c>
      <c r="D1135">
        <v>38169</v>
      </c>
      <c r="E1135">
        <v>18593</v>
      </c>
      <c r="F1135">
        <v>87</v>
      </c>
      <c r="G1135" t="s">
        <v>20</v>
      </c>
      <c r="H1135" t="str">
        <f>IF(Grammys[[#This Row],[date]] &gt;= DATE(2022, 2, 1), "Grammys", "Grammys + TRA")</f>
        <v>Grammys + TRA</v>
      </c>
      <c r="I1135">
        <f>_xlfn.XLOOKUP(Grammys[[#This Row],[date]], mobile_visits[date], mobile_visits[mobile_visitors], 0)</f>
        <v>0</v>
      </c>
    </row>
    <row r="1136" spans="1:9" x14ac:dyDescent="0.2">
      <c r="A1136" s="1">
        <v>43870</v>
      </c>
      <c r="B1136">
        <v>74640</v>
      </c>
      <c r="C1136">
        <v>94059</v>
      </c>
      <c r="D1136">
        <v>76864</v>
      </c>
      <c r="E1136">
        <v>40008</v>
      </c>
      <c r="F1136">
        <v>67</v>
      </c>
      <c r="G1136" t="s">
        <v>20</v>
      </c>
      <c r="H1136" t="str">
        <f>IF(Grammys[[#This Row],[date]] &gt;= DATE(2022, 2, 1), "Grammys", "Grammys + TRA")</f>
        <v>Grammys + TRA</v>
      </c>
      <c r="I1136">
        <f>_xlfn.XLOOKUP(Grammys[[#This Row],[date]], mobile_visits[date], mobile_visits[mobile_visitors], 0)</f>
        <v>0</v>
      </c>
    </row>
    <row r="1137" spans="1:9" x14ac:dyDescent="0.2">
      <c r="A1137" s="1">
        <v>43871</v>
      </c>
      <c r="B1137">
        <v>86393</v>
      </c>
      <c r="C1137">
        <v>105695</v>
      </c>
      <c r="D1137">
        <v>90116</v>
      </c>
      <c r="E1137">
        <v>37795</v>
      </c>
      <c r="F1137">
        <v>69</v>
      </c>
      <c r="G1137" t="s">
        <v>20</v>
      </c>
      <c r="H1137" t="str">
        <f>IF(Grammys[[#This Row],[date]] &gt;= DATE(2022, 2, 1), "Grammys", "Grammys + TRA")</f>
        <v>Grammys + TRA</v>
      </c>
      <c r="I1137">
        <f>_xlfn.XLOOKUP(Grammys[[#This Row],[date]], mobile_visits[date], mobile_visits[mobile_visitors], 0)</f>
        <v>0</v>
      </c>
    </row>
    <row r="1138" spans="1:9" x14ac:dyDescent="0.2">
      <c r="A1138" s="1">
        <v>43872</v>
      </c>
      <c r="B1138">
        <v>40484</v>
      </c>
      <c r="C1138">
        <v>53623</v>
      </c>
      <c r="D1138">
        <v>42351</v>
      </c>
      <c r="E1138">
        <v>18410</v>
      </c>
      <c r="F1138">
        <v>88</v>
      </c>
      <c r="G1138" t="s">
        <v>20</v>
      </c>
      <c r="H1138" t="str">
        <f>IF(Grammys[[#This Row],[date]] &gt;= DATE(2022, 2, 1), "Grammys", "Grammys + TRA")</f>
        <v>Grammys + TRA</v>
      </c>
      <c r="I1138">
        <f>_xlfn.XLOOKUP(Grammys[[#This Row],[date]], mobile_visits[date], mobile_visits[mobile_visitors], 0)</f>
        <v>0</v>
      </c>
    </row>
    <row r="1139" spans="1:9" x14ac:dyDescent="0.2">
      <c r="A1139" s="1">
        <v>43873</v>
      </c>
      <c r="B1139">
        <v>32930</v>
      </c>
      <c r="C1139">
        <v>44242</v>
      </c>
      <c r="D1139">
        <v>34861</v>
      </c>
      <c r="E1139">
        <v>16103</v>
      </c>
      <c r="F1139">
        <v>88</v>
      </c>
      <c r="G1139" t="s">
        <v>20</v>
      </c>
      <c r="H1139" t="str">
        <f>IF(Grammys[[#This Row],[date]] &gt;= DATE(2022, 2, 1), "Grammys", "Grammys + TRA")</f>
        <v>Grammys + TRA</v>
      </c>
      <c r="I1139">
        <f>_xlfn.XLOOKUP(Grammys[[#This Row],[date]], mobile_visits[date], mobile_visits[mobile_visitors], 0)</f>
        <v>0</v>
      </c>
    </row>
    <row r="1140" spans="1:9" x14ac:dyDescent="0.2">
      <c r="A1140" s="1">
        <v>43874</v>
      </c>
      <c r="B1140">
        <v>30210</v>
      </c>
      <c r="C1140">
        <v>37863</v>
      </c>
      <c r="D1140">
        <v>31760</v>
      </c>
      <c r="E1140">
        <v>13892</v>
      </c>
      <c r="F1140">
        <v>81</v>
      </c>
      <c r="G1140" t="s">
        <v>20</v>
      </c>
      <c r="H1140" t="str">
        <f>IF(Grammys[[#This Row],[date]] &gt;= DATE(2022, 2, 1), "Grammys", "Grammys + TRA")</f>
        <v>Grammys + TRA</v>
      </c>
      <c r="I1140">
        <f>_xlfn.XLOOKUP(Grammys[[#This Row],[date]], mobile_visits[date], mobile_visits[mobile_visitors], 0)</f>
        <v>0</v>
      </c>
    </row>
    <row r="1141" spans="1:9" x14ac:dyDescent="0.2">
      <c r="A1141" s="1">
        <v>43875</v>
      </c>
      <c r="B1141">
        <v>29348</v>
      </c>
      <c r="C1141">
        <v>37498</v>
      </c>
      <c r="D1141">
        <v>30809</v>
      </c>
      <c r="E1141">
        <v>13812</v>
      </c>
      <c r="F1141">
        <v>76</v>
      </c>
      <c r="G1141" t="s">
        <v>20</v>
      </c>
      <c r="H1141" t="str">
        <f>IF(Grammys[[#This Row],[date]] &gt;= DATE(2022, 2, 1), "Grammys", "Grammys + TRA")</f>
        <v>Grammys + TRA</v>
      </c>
      <c r="I1141">
        <f>_xlfn.XLOOKUP(Grammys[[#This Row],[date]], mobile_visits[date], mobile_visits[mobile_visitors], 0)</f>
        <v>0</v>
      </c>
    </row>
    <row r="1142" spans="1:9" x14ac:dyDescent="0.2">
      <c r="A1142" s="1">
        <v>43876</v>
      </c>
      <c r="B1142">
        <v>28108</v>
      </c>
      <c r="C1142">
        <v>38672</v>
      </c>
      <c r="D1142">
        <v>29910</v>
      </c>
      <c r="E1142">
        <v>14372</v>
      </c>
      <c r="F1142">
        <v>82</v>
      </c>
      <c r="G1142" t="s">
        <v>20</v>
      </c>
      <c r="H1142" t="str">
        <f>IF(Grammys[[#This Row],[date]] &gt;= DATE(2022, 2, 1), "Grammys", "Grammys + TRA")</f>
        <v>Grammys + TRA</v>
      </c>
      <c r="I1142">
        <f>_xlfn.XLOOKUP(Grammys[[#This Row],[date]], mobile_visits[date], mobile_visits[mobile_visitors], 0)</f>
        <v>0</v>
      </c>
    </row>
    <row r="1143" spans="1:9" x14ac:dyDescent="0.2">
      <c r="A1143" s="1">
        <v>43877</v>
      </c>
      <c r="B1143">
        <v>32926</v>
      </c>
      <c r="C1143">
        <v>43729</v>
      </c>
      <c r="D1143">
        <v>34668</v>
      </c>
      <c r="E1143">
        <v>16870</v>
      </c>
      <c r="F1143">
        <v>81</v>
      </c>
      <c r="G1143" t="s">
        <v>20</v>
      </c>
      <c r="H1143" t="str">
        <f>IF(Grammys[[#This Row],[date]] &gt;= DATE(2022, 2, 1), "Grammys", "Grammys + TRA")</f>
        <v>Grammys + TRA</v>
      </c>
      <c r="I1143">
        <f>_xlfn.XLOOKUP(Grammys[[#This Row],[date]], mobile_visits[date], mobile_visits[mobile_visitors], 0)</f>
        <v>0</v>
      </c>
    </row>
    <row r="1144" spans="1:9" x14ac:dyDescent="0.2">
      <c r="A1144" s="1">
        <v>43878</v>
      </c>
      <c r="B1144">
        <v>38721</v>
      </c>
      <c r="C1144">
        <v>50771</v>
      </c>
      <c r="D1144">
        <v>41253</v>
      </c>
      <c r="E1144">
        <v>15829</v>
      </c>
      <c r="F1144">
        <v>90</v>
      </c>
      <c r="G1144" t="s">
        <v>20</v>
      </c>
      <c r="H1144" t="str">
        <f>IF(Grammys[[#This Row],[date]] &gt;= DATE(2022, 2, 1), "Grammys", "Grammys + TRA")</f>
        <v>Grammys + TRA</v>
      </c>
      <c r="I1144">
        <f>_xlfn.XLOOKUP(Grammys[[#This Row],[date]], mobile_visits[date], mobile_visits[mobile_visitors], 0)</f>
        <v>0</v>
      </c>
    </row>
    <row r="1145" spans="1:9" x14ac:dyDescent="0.2">
      <c r="A1145" s="1">
        <v>43879</v>
      </c>
      <c r="B1145">
        <v>24945</v>
      </c>
      <c r="C1145">
        <v>34840</v>
      </c>
      <c r="D1145">
        <v>26615</v>
      </c>
      <c r="E1145">
        <v>11969</v>
      </c>
      <c r="F1145">
        <v>86</v>
      </c>
      <c r="G1145" t="s">
        <v>20</v>
      </c>
      <c r="H1145" t="str">
        <f>IF(Grammys[[#This Row],[date]] &gt;= DATE(2022, 2, 1), "Grammys", "Grammys + TRA")</f>
        <v>Grammys + TRA</v>
      </c>
      <c r="I1145">
        <f>_xlfn.XLOOKUP(Grammys[[#This Row],[date]], mobile_visits[date], mobile_visits[mobile_visitors], 0)</f>
        <v>0</v>
      </c>
    </row>
    <row r="1146" spans="1:9" x14ac:dyDescent="0.2">
      <c r="A1146" s="1">
        <v>43880</v>
      </c>
      <c r="B1146">
        <v>24581</v>
      </c>
      <c r="C1146">
        <v>33734</v>
      </c>
      <c r="D1146">
        <v>25646</v>
      </c>
      <c r="E1146">
        <v>11834</v>
      </c>
      <c r="F1146">
        <v>82</v>
      </c>
      <c r="G1146" t="s">
        <v>20</v>
      </c>
      <c r="H1146" t="str">
        <f>IF(Grammys[[#This Row],[date]] &gt;= DATE(2022, 2, 1), "Grammys", "Grammys + TRA")</f>
        <v>Grammys + TRA</v>
      </c>
      <c r="I1146">
        <f>_xlfn.XLOOKUP(Grammys[[#This Row],[date]], mobile_visits[date], mobile_visits[mobile_visitors], 0)</f>
        <v>0</v>
      </c>
    </row>
    <row r="1147" spans="1:9" x14ac:dyDescent="0.2">
      <c r="A1147" s="1">
        <v>43881</v>
      </c>
      <c r="B1147">
        <v>20553</v>
      </c>
      <c r="C1147">
        <v>28565</v>
      </c>
      <c r="D1147">
        <v>21641</v>
      </c>
      <c r="E1147">
        <v>10460</v>
      </c>
      <c r="F1147">
        <v>77</v>
      </c>
      <c r="G1147" t="s">
        <v>20</v>
      </c>
      <c r="H1147" t="str">
        <f>IF(Grammys[[#This Row],[date]] &gt;= DATE(2022, 2, 1), "Grammys", "Grammys + TRA")</f>
        <v>Grammys + TRA</v>
      </c>
      <c r="I1147">
        <f>_xlfn.XLOOKUP(Grammys[[#This Row],[date]], mobile_visits[date], mobile_visits[mobile_visitors], 0)</f>
        <v>0</v>
      </c>
    </row>
    <row r="1148" spans="1:9" x14ac:dyDescent="0.2">
      <c r="A1148" s="1">
        <v>43882</v>
      </c>
      <c r="B1148">
        <v>20345</v>
      </c>
      <c r="C1148">
        <v>28083</v>
      </c>
      <c r="D1148">
        <v>21325</v>
      </c>
      <c r="E1148">
        <v>10089</v>
      </c>
      <c r="F1148">
        <v>78</v>
      </c>
      <c r="G1148" t="s">
        <v>20</v>
      </c>
      <c r="H1148" t="str">
        <f>IF(Grammys[[#This Row],[date]] &gt;= DATE(2022, 2, 1), "Grammys", "Grammys + TRA")</f>
        <v>Grammys + TRA</v>
      </c>
      <c r="I1148">
        <f>_xlfn.XLOOKUP(Grammys[[#This Row],[date]], mobile_visits[date], mobile_visits[mobile_visitors], 0)</f>
        <v>0</v>
      </c>
    </row>
    <row r="1149" spans="1:9" x14ac:dyDescent="0.2">
      <c r="A1149" s="1">
        <v>43883</v>
      </c>
      <c r="B1149">
        <v>58424</v>
      </c>
      <c r="C1149">
        <v>67710</v>
      </c>
      <c r="D1149">
        <v>62112</v>
      </c>
      <c r="E1149">
        <v>18261</v>
      </c>
      <c r="F1149">
        <v>135</v>
      </c>
      <c r="G1149" t="s">
        <v>20</v>
      </c>
      <c r="H1149" t="str">
        <f>IF(Grammys[[#This Row],[date]] &gt;= DATE(2022, 2, 1), "Grammys", "Grammys + TRA")</f>
        <v>Grammys + TRA</v>
      </c>
      <c r="I1149">
        <f>_xlfn.XLOOKUP(Grammys[[#This Row],[date]], mobile_visits[date], mobile_visits[mobile_visitors], 0)</f>
        <v>0</v>
      </c>
    </row>
    <row r="1150" spans="1:9" x14ac:dyDescent="0.2">
      <c r="A1150" s="1">
        <v>43884</v>
      </c>
      <c r="B1150">
        <v>33560</v>
      </c>
      <c r="C1150">
        <v>41266</v>
      </c>
      <c r="D1150">
        <v>35563</v>
      </c>
      <c r="E1150">
        <v>14777</v>
      </c>
      <c r="F1150">
        <v>101</v>
      </c>
      <c r="G1150" t="s">
        <v>20</v>
      </c>
      <c r="H1150" t="str">
        <f>IF(Grammys[[#This Row],[date]] &gt;= DATE(2022, 2, 1), "Grammys", "Grammys + TRA")</f>
        <v>Grammys + TRA</v>
      </c>
      <c r="I1150">
        <f>_xlfn.XLOOKUP(Grammys[[#This Row],[date]], mobile_visits[date], mobile_visits[mobile_visitors], 0)</f>
        <v>0</v>
      </c>
    </row>
    <row r="1151" spans="1:9" x14ac:dyDescent="0.2">
      <c r="A1151" s="1">
        <v>43885</v>
      </c>
      <c r="B1151">
        <v>30211</v>
      </c>
      <c r="C1151">
        <v>37848</v>
      </c>
      <c r="D1151">
        <v>31455</v>
      </c>
      <c r="E1151">
        <v>17427</v>
      </c>
      <c r="F1151">
        <v>67</v>
      </c>
      <c r="G1151" t="s">
        <v>20</v>
      </c>
      <c r="H1151" t="str">
        <f>IF(Grammys[[#This Row],[date]] &gt;= DATE(2022, 2, 1), "Grammys", "Grammys + TRA")</f>
        <v>Grammys + TRA</v>
      </c>
      <c r="I1151">
        <f>_xlfn.XLOOKUP(Grammys[[#This Row],[date]], mobile_visits[date], mobile_visits[mobile_visitors], 0)</f>
        <v>0</v>
      </c>
    </row>
    <row r="1152" spans="1:9" x14ac:dyDescent="0.2">
      <c r="A1152" s="1">
        <v>43886</v>
      </c>
      <c r="B1152">
        <v>20889</v>
      </c>
      <c r="C1152">
        <v>27990</v>
      </c>
      <c r="D1152">
        <v>22033</v>
      </c>
      <c r="E1152">
        <v>10783</v>
      </c>
      <c r="F1152">
        <v>76</v>
      </c>
      <c r="G1152" t="s">
        <v>20</v>
      </c>
      <c r="H1152" t="str">
        <f>IF(Grammys[[#This Row],[date]] &gt;= DATE(2022, 2, 1), "Grammys", "Grammys + TRA")</f>
        <v>Grammys + TRA</v>
      </c>
      <c r="I1152">
        <f>_xlfn.XLOOKUP(Grammys[[#This Row],[date]], mobile_visits[date], mobile_visits[mobile_visitors], 0)</f>
        <v>0</v>
      </c>
    </row>
    <row r="1153" spans="1:9" x14ac:dyDescent="0.2">
      <c r="A1153" s="1">
        <v>43887</v>
      </c>
      <c r="B1153">
        <v>18030</v>
      </c>
      <c r="C1153">
        <v>25466</v>
      </c>
      <c r="D1153">
        <v>18918</v>
      </c>
      <c r="E1153">
        <v>9448</v>
      </c>
      <c r="F1153">
        <v>80</v>
      </c>
      <c r="G1153" t="s">
        <v>20</v>
      </c>
      <c r="H1153" t="str">
        <f>IF(Grammys[[#This Row],[date]] &gt;= DATE(2022, 2, 1), "Grammys", "Grammys + TRA")</f>
        <v>Grammys + TRA</v>
      </c>
      <c r="I1153">
        <f>_xlfn.XLOOKUP(Grammys[[#This Row],[date]], mobile_visits[date], mobile_visits[mobile_visitors], 0)</f>
        <v>0</v>
      </c>
    </row>
    <row r="1154" spans="1:9" x14ac:dyDescent="0.2">
      <c r="A1154" s="1">
        <v>43888</v>
      </c>
      <c r="B1154">
        <v>24088</v>
      </c>
      <c r="C1154">
        <v>30779</v>
      </c>
      <c r="D1154">
        <v>25444</v>
      </c>
      <c r="E1154">
        <v>10158</v>
      </c>
      <c r="F1154">
        <v>82</v>
      </c>
      <c r="G1154" t="s">
        <v>20</v>
      </c>
      <c r="H1154" t="str">
        <f>IF(Grammys[[#This Row],[date]] &gt;= DATE(2022, 2, 1), "Grammys", "Grammys + TRA")</f>
        <v>Grammys + TRA</v>
      </c>
      <c r="I1154">
        <f>_xlfn.XLOOKUP(Grammys[[#This Row],[date]], mobile_visits[date], mobile_visits[mobile_visitors], 0)</f>
        <v>0</v>
      </c>
    </row>
    <row r="1155" spans="1:9" x14ac:dyDescent="0.2">
      <c r="A1155" s="1">
        <v>43889</v>
      </c>
      <c r="B1155">
        <v>23395</v>
      </c>
      <c r="C1155">
        <v>28951</v>
      </c>
      <c r="D1155">
        <v>25249</v>
      </c>
      <c r="E1155">
        <v>10009</v>
      </c>
      <c r="F1155">
        <v>81</v>
      </c>
      <c r="G1155" t="s">
        <v>20</v>
      </c>
      <c r="H1155" t="str">
        <f>IF(Grammys[[#This Row],[date]] &gt;= DATE(2022, 2, 1), "Grammys", "Grammys + TRA")</f>
        <v>Grammys + TRA</v>
      </c>
      <c r="I1155">
        <f>_xlfn.XLOOKUP(Grammys[[#This Row],[date]], mobile_visits[date], mobile_visits[mobile_visitors], 0)</f>
        <v>0</v>
      </c>
    </row>
    <row r="1156" spans="1:9" x14ac:dyDescent="0.2">
      <c r="A1156" s="1">
        <v>43890</v>
      </c>
      <c r="B1156">
        <v>26798</v>
      </c>
      <c r="C1156">
        <v>31915</v>
      </c>
      <c r="D1156">
        <v>28524</v>
      </c>
      <c r="E1156">
        <v>9867</v>
      </c>
      <c r="F1156">
        <v>64</v>
      </c>
      <c r="G1156" t="s">
        <v>20</v>
      </c>
      <c r="H1156" t="str">
        <f>IF(Grammys[[#This Row],[date]] &gt;= DATE(2022, 2, 1), "Grammys", "Grammys + TRA")</f>
        <v>Grammys + TRA</v>
      </c>
      <c r="I1156">
        <f>_xlfn.XLOOKUP(Grammys[[#This Row],[date]], mobile_visits[date], mobile_visits[mobile_visitors], 0)</f>
        <v>0</v>
      </c>
    </row>
    <row r="1157" spans="1:9" x14ac:dyDescent="0.2">
      <c r="A1157" s="1">
        <v>43891</v>
      </c>
      <c r="B1157">
        <v>22925</v>
      </c>
      <c r="C1157">
        <v>28553</v>
      </c>
      <c r="D1157">
        <v>23772</v>
      </c>
      <c r="E1157">
        <v>10522</v>
      </c>
      <c r="F1157">
        <v>67</v>
      </c>
      <c r="G1157" t="s">
        <v>20</v>
      </c>
      <c r="H1157" t="str">
        <f>IF(Grammys[[#This Row],[date]] &gt;= DATE(2022, 2, 1), "Grammys", "Grammys + TRA")</f>
        <v>Grammys + TRA</v>
      </c>
      <c r="I1157">
        <f>_xlfn.XLOOKUP(Grammys[[#This Row],[date]], mobile_visits[date], mobile_visits[mobile_visitors], 0)</f>
        <v>0</v>
      </c>
    </row>
    <row r="1158" spans="1:9" x14ac:dyDescent="0.2">
      <c r="A1158" s="1">
        <v>43892</v>
      </c>
      <c r="B1158">
        <v>19381</v>
      </c>
      <c r="C1158">
        <v>25174</v>
      </c>
      <c r="D1158">
        <v>20194</v>
      </c>
      <c r="E1158">
        <v>10316</v>
      </c>
      <c r="F1158">
        <v>71</v>
      </c>
      <c r="G1158" t="s">
        <v>20</v>
      </c>
      <c r="H1158" t="str">
        <f>IF(Grammys[[#This Row],[date]] &gt;= DATE(2022, 2, 1), "Grammys", "Grammys + TRA")</f>
        <v>Grammys + TRA</v>
      </c>
      <c r="I1158">
        <f>_xlfn.XLOOKUP(Grammys[[#This Row],[date]], mobile_visits[date], mobile_visits[mobile_visitors], 0)</f>
        <v>0</v>
      </c>
    </row>
    <row r="1159" spans="1:9" x14ac:dyDescent="0.2">
      <c r="A1159" s="1">
        <v>43893</v>
      </c>
      <c r="B1159">
        <v>15908</v>
      </c>
      <c r="C1159">
        <v>21840</v>
      </c>
      <c r="D1159">
        <v>16960</v>
      </c>
      <c r="E1159">
        <v>8569</v>
      </c>
      <c r="F1159">
        <v>79</v>
      </c>
      <c r="G1159" t="s">
        <v>20</v>
      </c>
      <c r="H1159" t="str">
        <f>IF(Grammys[[#This Row],[date]] &gt;= DATE(2022, 2, 1), "Grammys", "Grammys + TRA")</f>
        <v>Grammys + TRA</v>
      </c>
      <c r="I1159">
        <f>_xlfn.XLOOKUP(Grammys[[#This Row],[date]], mobile_visits[date], mobile_visits[mobile_visitors], 0)</f>
        <v>0</v>
      </c>
    </row>
    <row r="1160" spans="1:9" x14ac:dyDescent="0.2">
      <c r="A1160" s="1">
        <v>43894</v>
      </c>
      <c r="B1160">
        <v>19766</v>
      </c>
      <c r="C1160">
        <v>25415</v>
      </c>
      <c r="D1160">
        <v>21044</v>
      </c>
      <c r="E1160">
        <v>8578</v>
      </c>
      <c r="F1160">
        <v>79</v>
      </c>
      <c r="G1160" t="s">
        <v>20</v>
      </c>
      <c r="H1160" t="str">
        <f>IF(Grammys[[#This Row],[date]] &gt;= DATE(2022, 2, 1), "Grammys", "Grammys + TRA")</f>
        <v>Grammys + TRA</v>
      </c>
      <c r="I1160">
        <f>_xlfn.XLOOKUP(Grammys[[#This Row],[date]], mobile_visits[date], mobile_visits[mobile_visitors], 0)</f>
        <v>0</v>
      </c>
    </row>
    <row r="1161" spans="1:9" x14ac:dyDescent="0.2">
      <c r="A1161" s="1">
        <v>43895</v>
      </c>
      <c r="B1161">
        <v>19719</v>
      </c>
      <c r="C1161">
        <v>25816</v>
      </c>
      <c r="D1161">
        <v>20616</v>
      </c>
      <c r="E1161">
        <v>10162</v>
      </c>
      <c r="F1161">
        <v>74</v>
      </c>
      <c r="G1161" t="s">
        <v>20</v>
      </c>
      <c r="H1161" t="str">
        <f>IF(Grammys[[#This Row],[date]] &gt;= DATE(2022, 2, 1), "Grammys", "Grammys + TRA")</f>
        <v>Grammys + TRA</v>
      </c>
      <c r="I1161">
        <f>_xlfn.XLOOKUP(Grammys[[#This Row],[date]], mobile_visits[date], mobile_visits[mobile_visitors], 0)</f>
        <v>0</v>
      </c>
    </row>
    <row r="1162" spans="1:9" x14ac:dyDescent="0.2">
      <c r="A1162" s="1">
        <v>43896</v>
      </c>
      <c r="B1162">
        <v>17548</v>
      </c>
      <c r="C1162">
        <v>22707</v>
      </c>
      <c r="D1162">
        <v>18565</v>
      </c>
      <c r="E1162">
        <v>9385</v>
      </c>
      <c r="F1162">
        <v>73</v>
      </c>
      <c r="G1162" t="s">
        <v>20</v>
      </c>
      <c r="H1162" t="str">
        <f>IF(Grammys[[#This Row],[date]] &gt;= DATE(2022, 2, 1), "Grammys", "Grammys + TRA")</f>
        <v>Grammys + TRA</v>
      </c>
      <c r="I1162">
        <f>_xlfn.XLOOKUP(Grammys[[#This Row],[date]], mobile_visits[date], mobile_visits[mobile_visitors], 0)</f>
        <v>0</v>
      </c>
    </row>
    <row r="1163" spans="1:9" x14ac:dyDescent="0.2">
      <c r="A1163" s="1">
        <v>43897</v>
      </c>
      <c r="B1163">
        <v>16518</v>
      </c>
      <c r="C1163">
        <v>21999</v>
      </c>
      <c r="D1163">
        <v>17327</v>
      </c>
      <c r="E1163">
        <v>8775</v>
      </c>
      <c r="F1163">
        <v>73</v>
      </c>
      <c r="G1163" t="s">
        <v>20</v>
      </c>
      <c r="H1163" t="str">
        <f>IF(Grammys[[#This Row],[date]] &gt;= DATE(2022, 2, 1), "Grammys", "Grammys + TRA")</f>
        <v>Grammys + TRA</v>
      </c>
      <c r="I1163">
        <f>_xlfn.XLOOKUP(Grammys[[#This Row],[date]], mobile_visits[date], mobile_visits[mobile_visitors], 0)</f>
        <v>0</v>
      </c>
    </row>
    <row r="1164" spans="1:9" x14ac:dyDescent="0.2">
      <c r="A1164" s="1">
        <v>43898</v>
      </c>
      <c r="B1164">
        <v>16027</v>
      </c>
      <c r="C1164">
        <v>20817</v>
      </c>
      <c r="D1164">
        <v>16535</v>
      </c>
      <c r="E1164">
        <v>8662</v>
      </c>
      <c r="F1164">
        <v>67</v>
      </c>
      <c r="G1164" t="s">
        <v>20</v>
      </c>
      <c r="H1164" t="str">
        <f>IF(Grammys[[#This Row],[date]] &gt;= DATE(2022, 2, 1), "Grammys", "Grammys + TRA")</f>
        <v>Grammys + TRA</v>
      </c>
      <c r="I1164">
        <f>_xlfn.XLOOKUP(Grammys[[#This Row],[date]], mobile_visits[date], mobile_visits[mobile_visitors], 0)</f>
        <v>0</v>
      </c>
    </row>
    <row r="1165" spans="1:9" x14ac:dyDescent="0.2">
      <c r="A1165" s="1">
        <v>43899</v>
      </c>
      <c r="B1165">
        <v>15133</v>
      </c>
      <c r="C1165">
        <v>19590</v>
      </c>
      <c r="D1165">
        <v>15822</v>
      </c>
      <c r="E1165">
        <v>7646</v>
      </c>
      <c r="F1165">
        <v>77</v>
      </c>
      <c r="G1165" t="s">
        <v>20</v>
      </c>
      <c r="H1165" t="str">
        <f>IF(Grammys[[#This Row],[date]] &gt;= DATE(2022, 2, 1), "Grammys", "Grammys + TRA")</f>
        <v>Grammys + TRA</v>
      </c>
      <c r="I1165">
        <f>_xlfn.XLOOKUP(Grammys[[#This Row],[date]], mobile_visits[date], mobile_visits[mobile_visitors], 0)</f>
        <v>0</v>
      </c>
    </row>
    <row r="1166" spans="1:9" x14ac:dyDescent="0.2">
      <c r="A1166" s="1">
        <v>43900</v>
      </c>
      <c r="B1166">
        <v>16815</v>
      </c>
      <c r="C1166">
        <v>21118</v>
      </c>
      <c r="D1166">
        <v>17430</v>
      </c>
      <c r="E1166">
        <v>7905</v>
      </c>
      <c r="F1166">
        <v>75</v>
      </c>
      <c r="G1166" t="s">
        <v>20</v>
      </c>
      <c r="H1166" t="str">
        <f>IF(Grammys[[#This Row],[date]] &gt;= DATE(2022, 2, 1), "Grammys", "Grammys + TRA")</f>
        <v>Grammys + TRA</v>
      </c>
      <c r="I1166">
        <f>_xlfn.XLOOKUP(Grammys[[#This Row],[date]], mobile_visits[date], mobile_visits[mobile_visitors], 0)</f>
        <v>0</v>
      </c>
    </row>
    <row r="1167" spans="1:9" x14ac:dyDescent="0.2">
      <c r="A1167" s="1">
        <v>43901</v>
      </c>
      <c r="B1167">
        <v>15536</v>
      </c>
      <c r="C1167">
        <v>19998</v>
      </c>
      <c r="D1167">
        <v>16293</v>
      </c>
      <c r="E1167">
        <v>8383</v>
      </c>
      <c r="F1167">
        <v>70</v>
      </c>
      <c r="G1167" t="s">
        <v>20</v>
      </c>
      <c r="H1167" t="str">
        <f>IF(Grammys[[#This Row],[date]] &gt;= DATE(2022, 2, 1), "Grammys", "Grammys + TRA")</f>
        <v>Grammys + TRA</v>
      </c>
      <c r="I1167">
        <f>_xlfn.XLOOKUP(Grammys[[#This Row],[date]], mobile_visits[date], mobile_visits[mobile_visitors], 0)</f>
        <v>0</v>
      </c>
    </row>
    <row r="1168" spans="1:9" x14ac:dyDescent="0.2">
      <c r="A1168" s="1">
        <v>43902</v>
      </c>
      <c r="B1168">
        <v>13219</v>
      </c>
      <c r="C1168">
        <v>17624</v>
      </c>
      <c r="D1168">
        <v>13890</v>
      </c>
      <c r="E1168">
        <v>7125</v>
      </c>
      <c r="F1168">
        <v>74</v>
      </c>
      <c r="G1168" t="s">
        <v>20</v>
      </c>
      <c r="H1168" t="str">
        <f>IF(Grammys[[#This Row],[date]] &gt;= DATE(2022, 2, 1), "Grammys", "Grammys + TRA")</f>
        <v>Grammys + TRA</v>
      </c>
      <c r="I1168">
        <f>_xlfn.XLOOKUP(Grammys[[#This Row],[date]], mobile_visits[date], mobile_visits[mobile_visitors], 0)</f>
        <v>0</v>
      </c>
    </row>
    <row r="1169" spans="1:9" x14ac:dyDescent="0.2">
      <c r="A1169" s="1">
        <v>43903</v>
      </c>
      <c r="B1169">
        <v>12177</v>
      </c>
      <c r="C1169">
        <v>16851</v>
      </c>
      <c r="D1169">
        <v>12866</v>
      </c>
      <c r="E1169">
        <v>6059</v>
      </c>
      <c r="F1169">
        <v>77</v>
      </c>
      <c r="G1169" t="s">
        <v>20</v>
      </c>
      <c r="H1169" t="str">
        <f>IF(Grammys[[#This Row],[date]] &gt;= DATE(2022, 2, 1), "Grammys", "Grammys + TRA")</f>
        <v>Grammys + TRA</v>
      </c>
      <c r="I1169">
        <f>_xlfn.XLOOKUP(Grammys[[#This Row],[date]], mobile_visits[date], mobile_visits[mobile_visitors], 0)</f>
        <v>0</v>
      </c>
    </row>
    <row r="1170" spans="1:9" x14ac:dyDescent="0.2">
      <c r="A1170" s="1">
        <v>43904</v>
      </c>
      <c r="B1170">
        <v>12401</v>
      </c>
      <c r="C1170">
        <v>16713</v>
      </c>
      <c r="D1170">
        <v>13104</v>
      </c>
      <c r="E1170">
        <v>6195</v>
      </c>
      <c r="F1170">
        <v>72</v>
      </c>
      <c r="G1170" t="s">
        <v>20</v>
      </c>
      <c r="H1170" t="str">
        <f>IF(Grammys[[#This Row],[date]] &gt;= DATE(2022, 2, 1), "Grammys", "Grammys + TRA")</f>
        <v>Grammys + TRA</v>
      </c>
      <c r="I1170">
        <f>_xlfn.XLOOKUP(Grammys[[#This Row],[date]], mobile_visits[date], mobile_visits[mobile_visitors], 0)</f>
        <v>0</v>
      </c>
    </row>
    <row r="1171" spans="1:9" x14ac:dyDescent="0.2">
      <c r="A1171" s="1">
        <v>43905</v>
      </c>
      <c r="B1171">
        <v>11101</v>
      </c>
      <c r="C1171">
        <v>15447</v>
      </c>
      <c r="D1171">
        <v>11715</v>
      </c>
      <c r="E1171">
        <v>5660</v>
      </c>
      <c r="F1171">
        <v>78</v>
      </c>
      <c r="G1171" t="s">
        <v>20</v>
      </c>
      <c r="H1171" t="str">
        <f>IF(Grammys[[#This Row],[date]] &gt;= DATE(2022, 2, 1), "Grammys", "Grammys + TRA")</f>
        <v>Grammys + TRA</v>
      </c>
      <c r="I1171">
        <f>_xlfn.XLOOKUP(Grammys[[#This Row],[date]], mobile_visits[date], mobile_visits[mobile_visitors], 0)</f>
        <v>0</v>
      </c>
    </row>
    <row r="1172" spans="1:9" x14ac:dyDescent="0.2">
      <c r="A1172" s="1">
        <v>43906</v>
      </c>
      <c r="B1172">
        <v>10969</v>
      </c>
      <c r="C1172">
        <v>15387</v>
      </c>
      <c r="D1172">
        <v>11642</v>
      </c>
      <c r="E1172">
        <v>5463</v>
      </c>
      <c r="F1172">
        <v>93</v>
      </c>
      <c r="G1172" t="s">
        <v>20</v>
      </c>
      <c r="H1172" t="str">
        <f>IF(Grammys[[#This Row],[date]] &gt;= DATE(2022, 2, 1), "Grammys", "Grammys + TRA")</f>
        <v>Grammys + TRA</v>
      </c>
      <c r="I1172">
        <f>_xlfn.XLOOKUP(Grammys[[#This Row],[date]], mobile_visits[date], mobile_visits[mobile_visitors], 0)</f>
        <v>0</v>
      </c>
    </row>
    <row r="1173" spans="1:9" x14ac:dyDescent="0.2">
      <c r="A1173" s="1">
        <v>43907</v>
      </c>
      <c r="B1173">
        <v>12614</v>
      </c>
      <c r="C1173">
        <v>16372</v>
      </c>
      <c r="D1173">
        <v>13445</v>
      </c>
      <c r="E1173">
        <v>6340</v>
      </c>
      <c r="F1173">
        <v>88</v>
      </c>
      <c r="G1173" t="s">
        <v>20</v>
      </c>
      <c r="H1173" t="str">
        <f>IF(Grammys[[#This Row],[date]] &gt;= DATE(2022, 2, 1), "Grammys", "Grammys + TRA")</f>
        <v>Grammys + TRA</v>
      </c>
      <c r="I1173">
        <f>_xlfn.XLOOKUP(Grammys[[#This Row],[date]], mobile_visits[date], mobile_visits[mobile_visitors], 0)</f>
        <v>0</v>
      </c>
    </row>
    <row r="1174" spans="1:9" x14ac:dyDescent="0.2">
      <c r="A1174" s="1">
        <v>43908</v>
      </c>
      <c r="B1174">
        <v>13580</v>
      </c>
      <c r="C1174">
        <v>17298</v>
      </c>
      <c r="D1174">
        <v>14544</v>
      </c>
      <c r="E1174">
        <v>6531</v>
      </c>
      <c r="F1174">
        <v>89</v>
      </c>
      <c r="G1174" t="s">
        <v>20</v>
      </c>
      <c r="H1174" t="str">
        <f>IF(Grammys[[#This Row],[date]] &gt;= DATE(2022, 2, 1), "Grammys", "Grammys + TRA")</f>
        <v>Grammys + TRA</v>
      </c>
      <c r="I1174">
        <f>_xlfn.XLOOKUP(Grammys[[#This Row],[date]], mobile_visits[date], mobile_visits[mobile_visitors], 0)</f>
        <v>0</v>
      </c>
    </row>
    <row r="1175" spans="1:9" x14ac:dyDescent="0.2">
      <c r="A1175" s="1">
        <v>43909</v>
      </c>
      <c r="B1175">
        <v>13637</v>
      </c>
      <c r="C1175">
        <v>17323</v>
      </c>
      <c r="D1175">
        <v>14645</v>
      </c>
      <c r="E1175">
        <v>6661</v>
      </c>
      <c r="F1175">
        <v>81</v>
      </c>
      <c r="G1175" t="s">
        <v>20</v>
      </c>
      <c r="H1175" t="str">
        <f>IF(Grammys[[#This Row],[date]] &gt;= DATE(2022, 2, 1), "Grammys", "Grammys + TRA")</f>
        <v>Grammys + TRA</v>
      </c>
      <c r="I1175">
        <f>_xlfn.XLOOKUP(Grammys[[#This Row],[date]], mobile_visits[date], mobile_visits[mobile_visitors], 0)</f>
        <v>0</v>
      </c>
    </row>
    <row r="1176" spans="1:9" x14ac:dyDescent="0.2">
      <c r="A1176" s="1">
        <v>43910</v>
      </c>
      <c r="B1176">
        <v>12790</v>
      </c>
      <c r="C1176">
        <v>16987</v>
      </c>
      <c r="D1176">
        <v>13633</v>
      </c>
      <c r="E1176">
        <v>6191</v>
      </c>
      <c r="F1176">
        <v>89</v>
      </c>
      <c r="G1176" t="s">
        <v>20</v>
      </c>
      <c r="H1176" t="str">
        <f>IF(Grammys[[#This Row],[date]] &gt;= DATE(2022, 2, 1), "Grammys", "Grammys + TRA")</f>
        <v>Grammys + TRA</v>
      </c>
      <c r="I1176">
        <f>_xlfn.XLOOKUP(Grammys[[#This Row],[date]], mobile_visits[date], mobile_visits[mobile_visitors], 0)</f>
        <v>0</v>
      </c>
    </row>
    <row r="1177" spans="1:9" x14ac:dyDescent="0.2">
      <c r="A1177" s="1">
        <v>43911</v>
      </c>
      <c r="B1177">
        <v>13464</v>
      </c>
      <c r="C1177">
        <v>18264</v>
      </c>
      <c r="D1177">
        <v>14459</v>
      </c>
      <c r="E1177">
        <v>6831</v>
      </c>
      <c r="F1177">
        <v>84</v>
      </c>
      <c r="G1177" t="s">
        <v>20</v>
      </c>
      <c r="H1177" t="str">
        <f>IF(Grammys[[#This Row],[date]] &gt;= DATE(2022, 2, 1), "Grammys", "Grammys + TRA")</f>
        <v>Grammys + TRA</v>
      </c>
      <c r="I1177">
        <f>_xlfn.XLOOKUP(Grammys[[#This Row],[date]], mobile_visits[date], mobile_visits[mobile_visitors], 0)</f>
        <v>0</v>
      </c>
    </row>
    <row r="1178" spans="1:9" x14ac:dyDescent="0.2">
      <c r="A1178" s="1">
        <v>43912</v>
      </c>
      <c r="B1178">
        <v>12115</v>
      </c>
      <c r="C1178">
        <v>16473</v>
      </c>
      <c r="D1178">
        <v>12827</v>
      </c>
      <c r="E1178">
        <v>6018</v>
      </c>
      <c r="F1178">
        <v>88</v>
      </c>
      <c r="G1178" t="s">
        <v>20</v>
      </c>
      <c r="H1178" t="str">
        <f>IF(Grammys[[#This Row],[date]] &gt;= DATE(2022, 2, 1), "Grammys", "Grammys + TRA")</f>
        <v>Grammys + TRA</v>
      </c>
      <c r="I1178">
        <f>_xlfn.XLOOKUP(Grammys[[#This Row],[date]], mobile_visits[date], mobile_visits[mobile_visitors], 0)</f>
        <v>0</v>
      </c>
    </row>
    <row r="1179" spans="1:9" x14ac:dyDescent="0.2">
      <c r="A1179" s="1">
        <v>43913</v>
      </c>
      <c r="B1179">
        <v>12679</v>
      </c>
      <c r="C1179">
        <v>17714</v>
      </c>
      <c r="D1179">
        <v>13692</v>
      </c>
      <c r="E1179">
        <v>6140</v>
      </c>
      <c r="F1179">
        <v>105</v>
      </c>
      <c r="G1179" t="s">
        <v>20</v>
      </c>
      <c r="H1179" t="str">
        <f>IF(Grammys[[#This Row],[date]] &gt;= DATE(2022, 2, 1), "Grammys", "Grammys + TRA")</f>
        <v>Grammys + TRA</v>
      </c>
      <c r="I1179">
        <f>_xlfn.XLOOKUP(Grammys[[#This Row],[date]], mobile_visits[date], mobile_visits[mobile_visitors], 0)</f>
        <v>0</v>
      </c>
    </row>
    <row r="1180" spans="1:9" x14ac:dyDescent="0.2">
      <c r="A1180" s="1">
        <v>43914</v>
      </c>
      <c r="B1180">
        <v>13124</v>
      </c>
      <c r="C1180">
        <v>18239</v>
      </c>
      <c r="D1180">
        <v>14214</v>
      </c>
      <c r="E1180">
        <v>6353</v>
      </c>
      <c r="F1180">
        <v>96</v>
      </c>
      <c r="G1180" t="s">
        <v>20</v>
      </c>
      <c r="H1180" t="str">
        <f>IF(Grammys[[#This Row],[date]] &gt;= DATE(2022, 2, 1), "Grammys", "Grammys + TRA")</f>
        <v>Grammys + TRA</v>
      </c>
      <c r="I1180">
        <f>_xlfn.XLOOKUP(Grammys[[#This Row],[date]], mobile_visits[date], mobile_visits[mobile_visitors], 0)</f>
        <v>0</v>
      </c>
    </row>
    <row r="1181" spans="1:9" x14ac:dyDescent="0.2">
      <c r="A1181" s="1">
        <v>43915</v>
      </c>
      <c r="B1181">
        <v>15150</v>
      </c>
      <c r="C1181">
        <v>19976</v>
      </c>
      <c r="D1181">
        <v>16146</v>
      </c>
      <c r="E1181">
        <v>6585</v>
      </c>
      <c r="F1181">
        <v>87</v>
      </c>
      <c r="G1181" t="s">
        <v>20</v>
      </c>
      <c r="H1181" t="str">
        <f>IF(Grammys[[#This Row],[date]] &gt;= DATE(2022, 2, 1), "Grammys", "Grammys + TRA")</f>
        <v>Grammys + TRA</v>
      </c>
      <c r="I1181">
        <f>_xlfn.XLOOKUP(Grammys[[#This Row],[date]], mobile_visits[date], mobile_visits[mobile_visitors], 0)</f>
        <v>0</v>
      </c>
    </row>
    <row r="1182" spans="1:9" x14ac:dyDescent="0.2">
      <c r="A1182" s="1">
        <v>43916</v>
      </c>
      <c r="B1182">
        <v>13628</v>
      </c>
      <c r="C1182">
        <v>18809</v>
      </c>
      <c r="D1182">
        <v>14732</v>
      </c>
      <c r="E1182">
        <v>6403</v>
      </c>
      <c r="F1182">
        <v>101</v>
      </c>
      <c r="G1182" t="s">
        <v>20</v>
      </c>
      <c r="H1182" t="str">
        <f>IF(Grammys[[#This Row],[date]] &gt;= DATE(2022, 2, 1), "Grammys", "Grammys + TRA")</f>
        <v>Grammys + TRA</v>
      </c>
      <c r="I1182">
        <f>_xlfn.XLOOKUP(Grammys[[#This Row],[date]], mobile_visits[date], mobile_visits[mobile_visitors], 0)</f>
        <v>0</v>
      </c>
    </row>
    <row r="1183" spans="1:9" x14ac:dyDescent="0.2">
      <c r="A1183" s="1">
        <v>43917</v>
      </c>
      <c r="B1183">
        <v>14196</v>
      </c>
      <c r="C1183">
        <v>19066</v>
      </c>
      <c r="D1183">
        <v>15159</v>
      </c>
      <c r="E1183">
        <v>6534</v>
      </c>
      <c r="F1183">
        <v>96</v>
      </c>
      <c r="G1183" t="s">
        <v>20</v>
      </c>
      <c r="H1183" t="str">
        <f>IF(Grammys[[#This Row],[date]] &gt;= DATE(2022, 2, 1), "Grammys", "Grammys + TRA")</f>
        <v>Grammys + TRA</v>
      </c>
      <c r="I1183">
        <f>_xlfn.XLOOKUP(Grammys[[#This Row],[date]], mobile_visits[date], mobile_visits[mobile_visitors], 0)</f>
        <v>0</v>
      </c>
    </row>
    <row r="1184" spans="1:9" x14ac:dyDescent="0.2">
      <c r="A1184" s="1">
        <v>43918</v>
      </c>
      <c r="B1184">
        <v>14730</v>
      </c>
      <c r="C1184">
        <v>19145</v>
      </c>
      <c r="D1184">
        <v>15784</v>
      </c>
      <c r="E1184">
        <v>6305</v>
      </c>
      <c r="F1184">
        <v>93</v>
      </c>
      <c r="G1184" t="s">
        <v>20</v>
      </c>
      <c r="H1184" t="str">
        <f>IF(Grammys[[#This Row],[date]] &gt;= DATE(2022, 2, 1), "Grammys", "Grammys + TRA")</f>
        <v>Grammys + TRA</v>
      </c>
      <c r="I1184">
        <f>_xlfn.XLOOKUP(Grammys[[#This Row],[date]], mobile_visits[date], mobile_visits[mobile_visitors], 0)</f>
        <v>0</v>
      </c>
    </row>
    <row r="1185" spans="1:9" x14ac:dyDescent="0.2">
      <c r="A1185" s="1">
        <v>43919</v>
      </c>
      <c r="B1185">
        <v>15682</v>
      </c>
      <c r="C1185">
        <v>21407</v>
      </c>
      <c r="D1185">
        <v>16645</v>
      </c>
      <c r="E1185">
        <v>7208</v>
      </c>
      <c r="F1185">
        <v>97</v>
      </c>
      <c r="G1185" t="s">
        <v>20</v>
      </c>
      <c r="H1185" t="str">
        <f>IF(Grammys[[#This Row],[date]] &gt;= DATE(2022, 2, 1), "Grammys", "Grammys + TRA")</f>
        <v>Grammys + TRA</v>
      </c>
      <c r="I1185">
        <f>_xlfn.XLOOKUP(Grammys[[#This Row],[date]], mobile_visits[date], mobile_visits[mobile_visitors], 0)</f>
        <v>0</v>
      </c>
    </row>
    <row r="1186" spans="1:9" x14ac:dyDescent="0.2">
      <c r="A1186" s="1">
        <v>43920</v>
      </c>
      <c r="B1186">
        <v>16101</v>
      </c>
      <c r="C1186">
        <v>21582</v>
      </c>
      <c r="D1186">
        <v>17169</v>
      </c>
      <c r="E1186">
        <v>7534</v>
      </c>
      <c r="F1186">
        <v>97</v>
      </c>
      <c r="G1186" t="s">
        <v>20</v>
      </c>
      <c r="H1186" t="str">
        <f>IF(Grammys[[#This Row],[date]] &gt;= DATE(2022, 2, 1), "Grammys", "Grammys + TRA")</f>
        <v>Grammys + TRA</v>
      </c>
      <c r="I1186">
        <f>_xlfn.XLOOKUP(Grammys[[#This Row],[date]], mobile_visits[date], mobile_visits[mobile_visitors], 0)</f>
        <v>0</v>
      </c>
    </row>
    <row r="1187" spans="1:9" x14ac:dyDescent="0.2">
      <c r="A1187" s="1">
        <v>43921</v>
      </c>
      <c r="B1187">
        <v>20813</v>
      </c>
      <c r="C1187">
        <v>26030</v>
      </c>
      <c r="D1187">
        <v>22255</v>
      </c>
      <c r="E1187">
        <v>9314</v>
      </c>
      <c r="F1187">
        <v>107</v>
      </c>
      <c r="G1187" t="s">
        <v>20</v>
      </c>
      <c r="H1187" t="str">
        <f>IF(Grammys[[#This Row],[date]] &gt;= DATE(2022, 2, 1), "Grammys", "Grammys + TRA")</f>
        <v>Grammys + TRA</v>
      </c>
      <c r="I1187">
        <f>_xlfn.XLOOKUP(Grammys[[#This Row],[date]], mobile_visits[date], mobile_visits[mobile_visitors], 0)</f>
        <v>0</v>
      </c>
    </row>
    <row r="1188" spans="1:9" x14ac:dyDescent="0.2">
      <c r="A1188" s="1">
        <v>43922</v>
      </c>
      <c r="B1188">
        <v>18988</v>
      </c>
      <c r="C1188">
        <v>24232</v>
      </c>
      <c r="D1188">
        <v>20242</v>
      </c>
      <c r="E1188">
        <v>9103</v>
      </c>
      <c r="F1188">
        <v>100</v>
      </c>
      <c r="G1188" t="s">
        <v>20</v>
      </c>
      <c r="H1188" t="str">
        <f>IF(Grammys[[#This Row],[date]] &gt;= DATE(2022, 2, 1), "Grammys", "Grammys + TRA")</f>
        <v>Grammys + TRA</v>
      </c>
      <c r="I1188">
        <f>_xlfn.XLOOKUP(Grammys[[#This Row],[date]], mobile_visits[date], mobile_visits[mobile_visitors], 0)</f>
        <v>0</v>
      </c>
    </row>
    <row r="1189" spans="1:9" x14ac:dyDescent="0.2">
      <c r="A1189" s="1">
        <v>43923</v>
      </c>
      <c r="B1189">
        <v>16097</v>
      </c>
      <c r="C1189">
        <v>21916</v>
      </c>
      <c r="D1189">
        <v>17381</v>
      </c>
      <c r="E1189">
        <v>8095</v>
      </c>
      <c r="F1189">
        <v>89</v>
      </c>
      <c r="G1189" t="s">
        <v>20</v>
      </c>
      <c r="H1189" t="str">
        <f>IF(Grammys[[#This Row],[date]] &gt;= DATE(2022, 2, 1), "Grammys", "Grammys + TRA")</f>
        <v>Grammys + TRA</v>
      </c>
      <c r="I1189">
        <f>_xlfn.XLOOKUP(Grammys[[#This Row],[date]], mobile_visits[date], mobile_visits[mobile_visitors], 0)</f>
        <v>0</v>
      </c>
    </row>
    <row r="1190" spans="1:9" x14ac:dyDescent="0.2">
      <c r="A1190" s="1">
        <v>43924</v>
      </c>
      <c r="B1190">
        <v>17584</v>
      </c>
      <c r="C1190">
        <v>22465</v>
      </c>
      <c r="D1190">
        <v>18822</v>
      </c>
      <c r="E1190">
        <v>8158</v>
      </c>
      <c r="F1190">
        <v>92</v>
      </c>
      <c r="G1190" t="s">
        <v>20</v>
      </c>
      <c r="H1190" t="str">
        <f>IF(Grammys[[#This Row],[date]] &gt;= DATE(2022, 2, 1), "Grammys", "Grammys + TRA")</f>
        <v>Grammys + TRA</v>
      </c>
      <c r="I1190">
        <f>_xlfn.XLOOKUP(Grammys[[#This Row],[date]], mobile_visits[date], mobile_visits[mobile_visitors], 0)</f>
        <v>0</v>
      </c>
    </row>
    <row r="1191" spans="1:9" x14ac:dyDescent="0.2">
      <c r="A1191" s="1">
        <v>43925</v>
      </c>
      <c r="B1191">
        <v>15075</v>
      </c>
      <c r="C1191">
        <v>20446</v>
      </c>
      <c r="D1191">
        <v>16082</v>
      </c>
      <c r="E1191">
        <v>6945</v>
      </c>
      <c r="F1191">
        <v>91</v>
      </c>
      <c r="G1191" t="s">
        <v>20</v>
      </c>
      <c r="H1191" t="str">
        <f>IF(Grammys[[#This Row],[date]] &gt;= DATE(2022, 2, 1), "Grammys", "Grammys + TRA")</f>
        <v>Grammys + TRA</v>
      </c>
      <c r="I1191">
        <f>_xlfn.XLOOKUP(Grammys[[#This Row],[date]], mobile_visits[date], mobile_visits[mobile_visitors], 0)</f>
        <v>0</v>
      </c>
    </row>
    <row r="1192" spans="1:9" x14ac:dyDescent="0.2">
      <c r="A1192" s="1">
        <v>43926</v>
      </c>
      <c r="B1192">
        <v>14318</v>
      </c>
      <c r="C1192">
        <v>20032</v>
      </c>
      <c r="D1192">
        <v>15247</v>
      </c>
      <c r="E1192">
        <v>6881</v>
      </c>
      <c r="F1192">
        <v>95</v>
      </c>
      <c r="G1192" t="s">
        <v>20</v>
      </c>
      <c r="H1192" t="str">
        <f>IF(Grammys[[#This Row],[date]] &gt;= DATE(2022, 2, 1), "Grammys", "Grammys + TRA")</f>
        <v>Grammys + TRA</v>
      </c>
      <c r="I1192">
        <f>_xlfn.XLOOKUP(Grammys[[#This Row],[date]], mobile_visits[date], mobile_visits[mobile_visitors], 0)</f>
        <v>0</v>
      </c>
    </row>
    <row r="1193" spans="1:9" x14ac:dyDescent="0.2">
      <c r="A1193" s="1">
        <v>43927</v>
      </c>
      <c r="B1193">
        <v>16350</v>
      </c>
      <c r="C1193">
        <v>22036</v>
      </c>
      <c r="D1193">
        <v>17404</v>
      </c>
      <c r="E1193">
        <v>8274</v>
      </c>
      <c r="F1193">
        <v>92</v>
      </c>
      <c r="G1193" t="s">
        <v>20</v>
      </c>
      <c r="H1193" t="str">
        <f>IF(Grammys[[#This Row],[date]] &gt;= DATE(2022, 2, 1), "Grammys", "Grammys + TRA")</f>
        <v>Grammys + TRA</v>
      </c>
      <c r="I1193">
        <f>_xlfn.XLOOKUP(Grammys[[#This Row],[date]], mobile_visits[date], mobile_visits[mobile_visitors], 0)</f>
        <v>0</v>
      </c>
    </row>
    <row r="1194" spans="1:9" x14ac:dyDescent="0.2">
      <c r="A1194" s="1">
        <v>43928</v>
      </c>
      <c r="B1194">
        <v>30882</v>
      </c>
      <c r="C1194">
        <v>32583</v>
      </c>
      <c r="D1194">
        <v>32742</v>
      </c>
      <c r="E1194">
        <v>13225</v>
      </c>
      <c r="F1194">
        <v>83</v>
      </c>
      <c r="G1194" t="s">
        <v>20</v>
      </c>
      <c r="H1194" t="str">
        <f>IF(Grammys[[#This Row],[date]] &gt;= DATE(2022, 2, 1), "Grammys", "Grammys + TRA")</f>
        <v>Grammys + TRA</v>
      </c>
      <c r="I1194">
        <f>_xlfn.XLOOKUP(Grammys[[#This Row],[date]], mobile_visits[date], mobile_visits[mobile_visitors], 0)</f>
        <v>0</v>
      </c>
    </row>
    <row r="1195" spans="1:9" x14ac:dyDescent="0.2">
      <c r="A1195" s="1">
        <v>43929</v>
      </c>
      <c r="B1195">
        <v>23459</v>
      </c>
      <c r="C1195">
        <v>24826</v>
      </c>
      <c r="D1195">
        <v>24662</v>
      </c>
      <c r="E1195">
        <v>8982</v>
      </c>
      <c r="F1195">
        <v>96</v>
      </c>
      <c r="G1195" t="s">
        <v>20</v>
      </c>
      <c r="H1195" t="str">
        <f>IF(Grammys[[#This Row],[date]] &gt;= DATE(2022, 2, 1), "Grammys", "Grammys + TRA")</f>
        <v>Grammys + TRA</v>
      </c>
      <c r="I1195">
        <f>_xlfn.XLOOKUP(Grammys[[#This Row],[date]], mobile_visits[date], mobile_visits[mobile_visitors], 0)</f>
        <v>0</v>
      </c>
    </row>
    <row r="1196" spans="1:9" x14ac:dyDescent="0.2">
      <c r="A1196" s="1">
        <v>43930</v>
      </c>
      <c r="B1196">
        <v>37775</v>
      </c>
      <c r="C1196">
        <v>41731</v>
      </c>
      <c r="D1196">
        <v>39371</v>
      </c>
      <c r="E1196">
        <v>14891</v>
      </c>
      <c r="F1196">
        <v>60</v>
      </c>
      <c r="G1196" t="s">
        <v>20</v>
      </c>
      <c r="H1196" t="str">
        <f>IF(Grammys[[#This Row],[date]] &gt;= DATE(2022, 2, 1), "Grammys", "Grammys + TRA")</f>
        <v>Grammys + TRA</v>
      </c>
      <c r="I1196">
        <f>_xlfn.XLOOKUP(Grammys[[#This Row],[date]], mobile_visits[date], mobile_visits[mobile_visitors], 0)</f>
        <v>0</v>
      </c>
    </row>
    <row r="1197" spans="1:9" x14ac:dyDescent="0.2">
      <c r="A1197" s="1">
        <v>43931</v>
      </c>
      <c r="B1197">
        <v>59911</v>
      </c>
      <c r="C1197">
        <v>66116</v>
      </c>
      <c r="D1197">
        <v>62197</v>
      </c>
      <c r="E1197">
        <v>22995</v>
      </c>
      <c r="F1197">
        <v>54</v>
      </c>
      <c r="G1197" t="s">
        <v>20</v>
      </c>
      <c r="H1197" t="str">
        <f>IF(Grammys[[#This Row],[date]] &gt;= DATE(2022, 2, 1), "Grammys", "Grammys + TRA")</f>
        <v>Grammys + TRA</v>
      </c>
      <c r="I1197">
        <f>_xlfn.XLOOKUP(Grammys[[#This Row],[date]], mobile_visits[date], mobile_visits[mobile_visitors], 0)</f>
        <v>0</v>
      </c>
    </row>
    <row r="1198" spans="1:9" x14ac:dyDescent="0.2">
      <c r="A1198" s="1">
        <v>43932</v>
      </c>
      <c r="B1198">
        <v>34484</v>
      </c>
      <c r="C1198">
        <v>41875</v>
      </c>
      <c r="D1198">
        <v>36325</v>
      </c>
      <c r="E1198">
        <v>14338</v>
      </c>
      <c r="F1198">
        <v>66</v>
      </c>
      <c r="G1198" t="s">
        <v>20</v>
      </c>
      <c r="H1198" t="str">
        <f>IF(Grammys[[#This Row],[date]] &gt;= DATE(2022, 2, 1), "Grammys", "Grammys + TRA")</f>
        <v>Grammys + TRA</v>
      </c>
      <c r="I1198">
        <f>_xlfn.XLOOKUP(Grammys[[#This Row],[date]], mobile_visits[date], mobile_visits[mobile_visitors], 0)</f>
        <v>0</v>
      </c>
    </row>
    <row r="1199" spans="1:9" x14ac:dyDescent="0.2">
      <c r="A1199" s="1">
        <v>43933</v>
      </c>
      <c r="B1199">
        <v>29392</v>
      </c>
      <c r="C1199">
        <v>37028</v>
      </c>
      <c r="D1199">
        <v>31142</v>
      </c>
      <c r="E1199">
        <v>12003</v>
      </c>
      <c r="F1199">
        <v>79</v>
      </c>
      <c r="G1199" t="s">
        <v>20</v>
      </c>
      <c r="H1199" t="str">
        <f>IF(Grammys[[#This Row],[date]] &gt;= DATE(2022, 2, 1), "Grammys", "Grammys + TRA")</f>
        <v>Grammys + TRA</v>
      </c>
      <c r="I1199">
        <f>_xlfn.XLOOKUP(Grammys[[#This Row],[date]], mobile_visits[date], mobile_visits[mobile_visitors], 0)</f>
        <v>0</v>
      </c>
    </row>
    <row r="1200" spans="1:9" x14ac:dyDescent="0.2">
      <c r="A1200" s="1">
        <v>43934</v>
      </c>
      <c r="B1200">
        <v>24009</v>
      </c>
      <c r="C1200">
        <v>30853</v>
      </c>
      <c r="D1200">
        <v>25702</v>
      </c>
      <c r="E1200">
        <v>10222</v>
      </c>
      <c r="F1200">
        <v>91</v>
      </c>
      <c r="G1200" t="s">
        <v>20</v>
      </c>
      <c r="H1200" t="str">
        <f>IF(Grammys[[#This Row],[date]] &gt;= DATE(2022, 2, 1), "Grammys", "Grammys + TRA")</f>
        <v>Grammys + TRA</v>
      </c>
      <c r="I1200">
        <f>_xlfn.XLOOKUP(Grammys[[#This Row],[date]], mobile_visits[date], mobile_visits[mobile_visitors], 0)</f>
        <v>0</v>
      </c>
    </row>
    <row r="1201" spans="1:9" x14ac:dyDescent="0.2">
      <c r="A1201" s="1">
        <v>43935</v>
      </c>
      <c r="B1201">
        <v>21789</v>
      </c>
      <c r="C1201">
        <v>27991</v>
      </c>
      <c r="D1201">
        <v>23546</v>
      </c>
      <c r="E1201">
        <v>9360</v>
      </c>
      <c r="F1201">
        <v>87</v>
      </c>
      <c r="G1201" t="s">
        <v>20</v>
      </c>
      <c r="H1201" t="str">
        <f>IF(Grammys[[#This Row],[date]] &gt;= DATE(2022, 2, 1), "Grammys", "Grammys + TRA")</f>
        <v>Grammys + TRA</v>
      </c>
      <c r="I1201">
        <f>_xlfn.XLOOKUP(Grammys[[#This Row],[date]], mobile_visits[date], mobile_visits[mobile_visitors], 0)</f>
        <v>0</v>
      </c>
    </row>
    <row r="1202" spans="1:9" x14ac:dyDescent="0.2">
      <c r="A1202" s="1">
        <v>43936</v>
      </c>
      <c r="B1202">
        <v>25039</v>
      </c>
      <c r="C1202">
        <v>31789</v>
      </c>
      <c r="D1202">
        <v>27023</v>
      </c>
      <c r="E1202">
        <v>9661</v>
      </c>
      <c r="F1202">
        <v>80</v>
      </c>
      <c r="G1202" t="s">
        <v>20</v>
      </c>
      <c r="H1202" t="str">
        <f>IF(Grammys[[#This Row],[date]] &gt;= DATE(2022, 2, 1), "Grammys", "Grammys + TRA")</f>
        <v>Grammys + TRA</v>
      </c>
      <c r="I1202">
        <f>_xlfn.XLOOKUP(Grammys[[#This Row],[date]], mobile_visits[date], mobile_visits[mobile_visitors], 0)</f>
        <v>0</v>
      </c>
    </row>
    <row r="1203" spans="1:9" x14ac:dyDescent="0.2">
      <c r="A1203" s="1">
        <v>43937</v>
      </c>
      <c r="B1203">
        <v>24642</v>
      </c>
      <c r="C1203">
        <v>31949</v>
      </c>
      <c r="D1203">
        <v>26363</v>
      </c>
      <c r="E1203">
        <v>10575</v>
      </c>
      <c r="F1203">
        <v>82</v>
      </c>
      <c r="G1203" t="s">
        <v>20</v>
      </c>
      <c r="H1203" t="str">
        <f>IF(Grammys[[#This Row],[date]] &gt;= DATE(2022, 2, 1), "Grammys", "Grammys + TRA")</f>
        <v>Grammys + TRA</v>
      </c>
      <c r="I1203">
        <f>_xlfn.XLOOKUP(Grammys[[#This Row],[date]], mobile_visits[date], mobile_visits[mobile_visitors], 0)</f>
        <v>0</v>
      </c>
    </row>
    <row r="1204" spans="1:9" x14ac:dyDescent="0.2">
      <c r="A1204" s="1">
        <v>43938</v>
      </c>
      <c r="B1204">
        <v>26872</v>
      </c>
      <c r="C1204">
        <v>33662</v>
      </c>
      <c r="D1204">
        <v>28514</v>
      </c>
      <c r="E1204">
        <v>11272</v>
      </c>
      <c r="F1204">
        <v>75</v>
      </c>
      <c r="G1204" t="s">
        <v>20</v>
      </c>
      <c r="H1204" t="str">
        <f>IF(Grammys[[#This Row],[date]] &gt;= DATE(2022, 2, 1), "Grammys", "Grammys + TRA")</f>
        <v>Grammys + TRA</v>
      </c>
      <c r="I1204">
        <f>_xlfn.XLOOKUP(Grammys[[#This Row],[date]], mobile_visits[date], mobile_visits[mobile_visitors], 0)</f>
        <v>0</v>
      </c>
    </row>
    <row r="1205" spans="1:9" x14ac:dyDescent="0.2">
      <c r="A1205" s="1">
        <v>43939</v>
      </c>
      <c r="B1205">
        <v>28685</v>
      </c>
      <c r="C1205">
        <v>35680</v>
      </c>
      <c r="D1205">
        <v>30333</v>
      </c>
      <c r="E1205">
        <v>12798</v>
      </c>
      <c r="F1205">
        <v>70</v>
      </c>
      <c r="G1205" t="s">
        <v>20</v>
      </c>
      <c r="H1205" t="str">
        <f>IF(Grammys[[#This Row],[date]] &gt;= DATE(2022, 2, 1), "Grammys", "Grammys + TRA")</f>
        <v>Grammys + TRA</v>
      </c>
      <c r="I1205">
        <f>_xlfn.XLOOKUP(Grammys[[#This Row],[date]], mobile_visits[date], mobile_visits[mobile_visitors], 0)</f>
        <v>0</v>
      </c>
    </row>
    <row r="1206" spans="1:9" x14ac:dyDescent="0.2">
      <c r="A1206" s="1">
        <v>43940</v>
      </c>
      <c r="B1206">
        <v>22772</v>
      </c>
      <c r="C1206">
        <v>29453</v>
      </c>
      <c r="D1206">
        <v>24265</v>
      </c>
      <c r="E1206">
        <v>10022</v>
      </c>
      <c r="F1206">
        <v>81</v>
      </c>
      <c r="G1206" t="s">
        <v>20</v>
      </c>
      <c r="H1206" t="str">
        <f>IF(Grammys[[#This Row],[date]] &gt;= DATE(2022, 2, 1), "Grammys", "Grammys + TRA")</f>
        <v>Grammys + TRA</v>
      </c>
      <c r="I1206">
        <f>_xlfn.XLOOKUP(Grammys[[#This Row],[date]], mobile_visits[date], mobile_visits[mobile_visitors], 0)</f>
        <v>0</v>
      </c>
    </row>
    <row r="1207" spans="1:9" x14ac:dyDescent="0.2">
      <c r="A1207" s="1">
        <v>43941</v>
      </c>
      <c r="B1207">
        <v>23122</v>
      </c>
      <c r="C1207">
        <v>31876</v>
      </c>
      <c r="D1207">
        <v>24920</v>
      </c>
      <c r="E1207">
        <v>10778</v>
      </c>
      <c r="F1207">
        <v>90</v>
      </c>
      <c r="G1207" t="s">
        <v>20</v>
      </c>
      <c r="H1207" t="str">
        <f>IF(Grammys[[#This Row],[date]] &gt;= DATE(2022, 2, 1), "Grammys", "Grammys + TRA")</f>
        <v>Grammys + TRA</v>
      </c>
      <c r="I1207">
        <f>_xlfn.XLOOKUP(Grammys[[#This Row],[date]], mobile_visits[date], mobile_visits[mobile_visitors], 0)</f>
        <v>0</v>
      </c>
    </row>
    <row r="1208" spans="1:9" x14ac:dyDescent="0.2">
      <c r="A1208" s="1">
        <v>43942</v>
      </c>
      <c r="B1208">
        <v>64079</v>
      </c>
      <c r="C1208">
        <v>84543</v>
      </c>
      <c r="D1208">
        <v>69876</v>
      </c>
      <c r="E1208">
        <v>23591</v>
      </c>
      <c r="F1208">
        <v>95</v>
      </c>
      <c r="G1208" t="s">
        <v>20</v>
      </c>
      <c r="H1208" t="str">
        <f>IF(Grammys[[#This Row],[date]] &gt;= DATE(2022, 2, 1), "Grammys", "Grammys + TRA")</f>
        <v>Grammys + TRA</v>
      </c>
      <c r="I1208">
        <f>_xlfn.XLOOKUP(Grammys[[#This Row],[date]], mobile_visits[date], mobile_visits[mobile_visitors], 0)</f>
        <v>0</v>
      </c>
    </row>
    <row r="1209" spans="1:9" x14ac:dyDescent="0.2">
      <c r="A1209" s="1">
        <v>43943</v>
      </c>
      <c r="B1209">
        <v>46135</v>
      </c>
      <c r="C1209">
        <v>67713</v>
      </c>
      <c r="D1209">
        <v>49576</v>
      </c>
      <c r="E1209">
        <v>15805</v>
      </c>
      <c r="F1209">
        <v>116</v>
      </c>
      <c r="G1209" t="s">
        <v>20</v>
      </c>
      <c r="H1209" t="str">
        <f>IF(Grammys[[#This Row],[date]] &gt;= DATE(2022, 2, 1), "Grammys", "Grammys + TRA")</f>
        <v>Grammys + TRA</v>
      </c>
      <c r="I1209">
        <f>_xlfn.XLOOKUP(Grammys[[#This Row],[date]], mobile_visits[date], mobile_visits[mobile_visitors], 0)</f>
        <v>0</v>
      </c>
    </row>
    <row r="1210" spans="1:9" x14ac:dyDescent="0.2">
      <c r="A1210" s="1">
        <v>43944</v>
      </c>
      <c r="B1210">
        <v>45185</v>
      </c>
      <c r="C1210">
        <v>68731</v>
      </c>
      <c r="D1210">
        <v>49096</v>
      </c>
      <c r="E1210">
        <v>15083</v>
      </c>
      <c r="F1210">
        <v>125</v>
      </c>
      <c r="G1210" t="s">
        <v>20</v>
      </c>
      <c r="H1210" t="str">
        <f>IF(Grammys[[#This Row],[date]] &gt;= DATE(2022, 2, 1), "Grammys", "Grammys + TRA")</f>
        <v>Grammys + TRA</v>
      </c>
      <c r="I1210">
        <f>_xlfn.XLOOKUP(Grammys[[#This Row],[date]], mobile_visits[date], mobile_visits[mobile_visitors], 0)</f>
        <v>0</v>
      </c>
    </row>
    <row r="1211" spans="1:9" x14ac:dyDescent="0.2">
      <c r="A1211" s="1">
        <v>43945</v>
      </c>
      <c r="B1211">
        <v>35853</v>
      </c>
      <c r="C1211">
        <v>48940</v>
      </c>
      <c r="D1211">
        <v>39106</v>
      </c>
      <c r="E1211">
        <v>12988</v>
      </c>
      <c r="F1211">
        <v>103</v>
      </c>
      <c r="G1211" t="s">
        <v>20</v>
      </c>
      <c r="H1211" t="str">
        <f>IF(Grammys[[#This Row],[date]] &gt;= DATE(2022, 2, 1), "Grammys", "Grammys + TRA")</f>
        <v>Grammys + TRA</v>
      </c>
      <c r="I1211">
        <f>_xlfn.XLOOKUP(Grammys[[#This Row],[date]], mobile_visits[date], mobile_visits[mobile_visitors], 0)</f>
        <v>0</v>
      </c>
    </row>
    <row r="1212" spans="1:9" x14ac:dyDescent="0.2">
      <c r="A1212" s="1">
        <v>43946</v>
      </c>
      <c r="B1212">
        <v>38782</v>
      </c>
      <c r="C1212">
        <v>54324</v>
      </c>
      <c r="D1212">
        <v>42047</v>
      </c>
      <c r="E1212">
        <v>12350</v>
      </c>
      <c r="F1212">
        <v>121</v>
      </c>
      <c r="G1212" t="s">
        <v>20</v>
      </c>
      <c r="H1212" t="str">
        <f>IF(Grammys[[#This Row],[date]] &gt;= DATE(2022, 2, 1), "Grammys", "Grammys + TRA")</f>
        <v>Grammys + TRA</v>
      </c>
      <c r="I1212">
        <f>_xlfn.XLOOKUP(Grammys[[#This Row],[date]], mobile_visits[date], mobile_visits[mobile_visitors], 0)</f>
        <v>0</v>
      </c>
    </row>
    <row r="1213" spans="1:9" x14ac:dyDescent="0.2">
      <c r="A1213" s="1">
        <v>43947</v>
      </c>
      <c r="B1213">
        <v>31371</v>
      </c>
      <c r="C1213">
        <v>42570</v>
      </c>
      <c r="D1213">
        <v>33966</v>
      </c>
      <c r="E1213">
        <v>11559</v>
      </c>
      <c r="F1213">
        <v>112</v>
      </c>
      <c r="G1213" t="s">
        <v>20</v>
      </c>
      <c r="H1213" t="str">
        <f>IF(Grammys[[#This Row],[date]] &gt;= DATE(2022, 2, 1), "Grammys", "Grammys + TRA")</f>
        <v>Grammys + TRA</v>
      </c>
      <c r="I1213">
        <f>_xlfn.XLOOKUP(Grammys[[#This Row],[date]], mobile_visits[date], mobile_visits[mobile_visitors], 0)</f>
        <v>0</v>
      </c>
    </row>
    <row r="1214" spans="1:9" x14ac:dyDescent="0.2">
      <c r="A1214" s="1">
        <v>43948</v>
      </c>
      <c r="B1214">
        <v>21492</v>
      </c>
      <c r="C1214">
        <v>30360</v>
      </c>
      <c r="D1214">
        <v>23091</v>
      </c>
      <c r="E1214">
        <v>8964</v>
      </c>
      <c r="F1214">
        <v>119</v>
      </c>
      <c r="G1214" t="s">
        <v>20</v>
      </c>
      <c r="H1214" t="str">
        <f>IF(Grammys[[#This Row],[date]] &gt;= DATE(2022, 2, 1), "Grammys", "Grammys + TRA")</f>
        <v>Grammys + TRA</v>
      </c>
      <c r="I1214">
        <f>_xlfn.XLOOKUP(Grammys[[#This Row],[date]], mobile_visits[date], mobile_visits[mobile_visitors], 0)</f>
        <v>0</v>
      </c>
    </row>
    <row r="1215" spans="1:9" x14ac:dyDescent="0.2">
      <c r="A1215" s="1">
        <v>43949</v>
      </c>
      <c r="B1215">
        <v>20397</v>
      </c>
      <c r="C1215">
        <v>27741</v>
      </c>
      <c r="D1215">
        <v>22061</v>
      </c>
      <c r="E1215">
        <v>9769</v>
      </c>
      <c r="F1215">
        <v>103</v>
      </c>
      <c r="G1215" t="s">
        <v>20</v>
      </c>
      <c r="H1215" t="str">
        <f>IF(Grammys[[#This Row],[date]] &gt;= DATE(2022, 2, 1), "Grammys", "Grammys + TRA")</f>
        <v>Grammys + TRA</v>
      </c>
      <c r="I1215">
        <f>_xlfn.XLOOKUP(Grammys[[#This Row],[date]], mobile_visits[date], mobile_visits[mobile_visitors], 0)</f>
        <v>0</v>
      </c>
    </row>
    <row r="1216" spans="1:9" x14ac:dyDescent="0.2">
      <c r="A1216" s="1">
        <v>43950</v>
      </c>
      <c r="B1216">
        <v>20771</v>
      </c>
      <c r="C1216">
        <v>28566</v>
      </c>
      <c r="D1216">
        <v>22195</v>
      </c>
      <c r="E1216">
        <v>9911</v>
      </c>
      <c r="F1216">
        <v>99</v>
      </c>
      <c r="G1216" t="s">
        <v>20</v>
      </c>
      <c r="H1216" t="str">
        <f>IF(Grammys[[#This Row],[date]] &gt;= DATE(2022, 2, 1), "Grammys", "Grammys + TRA")</f>
        <v>Grammys + TRA</v>
      </c>
      <c r="I1216">
        <f>_xlfn.XLOOKUP(Grammys[[#This Row],[date]], mobile_visits[date], mobile_visits[mobile_visitors], 0)</f>
        <v>0</v>
      </c>
    </row>
    <row r="1217" spans="1:9" x14ac:dyDescent="0.2">
      <c r="A1217" s="1">
        <v>43951</v>
      </c>
      <c r="B1217">
        <v>19230</v>
      </c>
      <c r="C1217">
        <v>26856</v>
      </c>
      <c r="D1217">
        <v>20799</v>
      </c>
      <c r="E1217">
        <v>9038</v>
      </c>
      <c r="F1217">
        <v>97</v>
      </c>
      <c r="G1217" t="s">
        <v>20</v>
      </c>
      <c r="H1217" t="str">
        <f>IF(Grammys[[#This Row],[date]] &gt;= DATE(2022, 2, 1), "Grammys", "Grammys + TRA")</f>
        <v>Grammys + TRA</v>
      </c>
      <c r="I1217">
        <f>_xlfn.XLOOKUP(Grammys[[#This Row],[date]], mobile_visits[date], mobile_visits[mobile_visitors], 0)</f>
        <v>0</v>
      </c>
    </row>
    <row r="1218" spans="1:9" x14ac:dyDescent="0.2">
      <c r="A1218" s="1">
        <v>43952</v>
      </c>
      <c r="B1218">
        <v>18276</v>
      </c>
      <c r="C1218">
        <v>25436</v>
      </c>
      <c r="D1218">
        <v>19412</v>
      </c>
      <c r="E1218">
        <v>8505</v>
      </c>
      <c r="F1218">
        <v>99</v>
      </c>
      <c r="G1218" t="s">
        <v>20</v>
      </c>
      <c r="H1218" t="str">
        <f>IF(Grammys[[#This Row],[date]] &gt;= DATE(2022, 2, 1), "Grammys", "Grammys + TRA")</f>
        <v>Grammys + TRA</v>
      </c>
      <c r="I1218">
        <f>_xlfn.XLOOKUP(Grammys[[#This Row],[date]], mobile_visits[date], mobile_visits[mobile_visitors], 0)</f>
        <v>0</v>
      </c>
    </row>
    <row r="1219" spans="1:9" x14ac:dyDescent="0.2">
      <c r="A1219" s="1">
        <v>43953</v>
      </c>
      <c r="B1219">
        <v>17143</v>
      </c>
      <c r="C1219">
        <v>23845</v>
      </c>
      <c r="D1219">
        <v>18166</v>
      </c>
      <c r="E1219">
        <v>7561</v>
      </c>
      <c r="F1219">
        <v>99</v>
      </c>
      <c r="G1219" t="s">
        <v>20</v>
      </c>
      <c r="H1219" t="str">
        <f>IF(Grammys[[#This Row],[date]] &gt;= DATE(2022, 2, 1), "Grammys", "Grammys + TRA")</f>
        <v>Grammys + TRA</v>
      </c>
      <c r="I1219">
        <f>_xlfn.XLOOKUP(Grammys[[#This Row],[date]], mobile_visits[date], mobile_visits[mobile_visitors], 0)</f>
        <v>0</v>
      </c>
    </row>
    <row r="1220" spans="1:9" x14ac:dyDescent="0.2">
      <c r="A1220" s="1">
        <v>43954</v>
      </c>
      <c r="B1220">
        <v>18068</v>
      </c>
      <c r="C1220">
        <v>24951</v>
      </c>
      <c r="D1220">
        <v>19365</v>
      </c>
      <c r="E1220">
        <v>7925</v>
      </c>
      <c r="F1220">
        <v>95</v>
      </c>
      <c r="G1220" t="s">
        <v>20</v>
      </c>
      <c r="H1220" t="str">
        <f>IF(Grammys[[#This Row],[date]] &gt;= DATE(2022, 2, 1), "Grammys", "Grammys + TRA")</f>
        <v>Grammys + TRA</v>
      </c>
      <c r="I1220">
        <f>_xlfn.XLOOKUP(Grammys[[#This Row],[date]], mobile_visits[date], mobile_visits[mobile_visitors], 0)</f>
        <v>0</v>
      </c>
    </row>
    <row r="1221" spans="1:9" x14ac:dyDescent="0.2">
      <c r="A1221" s="1">
        <v>43955</v>
      </c>
      <c r="B1221">
        <v>18477</v>
      </c>
      <c r="C1221">
        <v>23477</v>
      </c>
      <c r="D1221">
        <v>19831</v>
      </c>
      <c r="E1221">
        <v>7814</v>
      </c>
      <c r="F1221">
        <v>100</v>
      </c>
      <c r="G1221" t="s">
        <v>20</v>
      </c>
      <c r="H1221" t="str">
        <f>IF(Grammys[[#This Row],[date]] &gt;= DATE(2022, 2, 1), "Grammys", "Grammys + TRA")</f>
        <v>Grammys + TRA</v>
      </c>
      <c r="I1221">
        <f>_xlfn.XLOOKUP(Grammys[[#This Row],[date]], mobile_visits[date], mobile_visits[mobile_visitors], 0)</f>
        <v>0</v>
      </c>
    </row>
    <row r="1222" spans="1:9" x14ac:dyDescent="0.2">
      <c r="A1222" s="1">
        <v>43956</v>
      </c>
      <c r="B1222">
        <v>20217</v>
      </c>
      <c r="C1222">
        <v>35919</v>
      </c>
      <c r="D1222">
        <v>21935</v>
      </c>
      <c r="E1222">
        <v>9533</v>
      </c>
      <c r="F1222">
        <v>101</v>
      </c>
      <c r="G1222" t="s">
        <v>20</v>
      </c>
      <c r="H1222" t="str">
        <f>IF(Grammys[[#This Row],[date]] &gt;= DATE(2022, 2, 1), "Grammys", "Grammys + TRA")</f>
        <v>Grammys + TRA</v>
      </c>
      <c r="I1222">
        <f>_xlfn.XLOOKUP(Grammys[[#This Row],[date]], mobile_visits[date], mobile_visits[mobile_visitors], 0)</f>
        <v>0</v>
      </c>
    </row>
    <row r="1223" spans="1:9" x14ac:dyDescent="0.2">
      <c r="A1223" s="1">
        <v>43957</v>
      </c>
      <c r="B1223">
        <v>25702</v>
      </c>
      <c r="C1223">
        <v>44704</v>
      </c>
      <c r="D1223">
        <v>27667</v>
      </c>
      <c r="E1223">
        <v>14833</v>
      </c>
      <c r="F1223">
        <v>84</v>
      </c>
      <c r="G1223" t="s">
        <v>20</v>
      </c>
      <c r="H1223" t="str">
        <f>IF(Grammys[[#This Row],[date]] &gt;= DATE(2022, 2, 1), "Grammys", "Grammys + TRA")</f>
        <v>Grammys + TRA</v>
      </c>
      <c r="I1223">
        <f>_xlfn.XLOOKUP(Grammys[[#This Row],[date]], mobile_visits[date], mobile_visits[mobile_visitors], 0)</f>
        <v>0</v>
      </c>
    </row>
    <row r="1224" spans="1:9" x14ac:dyDescent="0.2">
      <c r="A1224" s="1">
        <v>43958</v>
      </c>
      <c r="B1224">
        <v>22901</v>
      </c>
      <c r="C1224">
        <v>41383</v>
      </c>
      <c r="D1224">
        <v>24346</v>
      </c>
      <c r="E1224">
        <v>11964</v>
      </c>
      <c r="F1224">
        <v>94</v>
      </c>
      <c r="G1224" t="s">
        <v>20</v>
      </c>
      <c r="H1224" t="str">
        <f>IF(Grammys[[#This Row],[date]] &gt;= DATE(2022, 2, 1), "Grammys", "Grammys + TRA")</f>
        <v>Grammys + TRA</v>
      </c>
      <c r="I1224">
        <f>_xlfn.XLOOKUP(Grammys[[#This Row],[date]], mobile_visits[date], mobile_visits[mobile_visitors], 0)</f>
        <v>0</v>
      </c>
    </row>
    <row r="1225" spans="1:9" x14ac:dyDescent="0.2">
      <c r="A1225" s="1">
        <v>43959</v>
      </c>
      <c r="B1225">
        <v>20690</v>
      </c>
      <c r="C1225">
        <v>37348</v>
      </c>
      <c r="D1225">
        <v>22338</v>
      </c>
      <c r="E1225">
        <v>10535</v>
      </c>
      <c r="F1225">
        <v>103</v>
      </c>
      <c r="G1225" t="s">
        <v>20</v>
      </c>
      <c r="H1225" t="str">
        <f>IF(Grammys[[#This Row],[date]] &gt;= DATE(2022, 2, 1), "Grammys", "Grammys + TRA")</f>
        <v>Grammys + TRA</v>
      </c>
      <c r="I1225">
        <f>_xlfn.XLOOKUP(Grammys[[#This Row],[date]], mobile_visits[date], mobile_visits[mobile_visitors], 0)</f>
        <v>0</v>
      </c>
    </row>
    <row r="1226" spans="1:9" x14ac:dyDescent="0.2">
      <c r="A1226" s="1">
        <v>43960</v>
      </c>
      <c r="B1226">
        <v>20417</v>
      </c>
      <c r="C1226">
        <v>36676</v>
      </c>
      <c r="D1226">
        <v>21986</v>
      </c>
      <c r="E1226">
        <v>9980</v>
      </c>
      <c r="F1226">
        <v>106</v>
      </c>
      <c r="G1226" t="s">
        <v>20</v>
      </c>
      <c r="H1226" t="str">
        <f>IF(Grammys[[#This Row],[date]] &gt;= DATE(2022, 2, 1), "Grammys", "Grammys + TRA")</f>
        <v>Grammys + TRA</v>
      </c>
      <c r="I1226">
        <f>_xlfn.XLOOKUP(Grammys[[#This Row],[date]], mobile_visits[date], mobile_visits[mobile_visitors], 0)</f>
        <v>0</v>
      </c>
    </row>
    <row r="1227" spans="1:9" x14ac:dyDescent="0.2">
      <c r="A1227" s="1">
        <v>43961</v>
      </c>
      <c r="B1227">
        <v>18201</v>
      </c>
      <c r="C1227">
        <v>33186</v>
      </c>
      <c r="D1227">
        <v>19446</v>
      </c>
      <c r="E1227">
        <v>9360</v>
      </c>
      <c r="F1227">
        <v>94</v>
      </c>
      <c r="G1227" t="s">
        <v>20</v>
      </c>
      <c r="H1227" t="str">
        <f>IF(Grammys[[#This Row],[date]] &gt;= DATE(2022, 2, 1), "Grammys", "Grammys + TRA")</f>
        <v>Grammys + TRA</v>
      </c>
      <c r="I1227">
        <f>_xlfn.XLOOKUP(Grammys[[#This Row],[date]], mobile_visits[date], mobile_visits[mobile_visitors], 0)</f>
        <v>0</v>
      </c>
    </row>
    <row r="1228" spans="1:9" x14ac:dyDescent="0.2">
      <c r="A1228" s="1">
        <v>43962</v>
      </c>
      <c r="B1228">
        <v>18382</v>
      </c>
      <c r="C1228">
        <v>33614</v>
      </c>
      <c r="D1228">
        <v>19754</v>
      </c>
      <c r="E1228">
        <v>9546</v>
      </c>
      <c r="F1228">
        <v>98</v>
      </c>
      <c r="G1228" t="s">
        <v>20</v>
      </c>
      <c r="H1228" t="str">
        <f>IF(Grammys[[#This Row],[date]] &gt;= DATE(2022, 2, 1), "Grammys", "Grammys + TRA")</f>
        <v>Grammys + TRA</v>
      </c>
      <c r="I1228">
        <f>_xlfn.XLOOKUP(Grammys[[#This Row],[date]], mobile_visits[date], mobile_visits[mobile_visitors], 0)</f>
        <v>0</v>
      </c>
    </row>
    <row r="1229" spans="1:9" x14ac:dyDescent="0.2">
      <c r="A1229" s="1">
        <v>43963</v>
      </c>
      <c r="B1229">
        <v>17456</v>
      </c>
      <c r="C1229">
        <v>32518</v>
      </c>
      <c r="D1229">
        <v>18748</v>
      </c>
      <c r="E1229">
        <v>8827</v>
      </c>
      <c r="F1229">
        <v>95</v>
      </c>
      <c r="G1229" t="s">
        <v>20</v>
      </c>
      <c r="H1229" t="str">
        <f>IF(Grammys[[#This Row],[date]] &gt;= DATE(2022, 2, 1), "Grammys", "Grammys + TRA")</f>
        <v>Grammys + TRA</v>
      </c>
      <c r="I1229">
        <f>_xlfn.XLOOKUP(Grammys[[#This Row],[date]], mobile_visits[date], mobile_visits[mobile_visitors], 0)</f>
        <v>0</v>
      </c>
    </row>
    <row r="1230" spans="1:9" x14ac:dyDescent="0.2">
      <c r="A1230" s="1">
        <v>43964</v>
      </c>
      <c r="B1230">
        <v>18307</v>
      </c>
      <c r="C1230">
        <v>34197</v>
      </c>
      <c r="D1230">
        <v>19862</v>
      </c>
      <c r="E1230">
        <v>8891</v>
      </c>
      <c r="F1230">
        <v>99</v>
      </c>
      <c r="G1230" t="s">
        <v>20</v>
      </c>
      <c r="H1230" t="str">
        <f>IF(Grammys[[#This Row],[date]] &gt;= DATE(2022, 2, 1), "Grammys", "Grammys + TRA")</f>
        <v>Grammys + TRA</v>
      </c>
      <c r="I1230">
        <f>_xlfn.XLOOKUP(Grammys[[#This Row],[date]], mobile_visits[date], mobile_visits[mobile_visitors], 0)</f>
        <v>0</v>
      </c>
    </row>
    <row r="1231" spans="1:9" x14ac:dyDescent="0.2">
      <c r="A1231" s="1">
        <v>43965</v>
      </c>
      <c r="B1231">
        <v>23339</v>
      </c>
      <c r="C1231">
        <v>39684</v>
      </c>
      <c r="D1231">
        <v>24683</v>
      </c>
      <c r="E1231">
        <v>10886</v>
      </c>
      <c r="F1231">
        <v>85</v>
      </c>
      <c r="G1231" t="s">
        <v>20</v>
      </c>
      <c r="H1231" t="str">
        <f>IF(Grammys[[#This Row],[date]] &gt;= DATE(2022, 2, 1), "Grammys", "Grammys + TRA")</f>
        <v>Grammys + TRA</v>
      </c>
      <c r="I1231">
        <f>_xlfn.XLOOKUP(Grammys[[#This Row],[date]], mobile_visits[date], mobile_visits[mobile_visitors], 0)</f>
        <v>0</v>
      </c>
    </row>
    <row r="1232" spans="1:9" x14ac:dyDescent="0.2">
      <c r="A1232" s="1">
        <v>43966</v>
      </c>
      <c r="B1232">
        <v>24307</v>
      </c>
      <c r="C1232">
        <v>40751</v>
      </c>
      <c r="D1232">
        <v>25877</v>
      </c>
      <c r="E1232">
        <v>10988</v>
      </c>
      <c r="F1232">
        <v>78</v>
      </c>
      <c r="G1232" t="s">
        <v>20</v>
      </c>
      <c r="H1232" t="str">
        <f>IF(Grammys[[#This Row],[date]] &gt;= DATE(2022, 2, 1), "Grammys", "Grammys + TRA")</f>
        <v>Grammys + TRA</v>
      </c>
      <c r="I1232">
        <f>_xlfn.XLOOKUP(Grammys[[#This Row],[date]], mobile_visits[date], mobile_visits[mobile_visitors], 0)</f>
        <v>0</v>
      </c>
    </row>
    <row r="1233" spans="1:9" x14ac:dyDescent="0.2">
      <c r="A1233" s="1">
        <v>43967</v>
      </c>
      <c r="B1233">
        <v>22974</v>
      </c>
      <c r="C1233">
        <v>37936</v>
      </c>
      <c r="D1233">
        <v>24286</v>
      </c>
      <c r="E1233">
        <v>10477</v>
      </c>
      <c r="F1233">
        <v>77</v>
      </c>
      <c r="G1233" t="s">
        <v>20</v>
      </c>
      <c r="H1233" t="str">
        <f>IF(Grammys[[#This Row],[date]] &gt;= DATE(2022, 2, 1), "Grammys", "Grammys + TRA")</f>
        <v>Grammys + TRA</v>
      </c>
      <c r="I1233">
        <f>_xlfn.XLOOKUP(Grammys[[#This Row],[date]], mobile_visits[date], mobile_visits[mobile_visitors], 0)</f>
        <v>0</v>
      </c>
    </row>
    <row r="1234" spans="1:9" x14ac:dyDescent="0.2">
      <c r="A1234" s="1">
        <v>43968</v>
      </c>
      <c r="B1234">
        <v>19652</v>
      </c>
      <c r="C1234">
        <v>33729</v>
      </c>
      <c r="D1234">
        <v>20745</v>
      </c>
      <c r="E1234">
        <v>8906</v>
      </c>
      <c r="F1234">
        <v>86</v>
      </c>
      <c r="G1234" t="s">
        <v>20</v>
      </c>
      <c r="H1234" t="str">
        <f>IF(Grammys[[#This Row],[date]] &gt;= DATE(2022, 2, 1), "Grammys", "Grammys + TRA")</f>
        <v>Grammys + TRA</v>
      </c>
      <c r="I1234">
        <f>_xlfn.XLOOKUP(Grammys[[#This Row],[date]], mobile_visits[date], mobile_visits[mobile_visitors], 0)</f>
        <v>0</v>
      </c>
    </row>
    <row r="1235" spans="1:9" x14ac:dyDescent="0.2">
      <c r="A1235" s="1">
        <v>43969</v>
      </c>
      <c r="B1235">
        <v>17842</v>
      </c>
      <c r="C1235">
        <v>32873</v>
      </c>
      <c r="D1235">
        <v>19081</v>
      </c>
      <c r="E1235">
        <v>8961</v>
      </c>
      <c r="F1235">
        <v>93</v>
      </c>
      <c r="G1235" t="s">
        <v>20</v>
      </c>
      <c r="H1235" t="str">
        <f>IF(Grammys[[#This Row],[date]] &gt;= DATE(2022, 2, 1), "Grammys", "Grammys + TRA")</f>
        <v>Grammys + TRA</v>
      </c>
      <c r="I1235">
        <f>_xlfn.XLOOKUP(Grammys[[#This Row],[date]], mobile_visits[date], mobile_visits[mobile_visitors], 0)</f>
        <v>0</v>
      </c>
    </row>
    <row r="1236" spans="1:9" x14ac:dyDescent="0.2">
      <c r="A1236" s="1">
        <v>43970</v>
      </c>
      <c r="B1236">
        <v>17582</v>
      </c>
      <c r="C1236">
        <v>32037</v>
      </c>
      <c r="D1236">
        <v>18723</v>
      </c>
      <c r="E1236">
        <v>8855</v>
      </c>
      <c r="F1236">
        <v>88</v>
      </c>
      <c r="G1236" t="s">
        <v>20</v>
      </c>
      <c r="H1236" t="str">
        <f>IF(Grammys[[#This Row],[date]] &gt;= DATE(2022, 2, 1), "Grammys", "Grammys + TRA")</f>
        <v>Grammys + TRA</v>
      </c>
      <c r="I1236">
        <f>_xlfn.XLOOKUP(Grammys[[#This Row],[date]], mobile_visits[date], mobile_visits[mobile_visitors], 0)</f>
        <v>0</v>
      </c>
    </row>
    <row r="1237" spans="1:9" x14ac:dyDescent="0.2">
      <c r="A1237" s="1">
        <v>43971</v>
      </c>
      <c r="B1237">
        <v>18808</v>
      </c>
      <c r="C1237">
        <v>34488</v>
      </c>
      <c r="D1237">
        <v>20236</v>
      </c>
      <c r="E1237">
        <v>9522</v>
      </c>
      <c r="F1237">
        <v>93</v>
      </c>
      <c r="G1237" t="s">
        <v>20</v>
      </c>
      <c r="H1237" t="str">
        <f>IF(Grammys[[#This Row],[date]] &gt;= DATE(2022, 2, 1), "Grammys", "Grammys + TRA")</f>
        <v>Grammys + TRA</v>
      </c>
      <c r="I1237">
        <f>_xlfn.XLOOKUP(Grammys[[#This Row],[date]], mobile_visits[date], mobile_visits[mobile_visitors], 0)</f>
        <v>0</v>
      </c>
    </row>
    <row r="1238" spans="1:9" x14ac:dyDescent="0.2">
      <c r="A1238" s="1">
        <v>43972</v>
      </c>
      <c r="B1238">
        <v>19197</v>
      </c>
      <c r="C1238">
        <v>34716</v>
      </c>
      <c r="D1238">
        <v>20620</v>
      </c>
      <c r="E1238">
        <v>9877</v>
      </c>
      <c r="F1238">
        <v>86</v>
      </c>
      <c r="G1238" t="s">
        <v>20</v>
      </c>
      <c r="H1238" t="str">
        <f>IF(Grammys[[#This Row],[date]] &gt;= DATE(2022, 2, 1), "Grammys", "Grammys + TRA")</f>
        <v>Grammys + TRA</v>
      </c>
      <c r="I1238">
        <f>_xlfn.XLOOKUP(Grammys[[#This Row],[date]], mobile_visits[date], mobile_visits[mobile_visitors], 0)</f>
        <v>0</v>
      </c>
    </row>
    <row r="1239" spans="1:9" x14ac:dyDescent="0.2">
      <c r="A1239" s="1">
        <v>43973</v>
      </c>
      <c r="B1239">
        <v>18912</v>
      </c>
      <c r="C1239">
        <v>33561</v>
      </c>
      <c r="D1239">
        <v>20010</v>
      </c>
      <c r="E1239">
        <v>9487</v>
      </c>
      <c r="F1239">
        <v>84</v>
      </c>
      <c r="G1239" t="s">
        <v>20</v>
      </c>
      <c r="H1239" t="str">
        <f>IF(Grammys[[#This Row],[date]] &gt;= DATE(2022, 2, 1), "Grammys", "Grammys + TRA")</f>
        <v>Grammys + TRA</v>
      </c>
      <c r="I1239">
        <f>_xlfn.XLOOKUP(Grammys[[#This Row],[date]], mobile_visits[date], mobile_visits[mobile_visitors], 0)</f>
        <v>0</v>
      </c>
    </row>
    <row r="1240" spans="1:9" x14ac:dyDescent="0.2">
      <c r="A1240" s="1">
        <v>43974</v>
      </c>
      <c r="B1240">
        <v>16808</v>
      </c>
      <c r="C1240">
        <v>30077</v>
      </c>
      <c r="D1240">
        <v>17918</v>
      </c>
      <c r="E1240">
        <v>8340</v>
      </c>
      <c r="F1240">
        <v>84</v>
      </c>
      <c r="G1240" t="s">
        <v>20</v>
      </c>
      <c r="H1240" t="str">
        <f>IF(Grammys[[#This Row],[date]] &gt;= DATE(2022, 2, 1), "Grammys", "Grammys + TRA")</f>
        <v>Grammys + TRA</v>
      </c>
      <c r="I1240">
        <f>_xlfn.XLOOKUP(Grammys[[#This Row],[date]], mobile_visits[date], mobile_visits[mobile_visitors], 0)</f>
        <v>0</v>
      </c>
    </row>
    <row r="1241" spans="1:9" x14ac:dyDescent="0.2">
      <c r="A1241" s="1">
        <v>43975</v>
      </c>
      <c r="B1241">
        <v>16070</v>
      </c>
      <c r="C1241">
        <v>28483</v>
      </c>
      <c r="D1241">
        <v>16947</v>
      </c>
      <c r="E1241">
        <v>7859</v>
      </c>
      <c r="F1241">
        <v>85</v>
      </c>
      <c r="G1241" t="s">
        <v>20</v>
      </c>
      <c r="H1241" t="str">
        <f>IF(Grammys[[#This Row],[date]] &gt;= DATE(2022, 2, 1), "Grammys", "Grammys + TRA")</f>
        <v>Grammys + TRA</v>
      </c>
      <c r="I1241">
        <f>_xlfn.XLOOKUP(Grammys[[#This Row],[date]], mobile_visits[date], mobile_visits[mobile_visitors], 0)</f>
        <v>0</v>
      </c>
    </row>
    <row r="1242" spans="1:9" x14ac:dyDescent="0.2">
      <c r="A1242" s="1">
        <v>43976</v>
      </c>
      <c r="B1242">
        <v>16047</v>
      </c>
      <c r="C1242">
        <v>29415</v>
      </c>
      <c r="D1242">
        <v>17177</v>
      </c>
      <c r="E1242">
        <v>7792</v>
      </c>
      <c r="F1242">
        <v>92</v>
      </c>
      <c r="G1242" t="s">
        <v>20</v>
      </c>
      <c r="H1242" t="str">
        <f>IF(Grammys[[#This Row],[date]] &gt;= DATE(2022, 2, 1), "Grammys", "Grammys + TRA")</f>
        <v>Grammys + TRA</v>
      </c>
      <c r="I1242">
        <f>_xlfn.XLOOKUP(Grammys[[#This Row],[date]], mobile_visits[date], mobile_visits[mobile_visitors], 0)</f>
        <v>0</v>
      </c>
    </row>
    <row r="1243" spans="1:9" x14ac:dyDescent="0.2">
      <c r="A1243" s="1">
        <v>43977</v>
      </c>
      <c r="B1243">
        <v>26587</v>
      </c>
      <c r="C1243">
        <v>48552</v>
      </c>
      <c r="D1243">
        <v>28423</v>
      </c>
      <c r="E1243">
        <v>12160</v>
      </c>
      <c r="F1243">
        <v>106</v>
      </c>
      <c r="G1243" t="s">
        <v>20</v>
      </c>
      <c r="H1243" t="str">
        <f>IF(Grammys[[#This Row],[date]] &gt;= DATE(2022, 2, 1), "Grammys", "Grammys + TRA")</f>
        <v>Grammys + TRA</v>
      </c>
      <c r="I1243">
        <f>_xlfn.XLOOKUP(Grammys[[#This Row],[date]], mobile_visits[date], mobile_visits[mobile_visitors], 0)</f>
        <v>0</v>
      </c>
    </row>
    <row r="1244" spans="1:9" x14ac:dyDescent="0.2">
      <c r="A1244" s="1">
        <v>43978</v>
      </c>
      <c r="B1244">
        <v>27123</v>
      </c>
      <c r="C1244">
        <v>44770</v>
      </c>
      <c r="D1244">
        <v>29156</v>
      </c>
      <c r="E1244">
        <v>14054</v>
      </c>
      <c r="F1244">
        <v>102</v>
      </c>
      <c r="G1244" t="s">
        <v>20</v>
      </c>
      <c r="H1244" t="str">
        <f>IF(Grammys[[#This Row],[date]] &gt;= DATE(2022, 2, 1), "Grammys", "Grammys + TRA")</f>
        <v>Grammys + TRA</v>
      </c>
      <c r="I1244">
        <f>_xlfn.XLOOKUP(Grammys[[#This Row],[date]], mobile_visits[date], mobile_visits[mobile_visitors], 0)</f>
        <v>0</v>
      </c>
    </row>
    <row r="1245" spans="1:9" x14ac:dyDescent="0.2">
      <c r="A1245" s="1">
        <v>43979</v>
      </c>
      <c r="B1245">
        <v>20603</v>
      </c>
      <c r="C1245">
        <v>35983</v>
      </c>
      <c r="D1245">
        <v>22404</v>
      </c>
      <c r="E1245">
        <v>10795</v>
      </c>
      <c r="F1245">
        <v>90</v>
      </c>
      <c r="G1245" t="s">
        <v>20</v>
      </c>
      <c r="H1245" t="str">
        <f>IF(Grammys[[#This Row],[date]] &gt;= DATE(2022, 2, 1), "Grammys", "Grammys + TRA")</f>
        <v>Grammys + TRA</v>
      </c>
      <c r="I1245">
        <f>_xlfn.XLOOKUP(Grammys[[#This Row],[date]], mobile_visits[date], mobile_visits[mobile_visitors], 0)</f>
        <v>0</v>
      </c>
    </row>
    <row r="1246" spans="1:9" x14ac:dyDescent="0.2">
      <c r="A1246" s="1">
        <v>43980</v>
      </c>
      <c r="B1246">
        <v>21668</v>
      </c>
      <c r="C1246">
        <v>37088</v>
      </c>
      <c r="D1246">
        <v>23274</v>
      </c>
      <c r="E1246">
        <v>9464</v>
      </c>
      <c r="F1246">
        <v>117</v>
      </c>
      <c r="G1246" t="s">
        <v>20</v>
      </c>
      <c r="H1246" t="str">
        <f>IF(Grammys[[#This Row],[date]] &gt;= DATE(2022, 2, 1), "Grammys", "Grammys + TRA")</f>
        <v>Grammys + TRA</v>
      </c>
      <c r="I1246">
        <f>_xlfn.XLOOKUP(Grammys[[#This Row],[date]], mobile_visits[date], mobile_visits[mobile_visitors], 0)</f>
        <v>0</v>
      </c>
    </row>
    <row r="1247" spans="1:9" x14ac:dyDescent="0.2">
      <c r="A1247" s="1">
        <v>43981</v>
      </c>
      <c r="B1247">
        <v>21981</v>
      </c>
      <c r="C1247">
        <v>35284</v>
      </c>
      <c r="D1247">
        <v>23259</v>
      </c>
      <c r="E1247">
        <v>9860</v>
      </c>
      <c r="F1247">
        <v>102</v>
      </c>
      <c r="G1247" t="s">
        <v>20</v>
      </c>
      <c r="H1247" t="str">
        <f>IF(Grammys[[#This Row],[date]] &gt;= DATE(2022, 2, 1), "Grammys", "Grammys + TRA")</f>
        <v>Grammys + TRA</v>
      </c>
      <c r="I1247">
        <f>_xlfn.XLOOKUP(Grammys[[#This Row],[date]], mobile_visits[date], mobile_visits[mobile_visitors], 0)</f>
        <v>0</v>
      </c>
    </row>
    <row r="1248" spans="1:9" x14ac:dyDescent="0.2">
      <c r="A1248" s="1">
        <v>43982</v>
      </c>
      <c r="B1248">
        <v>17602</v>
      </c>
      <c r="C1248">
        <v>29880</v>
      </c>
      <c r="D1248">
        <v>18760</v>
      </c>
      <c r="E1248">
        <v>7996</v>
      </c>
      <c r="F1248">
        <v>93</v>
      </c>
      <c r="G1248" t="s">
        <v>20</v>
      </c>
      <c r="H1248" t="str">
        <f>IF(Grammys[[#This Row],[date]] &gt;= DATE(2022, 2, 1), "Grammys", "Grammys + TRA")</f>
        <v>Grammys + TRA</v>
      </c>
      <c r="I1248">
        <f>_xlfn.XLOOKUP(Grammys[[#This Row],[date]], mobile_visits[date], mobile_visits[mobile_visitors], 0)</f>
        <v>0</v>
      </c>
    </row>
    <row r="1249" spans="1:9" x14ac:dyDescent="0.2">
      <c r="A1249" s="1">
        <v>43983</v>
      </c>
      <c r="B1249">
        <v>15862</v>
      </c>
      <c r="C1249">
        <v>28598</v>
      </c>
      <c r="D1249">
        <v>17168</v>
      </c>
      <c r="E1249">
        <v>8114</v>
      </c>
      <c r="F1249">
        <v>91</v>
      </c>
      <c r="G1249" t="s">
        <v>20</v>
      </c>
      <c r="H1249" t="str">
        <f>IF(Grammys[[#This Row],[date]] &gt;= DATE(2022, 2, 1), "Grammys", "Grammys + TRA")</f>
        <v>Grammys + TRA</v>
      </c>
      <c r="I1249">
        <f>_xlfn.XLOOKUP(Grammys[[#This Row],[date]], mobile_visits[date], mobile_visits[mobile_visitors], 0)</f>
        <v>0</v>
      </c>
    </row>
    <row r="1250" spans="1:9" x14ac:dyDescent="0.2">
      <c r="A1250" s="1">
        <v>43984</v>
      </c>
      <c r="B1250">
        <v>13375</v>
      </c>
      <c r="C1250">
        <v>23992</v>
      </c>
      <c r="D1250">
        <v>14175</v>
      </c>
      <c r="E1250">
        <v>6579</v>
      </c>
      <c r="F1250">
        <v>91</v>
      </c>
      <c r="G1250" t="s">
        <v>20</v>
      </c>
      <c r="H1250" t="str">
        <f>IF(Grammys[[#This Row],[date]] &gt;= DATE(2022, 2, 1), "Grammys", "Grammys + TRA")</f>
        <v>Grammys + TRA</v>
      </c>
      <c r="I1250">
        <f>_xlfn.XLOOKUP(Grammys[[#This Row],[date]], mobile_visits[date], mobile_visits[mobile_visitors], 0)</f>
        <v>0</v>
      </c>
    </row>
    <row r="1251" spans="1:9" x14ac:dyDescent="0.2">
      <c r="A1251" s="1">
        <v>43985</v>
      </c>
      <c r="B1251">
        <v>13735</v>
      </c>
      <c r="C1251">
        <v>26006</v>
      </c>
      <c r="D1251">
        <v>14885</v>
      </c>
      <c r="E1251">
        <v>6606</v>
      </c>
      <c r="F1251">
        <v>95</v>
      </c>
      <c r="G1251" t="s">
        <v>20</v>
      </c>
      <c r="H1251" t="str">
        <f>IF(Grammys[[#This Row],[date]] &gt;= DATE(2022, 2, 1), "Grammys", "Grammys + TRA")</f>
        <v>Grammys + TRA</v>
      </c>
      <c r="I1251">
        <f>_xlfn.XLOOKUP(Grammys[[#This Row],[date]], mobile_visits[date], mobile_visits[mobile_visitors], 0)</f>
        <v>0</v>
      </c>
    </row>
    <row r="1252" spans="1:9" x14ac:dyDescent="0.2">
      <c r="A1252" s="1">
        <v>43986</v>
      </c>
      <c r="B1252">
        <v>27496</v>
      </c>
      <c r="C1252">
        <v>45073</v>
      </c>
      <c r="D1252">
        <v>29073</v>
      </c>
      <c r="E1252">
        <v>11653</v>
      </c>
      <c r="F1252">
        <v>85</v>
      </c>
      <c r="G1252" t="s">
        <v>20</v>
      </c>
      <c r="H1252" t="str">
        <f>IF(Grammys[[#This Row],[date]] &gt;= DATE(2022, 2, 1), "Grammys", "Grammys + TRA")</f>
        <v>Grammys + TRA</v>
      </c>
      <c r="I1252">
        <f>_xlfn.XLOOKUP(Grammys[[#This Row],[date]], mobile_visits[date], mobile_visits[mobile_visitors], 0)</f>
        <v>0</v>
      </c>
    </row>
    <row r="1253" spans="1:9" x14ac:dyDescent="0.2">
      <c r="A1253" s="1">
        <v>43987</v>
      </c>
      <c r="B1253">
        <v>48315</v>
      </c>
      <c r="C1253">
        <v>84975</v>
      </c>
      <c r="D1253">
        <v>61681</v>
      </c>
      <c r="E1253">
        <v>32944</v>
      </c>
      <c r="F1253">
        <v>119</v>
      </c>
      <c r="G1253" t="s">
        <v>20</v>
      </c>
      <c r="H1253" t="str">
        <f>IF(Grammys[[#This Row],[date]] &gt;= DATE(2022, 2, 1), "Grammys", "Grammys + TRA")</f>
        <v>Grammys + TRA</v>
      </c>
      <c r="I1253">
        <f>_xlfn.XLOOKUP(Grammys[[#This Row],[date]], mobile_visits[date], mobile_visits[mobile_visitors], 0)</f>
        <v>0</v>
      </c>
    </row>
    <row r="1254" spans="1:9" x14ac:dyDescent="0.2">
      <c r="A1254" s="1">
        <v>43988</v>
      </c>
      <c r="B1254">
        <v>21293</v>
      </c>
      <c r="C1254">
        <v>34355</v>
      </c>
      <c r="D1254">
        <v>22312</v>
      </c>
      <c r="E1254">
        <v>8035</v>
      </c>
      <c r="F1254">
        <v>76</v>
      </c>
      <c r="G1254" t="s">
        <v>20</v>
      </c>
      <c r="H1254" t="str">
        <f>IF(Grammys[[#This Row],[date]] &gt;= DATE(2022, 2, 1), "Grammys", "Grammys + TRA")</f>
        <v>Grammys + TRA</v>
      </c>
      <c r="I1254">
        <f>_xlfn.XLOOKUP(Grammys[[#This Row],[date]], mobile_visits[date], mobile_visits[mobile_visitors], 0)</f>
        <v>0</v>
      </c>
    </row>
    <row r="1255" spans="1:9" x14ac:dyDescent="0.2">
      <c r="A1255" s="1">
        <v>43989</v>
      </c>
      <c r="B1255">
        <v>16361</v>
      </c>
      <c r="C1255">
        <v>28845</v>
      </c>
      <c r="D1255">
        <v>17410</v>
      </c>
      <c r="E1255">
        <v>7710</v>
      </c>
      <c r="F1255">
        <v>85</v>
      </c>
      <c r="G1255" t="s">
        <v>20</v>
      </c>
      <c r="H1255" t="str">
        <f>IF(Grammys[[#This Row],[date]] &gt;= DATE(2022, 2, 1), "Grammys", "Grammys + TRA")</f>
        <v>Grammys + TRA</v>
      </c>
      <c r="I1255">
        <f>_xlfn.XLOOKUP(Grammys[[#This Row],[date]], mobile_visits[date], mobile_visits[mobile_visitors], 0)</f>
        <v>0</v>
      </c>
    </row>
    <row r="1256" spans="1:9" x14ac:dyDescent="0.2">
      <c r="A1256" s="1">
        <v>43990</v>
      </c>
      <c r="B1256">
        <v>19655</v>
      </c>
      <c r="C1256">
        <v>34801</v>
      </c>
      <c r="D1256">
        <v>20928</v>
      </c>
      <c r="E1256">
        <v>8930</v>
      </c>
      <c r="F1256">
        <v>88</v>
      </c>
      <c r="G1256" t="s">
        <v>20</v>
      </c>
      <c r="H1256" t="str">
        <f>IF(Grammys[[#This Row],[date]] &gt;= DATE(2022, 2, 1), "Grammys", "Grammys + TRA")</f>
        <v>Grammys + TRA</v>
      </c>
      <c r="I1256">
        <f>_xlfn.XLOOKUP(Grammys[[#This Row],[date]], mobile_visits[date], mobile_visits[mobile_visitors], 0)</f>
        <v>0</v>
      </c>
    </row>
    <row r="1257" spans="1:9" x14ac:dyDescent="0.2">
      <c r="A1257" s="1">
        <v>43991</v>
      </c>
      <c r="B1257">
        <v>23422</v>
      </c>
      <c r="C1257">
        <v>41381</v>
      </c>
      <c r="D1257">
        <v>25258</v>
      </c>
      <c r="E1257">
        <v>11857</v>
      </c>
      <c r="F1257">
        <v>88</v>
      </c>
      <c r="G1257" t="s">
        <v>20</v>
      </c>
      <c r="H1257" t="str">
        <f>IF(Grammys[[#This Row],[date]] &gt;= DATE(2022, 2, 1), "Grammys", "Grammys + TRA")</f>
        <v>Grammys + TRA</v>
      </c>
      <c r="I1257">
        <f>_xlfn.XLOOKUP(Grammys[[#This Row],[date]], mobile_visits[date], mobile_visits[mobile_visitors], 0)</f>
        <v>0</v>
      </c>
    </row>
    <row r="1258" spans="1:9" x14ac:dyDescent="0.2">
      <c r="A1258" s="1">
        <v>43992</v>
      </c>
      <c r="B1258">
        <v>29706</v>
      </c>
      <c r="C1258">
        <v>53417</v>
      </c>
      <c r="D1258">
        <v>32190</v>
      </c>
      <c r="E1258">
        <v>13485</v>
      </c>
      <c r="F1258">
        <v>91</v>
      </c>
      <c r="G1258" t="s">
        <v>20</v>
      </c>
      <c r="H1258" t="str">
        <f>IF(Grammys[[#This Row],[date]] &gt;= DATE(2022, 2, 1), "Grammys", "Grammys + TRA")</f>
        <v>Grammys + TRA</v>
      </c>
      <c r="I1258">
        <f>_xlfn.XLOOKUP(Grammys[[#This Row],[date]], mobile_visits[date], mobile_visits[mobile_visitors], 0)</f>
        <v>0</v>
      </c>
    </row>
    <row r="1259" spans="1:9" x14ac:dyDescent="0.2">
      <c r="A1259" s="1">
        <v>43993</v>
      </c>
      <c r="B1259">
        <v>24169</v>
      </c>
      <c r="C1259">
        <v>43314</v>
      </c>
      <c r="D1259">
        <v>25810</v>
      </c>
      <c r="E1259">
        <v>10792</v>
      </c>
      <c r="F1259">
        <v>88</v>
      </c>
      <c r="G1259" t="s">
        <v>20</v>
      </c>
      <c r="H1259" t="str">
        <f>IF(Grammys[[#This Row],[date]] &gt;= DATE(2022, 2, 1), "Grammys", "Grammys + TRA")</f>
        <v>Grammys + TRA</v>
      </c>
      <c r="I1259">
        <f>_xlfn.XLOOKUP(Grammys[[#This Row],[date]], mobile_visits[date], mobile_visits[mobile_visitors], 0)</f>
        <v>0</v>
      </c>
    </row>
    <row r="1260" spans="1:9" x14ac:dyDescent="0.2">
      <c r="A1260" s="1">
        <v>43994</v>
      </c>
      <c r="B1260">
        <v>21841</v>
      </c>
      <c r="C1260">
        <v>37740</v>
      </c>
      <c r="D1260">
        <v>23290</v>
      </c>
      <c r="E1260">
        <v>10306</v>
      </c>
      <c r="F1260">
        <v>79</v>
      </c>
      <c r="G1260" t="s">
        <v>20</v>
      </c>
      <c r="H1260" t="str">
        <f>IF(Grammys[[#This Row],[date]] &gt;= DATE(2022, 2, 1), "Grammys", "Grammys + TRA")</f>
        <v>Grammys + TRA</v>
      </c>
      <c r="I1260">
        <f>_xlfn.XLOOKUP(Grammys[[#This Row],[date]], mobile_visits[date], mobile_visits[mobile_visitors], 0)</f>
        <v>0</v>
      </c>
    </row>
    <row r="1261" spans="1:9" x14ac:dyDescent="0.2">
      <c r="A1261" s="1">
        <v>43995</v>
      </c>
      <c r="B1261">
        <v>18297</v>
      </c>
      <c r="C1261">
        <v>31078</v>
      </c>
      <c r="D1261">
        <v>19471</v>
      </c>
      <c r="E1261">
        <v>8648</v>
      </c>
      <c r="F1261">
        <v>76</v>
      </c>
      <c r="G1261" t="s">
        <v>20</v>
      </c>
      <c r="H1261" t="str">
        <f>IF(Grammys[[#This Row],[date]] &gt;= DATE(2022, 2, 1), "Grammys", "Grammys + TRA")</f>
        <v>Grammys + TRA</v>
      </c>
      <c r="I1261">
        <f>_xlfn.XLOOKUP(Grammys[[#This Row],[date]], mobile_visits[date], mobile_visits[mobile_visitors], 0)</f>
        <v>0</v>
      </c>
    </row>
    <row r="1262" spans="1:9" x14ac:dyDescent="0.2">
      <c r="A1262" s="1">
        <v>43996</v>
      </c>
      <c r="B1262">
        <v>16177</v>
      </c>
      <c r="C1262">
        <v>28864</v>
      </c>
      <c r="D1262">
        <v>17332</v>
      </c>
      <c r="E1262">
        <v>7386</v>
      </c>
      <c r="F1262">
        <v>81</v>
      </c>
      <c r="G1262" t="s">
        <v>20</v>
      </c>
      <c r="H1262" t="str">
        <f>IF(Grammys[[#This Row],[date]] &gt;= DATE(2022, 2, 1), "Grammys", "Grammys + TRA")</f>
        <v>Grammys + TRA</v>
      </c>
      <c r="I1262">
        <f>_xlfn.XLOOKUP(Grammys[[#This Row],[date]], mobile_visits[date], mobile_visits[mobile_visitors], 0)</f>
        <v>0</v>
      </c>
    </row>
    <row r="1263" spans="1:9" x14ac:dyDescent="0.2">
      <c r="A1263" s="1">
        <v>43997</v>
      </c>
      <c r="B1263">
        <v>20985</v>
      </c>
      <c r="C1263">
        <v>38959</v>
      </c>
      <c r="D1263">
        <v>22628</v>
      </c>
      <c r="E1263">
        <v>9764</v>
      </c>
      <c r="F1263">
        <v>88</v>
      </c>
      <c r="G1263" t="s">
        <v>20</v>
      </c>
      <c r="H1263" t="str">
        <f>IF(Grammys[[#This Row],[date]] &gt;= DATE(2022, 2, 1), "Grammys", "Grammys + TRA")</f>
        <v>Grammys + TRA</v>
      </c>
      <c r="I1263">
        <f>_xlfn.XLOOKUP(Grammys[[#This Row],[date]], mobile_visits[date], mobile_visits[mobile_visitors], 0)</f>
        <v>0</v>
      </c>
    </row>
    <row r="1264" spans="1:9" x14ac:dyDescent="0.2">
      <c r="A1264" s="1">
        <v>43998</v>
      </c>
      <c r="B1264">
        <v>21380</v>
      </c>
      <c r="C1264">
        <v>39155</v>
      </c>
      <c r="D1264">
        <v>22994</v>
      </c>
      <c r="E1264">
        <v>10490</v>
      </c>
      <c r="F1264">
        <v>85</v>
      </c>
      <c r="G1264" t="s">
        <v>20</v>
      </c>
      <c r="H1264" t="str">
        <f>IF(Grammys[[#This Row],[date]] &gt;= DATE(2022, 2, 1), "Grammys", "Grammys + TRA")</f>
        <v>Grammys + TRA</v>
      </c>
      <c r="I1264">
        <f>_xlfn.XLOOKUP(Grammys[[#This Row],[date]], mobile_visits[date], mobile_visits[mobile_visitors], 0)</f>
        <v>0</v>
      </c>
    </row>
    <row r="1265" spans="1:9" x14ac:dyDescent="0.2">
      <c r="A1265" s="1">
        <v>43999</v>
      </c>
      <c r="B1265">
        <v>22351</v>
      </c>
      <c r="C1265">
        <v>38691</v>
      </c>
      <c r="D1265">
        <v>24136</v>
      </c>
      <c r="E1265">
        <v>13242</v>
      </c>
      <c r="F1265">
        <v>79</v>
      </c>
      <c r="G1265" t="s">
        <v>20</v>
      </c>
      <c r="H1265" t="str">
        <f>IF(Grammys[[#This Row],[date]] &gt;= DATE(2022, 2, 1), "Grammys", "Grammys + TRA")</f>
        <v>Grammys + TRA</v>
      </c>
      <c r="I1265">
        <f>_xlfn.XLOOKUP(Grammys[[#This Row],[date]], mobile_visits[date], mobile_visits[mobile_visitors], 0)</f>
        <v>0</v>
      </c>
    </row>
    <row r="1266" spans="1:9" x14ac:dyDescent="0.2">
      <c r="A1266" s="1">
        <v>44000</v>
      </c>
      <c r="B1266">
        <v>23241</v>
      </c>
      <c r="C1266">
        <v>40393</v>
      </c>
      <c r="D1266">
        <v>24778</v>
      </c>
      <c r="E1266">
        <v>13113</v>
      </c>
      <c r="F1266">
        <v>77</v>
      </c>
      <c r="G1266" t="s">
        <v>20</v>
      </c>
      <c r="H1266" t="str">
        <f>IF(Grammys[[#This Row],[date]] &gt;= DATE(2022, 2, 1), "Grammys", "Grammys + TRA")</f>
        <v>Grammys + TRA</v>
      </c>
      <c r="I1266">
        <f>_xlfn.XLOOKUP(Grammys[[#This Row],[date]], mobile_visits[date], mobile_visits[mobile_visitors], 0)</f>
        <v>0</v>
      </c>
    </row>
    <row r="1267" spans="1:9" x14ac:dyDescent="0.2">
      <c r="A1267" s="1">
        <v>44001</v>
      </c>
      <c r="B1267">
        <v>23572</v>
      </c>
      <c r="C1267">
        <v>42255</v>
      </c>
      <c r="D1267">
        <v>25011</v>
      </c>
      <c r="E1267">
        <v>12206</v>
      </c>
      <c r="F1267">
        <v>72</v>
      </c>
      <c r="G1267" t="s">
        <v>20</v>
      </c>
      <c r="H1267" t="str">
        <f>IF(Grammys[[#This Row],[date]] &gt;= DATE(2022, 2, 1), "Grammys", "Grammys + TRA")</f>
        <v>Grammys + TRA</v>
      </c>
      <c r="I1267">
        <f>_xlfn.XLOOKUP(Grammys[[#This Row],[date]], mobile_visits[date], mobile_visits[mobile_visitors], 0)</f>
        <v>0</v>
      </c>
    </row>
    <row r="1268" spans="1:9" x14ac:dyDescent="0.2">
      <c r="A1268" s="1">
        <v>44002</v>
      </c>
      <c r="B1268">
        <v>29808</v>
      </c>
      <c r="C1268">
        <v>52223</v>
      </c>
      <c r="D1268">
        <v>31650</v>
      </c>
      <c r="E1268">
        <v>15838</v>
      </c>
      <c r="F1268">
        <v>64</v>
      </c>
      <c r="G1268" t="s">
        <v>20</v>
      </c>
      <c r="H1268" t="str">
        <f>IF(Grammys[[#This Row],[date]] &gt;= DATE(2022, 2, 1), "Grammys", "Grammys + TRA")</f>
        <v>Grammys + TRA</v>
      </c>
      <c r="I1268">
        <f>_xlfn.XLOOKUP(Grammys[[#This Row],[date]], mobile_visits[date], mobile_visits[mobile_visitors], 0)</f>
        <v>0</v>
      </c>
    </row>
    <row r="1269" spans="1:9" x14ac:dyDescent="0.2">
      <c r="A1269" s="1">
        <v>44003</v>
      </c>
      <c r="B1269">
        <v>27455</v>
      </c>
      <c r="C1269">
        <v>47797</v>
      </c>
      <c r="D1269">
        <v>28851</v>
      </c>
      <c r="E1269">
        <v>14363</v>
      </c>
      <c r="F1269">
        <v>65</v>
      </c>
      <c r="G1269" t="s">
        <v>20</v>
      </c>
      <c r="H1269" t="str">
        <f>IF(Grammys[[#This Row],[date]] &gt;= DATE(2022, 2, 1), "Grammys", "Grammys + TRA")</f>
        <v>Grammys + TRA</v>
      </c>
      <c r="I1269">
        <f>_xlfn.XLOOKUP(Grammys[[#This Row],[date]], mobile_visits[date], mobile_visits[mobile_visitors], 0)</f>
        <v>0</v>
      </c>
    </row>
    <row r="1270" spans="1:9" x14ac:dyDescent="0.2">
      <c r="A1270" s="1">
        <v>44004</v>
      </c>
      <c r="B1270">
        <v>28339</v>
      </c>
      <c r="C1270">
        <v>52348</v>
      </c>
      <c r="D1270">
        <v>30352</v>
      </c>
      <c r="E1270">
        <v>14788</v>
      </c>
      <c r="F1270">
        <v>74</v>
      </c>
      <c r="G1270" t="s">
        <v>20</v>
      </c>
      <c r="H1270" t="str">
        <f>IF(Grammys[[#This Row],[date]] &gt;= DATE(2022, 2, 1), "Grammys", "Grammys + TRA")</f>
        <v>Grammys + TRA</v>
      </c>
      <c r="I1270">
        <f>_xlfn.XLOOKUP(Grammys[[#This Row],[date]], mobile_visits[date], mobile_visits[mobile_visitors], 0)</f>
        <v>0</v>
      </c>
    </row>
    <row r="1271" spans="1:9" x14ac:dyDescent="0.2">
      <c r="A1271" s="1">
        <v>44005</v>
      </c>
      <c r="B1271">
        <v>24640</v>
      </c>
      <c r="C1271">
        <v>43860</v>
      </c>
      <c r="D1271">
        <v>26255</v>
      </c>
      <c r="E1271">
        <v>12763</v>
      </c>
      <c r="F1271">
        <v>74</v>
      </c>
      <c r="G1271" t="s">
        <v>20</v>
      </c>
      <c r="H1271" t="str">
        <f>IF(Grammys[[#This Row],[date]] &gt;= DATE(2022, 2, 1), "Grammys", "Grammys + TRA")</f>
        <v>Grammys + TRA</v>
      </c>
      <c r="I1271">
        <f>_xlfn.XLOOKUP(Grammys[[#This Row],[date]], mobile_visits[date], mobile_visits[mobile_visitors], 0)</f>
        <v>0</v>
      </c>
    </row>
    <row r="1272" spans="1:9" x14ac:dyDescent="0.2">
      <c r="A1272" s="1">
        <v>44006</v>
      </c>
      <c r="B1272">
        <v>23164</v>
      </c>
      <c r="C1272">
        <v>40684</v>
      </c>
      <c r="D1272">
        <v>24684</v>
      </c>
      <c r="E1272">
        <v>11656</v>
      </c>
      <c r="F1272">
        <v>84</v>
      </c>
      <c r="G1272" t="s">
        <v>20</v>
      </c>
      <c r="H1272" t="str">
        <f>IF(Grammys[[#This Row],[date]] &gt;= DATE(2022, 2, 1), "Grammys", "Grammys + TRA")</f>
        <v>Grammys + TRA</v>
      </c>
      <c r="I1272">
        <f>_xlfn.XLOOKUP(Grammys[[#This Row],[date]], mobile_visits[date], mobile_visits[mobile_visitors], 0)</f>
        <v>0</v>
      </c>
    </row>
    <row r="1273" spans="1:9" x14ac:dyDescent="0.2">
      <c r="A1273" s="1">
        <v>44007</v>
      </c>
      <c r="B1273">
        <v>20832</v>
      </c>
      <c r="C1273">
        <v>37499</v>
      </c>
      <c r="D1273">
        <v>22355</v>
      </c>
      <c r="E1273">
        <v>10823</v>
      </c>
      <c r="F1273">
        <v>81</v>
      </c>
      <c r="G1273" t="s">
        <v>20</v>
      </c>
      <c r="H1273" t="str">
        <f>IF(Grammys[[#This Row],[date]] &gt;= DATE(2022, 2, 1), "Grammys", "Grammys + TRA")</f>
        <v>Grammys + TRA</v>
      </c>
      <c r="I1273">
        <f>_xlfn.XLOOKUP(Grammys[[#This Row],[date]], mobile_visits[date], mobile_visits[mobile_visitors], 0)</f>
        <v>0</v>
      </c>
    </row>
    <row r="1274" spans="1:9" x14ac:dyDescent="0.2">
      <c r="A1274" s="1">
        <v>44008</v>
      </c>
      <c r="B1274">
        <v>19324</v>
      </c>
      <c r="C1274">
        <v>34472</v>
      </c>
      <c r="D1274">
        <v>20770</v>
      </c>
      <c r="E1274">
        <v>9850</v>
      </c>
      <c r="F1274">
        <v>75</v>
      </c>
      <c r="G1274" t="s">
        <v>20</v>
      </c>
      <c r="H1274" t="str">
        <f>IF(Grammys[[#This Row],[date]] &gt;= DATE(2022, 2, 1), "Grammys", "Grammys + TRA")</f>
        <v>Grammys + TRA</v>
      </c>
      <c r="I1274">
        <f>_xlfn.XLOOKUP(Grammys[[#This Row],[date]], mobile_visits[date], mobile_visits[mobile_visitors], 0)</f>
        <v>0</v>
      </c>
    </row>
    <row r="1275" spans="1:9" x14ac:dyDescent="0.2">
      <c r="A1275" s="1">
        <v>44009</v>
      </c>
      <c r="B1275">
        <v>18136</v>
      </c>
      <c r="C1275">
        <v>32023</v>
      </c>
      <c r="D1275">
        <v>19323</v>
      </c>
      <c r="E1275">
        <v>9264</v>
      </c>
      <c r="F1275">
        <v>75</v>
      </c>
      <c r="G1275" t="s">
        <v>20</v>
      </c>
      <c r="H1275" t="str">
        <f>IF(Grammys[[#This Row],[date]] &gt;= DATE(2022, 2, 1), "Grammys", "Grammys + TRA")</f>
        <v>Grammys + TRA</v>
      </c>
      <c r="I1275">
        <f>_xlfn.XLOOKUP(Grammys[[#This Row],[date]], mobile_visits[date], mobile_visits[mobile_visitors], 0)</f>
        <v>0</v>
      </c>
    </row>
    <row r="1276" spans="1:9" x14ac:dyDescent="0.2">
      <c r="A1276" s="1">
        <v>44010</v>
      </c>
      <c r="B1276">
        <v>20536</v>
      </c>
      <c r="C1276">
        <v>36420</v>
      </c>
      <c r="D1276">
        <v>21772</v>
      </c>
      <c r="E1276">
        <v>10175</v>
      </c>
      <c r="F1276">
        <v>76</v>
      </c>
      <c r="G1276" t="s">
        <v>20</v>
      </c>
      <c r="H1276" t="str">
        <f>IF(Grammys[[#This Row],[date]] &gt;= DATE(2022, 2, 1), "Grammys", "Grammys + TRA")</f>
        <v>Grammys + TRA</v>
      </c>
      <c r="I1276">
        <f>_xlfn.XLOOKUP(Grammys[[#This Row],[date]], mobile_visits[date], mobile_visits[mobile_visitors], 0)</f>
        <v>0</v>
      </c>
    </row>
    <row r="1277" spans="1:9" x14ac:dyDescent="0.2">
      <c r="A1277" s="1">
        <v>44011</v>
      </c>
      <c r="B1277">
        <v>26433</v>
      </c>
      <c r="C1277">
        <v>45409</v>
      </c>
      <c r="D1277">
        <v>27907</v>
      </c>
      <c r="E1277">
        <v>11459</v>
      </c>
      <c r="F1277">
        <v>87</v>
      </c>
      <c r="G1277" t="s">
        <v>20</v>
      </c>
      <c r="H1277" t="str">
        <f>IF(Grammys[[#This Row],[date]] &gt;= DATE(2022, 2, 1), "Grammys", "Grammys + TRA")</f>
        <v>Grammys + TRA</v>
      </c>
      <c r="I1277">
        <f>_xlfn.XLOOKUP(Grammys[[#This Row],[date]], mobile_visits[date], mobile_visits[mobile_visitors], 0)</f>
        <v>0</v>
      </c>
    </row>
    <row r="1278" spans="1:9" x14ac:dyDescent="0.2">
      <c r="A1278" s="1">
        <v>44012</v>
      </c>
      <c r="B1278">
        <v>35064</v>
      </c>
      <c r="C1278">
        <v>56582</v>
      </c>
      <c r="D1278">
        <v>38086</v>
      </c>
      <c r="E1278">
        <v>14062</v>
      </c>
      <c r="F1278">
        <v>139</v>
      </c>
      <c r="G1278" t="s">
        <v>20</v>
      </c>
      <c r="H1278" t="str">
        <f>IF(Grammys[[#This Row],[date]] &gt;= DATE(2022, 2, 1), "Grammys", "Grammys + TRA")</f>
        <v>Grammys + TRA</v>
      </c>
      <c r="I1278">
        <f>_xlfn.XLOOKUP(Grammys[[#This Row],[date]], mobile_visits[date], mobile_visits[mobile_visitors], 0)</f>
        <v>0</v>
      </c>
    </row>
    <row r="1279" spans="1:9" x14ac:dyDescent="0.2">
      <c r="A1279" s="1">
        <v>44013</v>
      </c>
      <c r="B1279">
        <v>24986</v>
      </c>
      <c r="C1279">
        <v>42994</v>
      </c>
      <c r="D1279">
        <v>26822</v>
      </c>
      <c r="E1279">
        <v>10981</v>
      </c>
      <c r="F1279">
        <v>107</v>
      </c>
      <c r="G1279" t="s">
        <v>20</v>
      </c>
      <c r="H1279" t="str">
        <f>IF(Grammys[[#This Row],[date]] &gt;= DATE(2022, 2, 1), "Grammys", "Grammys + TRA")</f>
        <v>Grammys + TRA</v>
      </c>
      <c r="I1279">
        <f>_xlfn.XLOOKUP(Grammys[[#This Row],[date]], mobile_visits[date], mobile_visits[mobile_visitors], 0)</f>
        <v>0</v>
      </c>
    </row>
    <row r="1280" spans="1:9" x14ac:dyDescent="0.2">
      <c r="A1280" s="1">
        <v>44014</v>
      </c>
      <c r="B1280">
        <v>18807</v>
      </c>
      <c r="C1280">
        <v>33232</v>
      </c>
      <c r="D1280">
        <v>20055</v>
      </c>
      <c r="E1280">
        <v>8686</v>
      </c>
      <c r="F1280">
        <v>92</v>
      </c>
      <c r="G1280" t="s">
        <v>20</v>
      </c>
      <c r="H1280" t="str">
        <f>IF(Grammys[[#This Row],[date]] &gt;= DATE(2022, 2, 1), "Grammys", "Grammys + TRA")</f>
        <v>Grammys + TRA</v>
      </c>
      <c r="I1280">
        <f>_xlfn.XLOOKUP(Grammys[[#This Row],[date]], mobile_visits[date], mobile_visits[mobile_visitors], 0)</f>
        <v>0</v>
      </c>
    </row>
    <row r="1281" spans="1:9" x14ac:dyDescent="0.2">
      <c r="A1281" s="1">
        <v>44015</v>
      </c>
      <c r="B1281">
        <v>17396</v>
      </c>
      <c r="C1281">
        <v>30603</v>
      </c>
      <c r="D1281">
        <v>18432</v>
      </c>
      <c r="E1281">
        <v>7959</v>
      </c>
      <c r="F1281">
        <v>84</v>
      </c>
      <c r="G1281" t="s">
        <v>20</v>
      </c>
      <c r="H1281" t="str">
        <f>IF(Grammys[[#This Row],[date]] &gt;= DATE(2022, 2, 1), "Grammys", "Grammys + TRA")</f>
        <v>Grammys + TRA</v>
      </c>
      <c r="I1281">
        <f>_xlfn.XLOOKUP(Grammys[[#This Row],[date]], mobile_visits[date], mobile_visits[mobile_visitors], 0)</f>
        <v>0</v>
      </c>
    </row>
    <row r="1282" spans="1:9" x14ac:dyDescent="0.2">
      <c r="A1282" s="1">
        <v>44016</v>
      </c>
      <c r="B1282">
        <v>16752</v>
      </c>
      <c r="C1282">
        <v>28733</v>
      </c>
      <c r="D1282">
        <v>17608</v>
      </c>
      <c r="E1282">
        <v>8137</v>
      </c>
      <c r="F1282">
        <v>77</v>
      </c>
      <c r="G1282" t="s">
        <v>20</v>
      </c>
      <c r="H1282" t="str">
        <f>IF(Grammys[[#This Row],[date]] &gt;= DATE(2022, 2, 1), "Grammys", "Grammys + TRA")</f>
        <v>Grammys + TRA</v>
      </c>
      <c r="I1282">
        <f>_xlfn.XLOOKUP(Grammys[[#This Row],[date]], mobile_visits[date], mobile_visits[mobile_visitors], 0)</f>
        <v>0</v>
      </c>
    </row>
    <row r="1283" spans="1:9" x14ac:dyDescent="0.2">
      <c r="A1283" s="1">
        <v>44017</v>
      </c>
      <c r="B1283">
        <v>16869</v>
      </c>
      <c r="C1283">
        <v>29572</v>
      </c>
      <c r="D1283">
        <v>18098</v>
      </c>
      <c r="E1283">
        <v>8552</v>
      </c>
      <c r="F1283">
        <v>78</v>
      </c>
      <c r="G1283" t="s">
        <v>20</v>
      </c>
      <c r="H1283" t="str">
        <f>IF(Grammys[[#This Row],[date]] &gt;= DATE(2022, 2, 1), "Grammys", "Grammys + TRA")</f>
        <v>Grammys + TRA</v>
      </c>
      <c r="I1283">
        <f>_xlfn.XLOOKUP(Grammys[[#This Row],[date]], mobile_visits[date], mobile_visits[mobile_visitors], 0)</f>
        <v>0</v>
      </c>
    </row>
    <row r="1284" spans="1:9" x14ac:dyDescent="0.2">
      <c r="A1284" s="1">
        <v>44018</v>
      </c>
      <c r="B1284">
        <v>19477</v>
      </c>
      <c r="C1284">
        <v>35569</v>
      </c>
      <c r="D1284">
        <v>20966</v>
      </c>
      <c r="E1284">
        <v>9574</v>
      </c>
      <c r="F1284">
        <v>91</v>
      </c>
      <c r="G1284" t="s">
        <v>20</v>
      </c>
      <c r="H1284" t="str">
        <f>IF(Grammys[[#This Row],[date]] &gt;= DATE(2022, 2, 1), "Grammys", "Grammys + TRA")</f>
        <v>Grammys + TRA</v>
      </c>
      <c r="I1284">
        <f>_xlfn.XLOOKUP(Grammys[[#This Row],[date]], mobile_visits[date], mobile_visits[mobile_visitors], 0)</f>
        <v>0</v>
      </c>
    </row>
    <row r="1285" spans="1:9" x14ac:dyDescent="0.2">
      <c r="A1285" s="1">
        <v>44019</v>
      </c>
      <c r="B1285">
        <v>17648</v>
      </c>
      <c r="C1285">
        <v>31629</v>
      </c>
      <c r="D1285">
        <v>18972</v>
      </c>
      <c r="E1285">
        <v>8722</v>
      </c>
      <c r="F1285">
        <v>90</v>
      </c>
      <c r="G1285" t="s">
        <v>20</v>
      </c>
      <c r="H1285" t="str">
        <f>IF(Grammys[[#This Row],[date]] &gt;= DATE(2022, 2, 1), "Grammys", "Grammys + TRA")</f>
        <v>Grammys + TRA</v>
      </c>
      <c r="I1285">
        <f>_xlfn.XLOOKUP(Grammys[[#This Row],[date]], mobile_visits[date], mobile_visits[mobile_visitors], 0)</f>
        <v>0</v>
      </c>
    </row>
    <row r="1286" spans="1:9" x14ac:dyDescent="0.2">
      <c r="A1286" s="1">
        <v>44020</v>
      </c>
      <c r="B1286">
        <v>29782</v>
      </c>
      <c r="C1286">
        <v>60872</v>
      </c>
      <c r="D1286">
        <v>32323</v>
      </c>
      <c r="E1286">
        <v>12739</v>
      </c>
      <c r="F1286">
        <v>86</v>
      </c>
      <c r="G1286" t="s">
        <v>20</v>
      </c>
      <c r="H1286" t="str">
        <f>IF(Grammys[[#This Row],[date]] &gt;= DATE(2022, 2, 1), "Grammys", "Grammys + TRA")</f>
        <v>Grammys + TRA</v>
      </c>
      <c r="I1286">
        <f>_xlfn.XLOOKUP(Grammys[[#This Row],[date]], mobile_visits[date], mobile_visits[mobile_visitors], 0)</f>
        <v>0</v>
      </c>
    </row>
    <row r="1287" spans="1:9" x14ac:dyDescent="0.2">
      <c r="A1287" s="1">
        <v>44021</v>
      </c>
      <c r="B1287">
        <v>21380</v>
      </c>
      <c r="C1287">
        <v>38811</v>
      </c>
      <c r="D1287">
        <v>22975</v>
      </c>
      <c r="E1287">
        <v>10551</v>
      </c>
      <c r="F1287">
        <v>89</v>
      </c>
      <c r="G1287" t="s">
        <v>20</v>
      </c>
      <c r="H1287" t="str">
        <f>IF(Grammys[[#This Row],[date]] &gt;= DATE(2022, 2, 1), "Grammys", "Grammys + TRA")</f>
        <v>Grammys + TRA</v>
      </c>
      <c r="I1287">
        <f>_xlfn.XLOOKUP(Grammys[[#This Row],[date]], mobile_visits[date], mobile_visits[mobile_visitors], 0)</f>
        <v>0</v>
      </c>
    </row>
    <row r="1288" spans="1:9" x14ac:dyDescent="0.2">
      <c r="A1288" s="1">
        <v>44022</v>
      </c>
      <c r="B1288">
        <v>16371</v>
      </c>
      <c r="C1288">
        <v>28987</v>
      </c>
      <c r="D1288">
        <v>17417</v>
      </c>
      <c r="E1288">
        <v>8484</v>
      </c>
      <c r="F1288">
        <v>80</v>
      </c>
      <c r="G1288" t="s">
        <v>20</v>
      </c>
      <c r="H1288" t="str">
        <f>IF(Grammys[[#This Row],[date]] &gt;= DATE(2022, 2, 1), "Grammys", "Grammys + TRA")</f>
        <v>Grammys + TRA</v>
      </c>
      <c r="I1288">
        <f>_xlfn.XLOOKUP(Grammys[[#This Row],[date]], mobile_visits[date], mobile_visits[mobile_visitors], 0)</f>
        <v>0</v>
      </c>
    </row>
    <row r="1289" spans="1:9" x14ac:dyDescent="0.2">
      <c r="A1289" s="1">
        <v>44023</v>
      </c>
      <c r="B1289">
        <v>14982</v>
      </c>
      <c r="C1289">
        <v>26435</v>
      </c>
      <c r="D1289">
        <v>16021</v>
      </c>
      <c r="E1289">
        <v>7747</v>
      </c>
      <c r="F1289">
        <v>82</v>
      </c>
      <c r="G1289" t="s">
        <v>20</v>
      </c>
      <c r="H1289" t="str">
        <f>IF(Grammys[[#This Row],[date]] &gt;= DATE(2022, 2, 1), "Grammys", "Grammys + TRA")</f>
        <v>Grammys + TRA</v>
      </c>
      <c r="I1289">
        <f>_xlfn.XLOOKUP(Grammys[[#This Row],[date]], mobile_visits[date], mobile_visits[mobile_visitors], 0)</f>
        <v>0</v>
      </c>
    </row>
    <row r="1290" spans="1:9" x14ac:dyDescent="0.2">
      <c r="A1290" s="1">
        <v>44024</v>
      </c>
      <c r="B1290">
        <v>14076</v>
      </c>
      <c r="C1290">
        <v>25318</v>
      </c>
      <c r="D1290">
        <v>15095</v>
      </c>
      <c r="E1290">
        <v>7216</v>
      </c>
      <c r="F1290">
        <v>86</v>
      </c>
      <c r="G1290" t="s">
        <v>20</v>
      </c>
      <c r="H1290" t="str">
        <f>IF(Grammys[[#This Row],[date]] &gt;= DATE(2022, 2, 1), "Grammys", "Grammys + TRA")</f>
        <v>Grammys + TRA</v>
      </c>
      <c r="I1290">
        <f>_xlfn.XLOOKUP(Grammys[[#This Row],[date]], mobile_visits[date], mobile_visits[mobile_visitors], 0)</f>
        <v>0</v>
      </c>
    </row>
    <row r="1291" spans="1:9" x14ac:dyDescent="0.2">
      <c r="A1291" s="1">
        <v>44025</v>
      </c>
      <c r="B1291">
        <v>14342</v>
      </c>
      <c r="C1291">
        <v>26365</v>
      </c>
      <c r="D1291">
        <v>15397</v>
      </c>
      <c r="E1291">
        <v>7242</v>
      </c>
      <c r="F1291">
        <v>90</v>
      </c>
      <c r="G1291" t="s">
        <v>20</v>
      </c>
      <c r="H1291" t="str">
        <f>IF(Grammys[[#This Row],[date]] &gt;= DATE(2022, 2, 1), "Grammys", "Grammys + TRA")</f>
        <v>Grammys + TRA</v>
      </c>
      <c r="I1291">
        <f>_xlfn.XLOOKUP(Grammys[[#This Row],[date]], mobile_visits[date], mobile_visits[mobile_visitors], 0)</f>
        <v>0</v>
      </c>
    </row>
    <row r="1292" spans="1:9" x14ac:dyDescent="0.2">
      <c r="A1292" s="1">
        <v>44026</v>
      </c>
      <c r="B1292">
        <v>14802</v>
      </c>
      <c r="C1292">
        <v>27524</v>
      </c>
      <c r="D1292">
        <v>16145</v>
      </c>
      <c r="E1292">
        <v>7623</v>
      </c>
      <c r="F1292">
        <v>93</v>
      </c>
      <c r="G1292" t="s">
        <v>20</v>
      </c>
      <c r="H1292" t="str">
        <f>IF(Grammys[[#This Row],[date]] &gt;= DATE(2022, 2, 1), "Grammys", "Grammys + TRA")</f>
        <v>Grammys + TRA</v>
      </c>
      <c r="I1292">
        <f>_xlfn.XLOOKUP(Grammys[[#This Row],[date]], mobile_visits[date], mobile_visits[mobile_visitors], 0)</f>
        <v>0</v>
      </c>
    </row>
    <row r="1293" spans="1:9" x14ac:dyDescent="0.2">
      <c r="A1293" s="1">
        <v>44027</v>
      </c>
      <c r="B1293">
        <v>15204</v>
      </c>
      <c r="C1293">
        <v>28213</v>
      </c>
      <c r="D1293">
        <v>16537</v>
      </c>
      <c r="E1293">
        <v>7856</v>
      </c>
      <c r="F1293">
        <v>93</v>
      </c>
      <c r="G1293" t="s">
        <v>20</v>
      </c>
      <c r="H1293" t="str">
        <f>IF(Grammys[[#This Row],[date]] &gt;= DATE(2022, 2, 1), "Grammys", "Grammys + TRA")</f>
        <v>Grammys + TRA</v>
      </c>
      <c r="I1293">
        <f>_xlfn.XLOOKUP(Grammys[[#This Row],[date]], mobile_visits[date], mobile_visits[mobile_visitors], 0)</f>
        <v>0</v>
      </c>
    </row>
    <row r="1294" spans="1:9" x14ac:dyDescent="0.2">
      <c r="A1294" s="1">
        <v>44028</v>
      </c>
      <c r="B1294">
        <v>15185</v>
      </c>
      <c r="C1294">
        <v>27360</v>
      </c>
      <c r="D1294">
        <v>16590</v>
      </c>
      <c r="E1294">
        <v>8156</v>
      </c>
      <c r="F1294">
        <v>90</v>
      </c>
      <c r="G1294" t="s">
        <v>20</v>
      </c>
      <c r="H1294" t="str">
        <f>IF(Grammys[[#This Row],[date]] &gt;= DATE(2022, 2, 1), "Grammys", "Grammys + TRA")</f>
        <v>Grammys + TRA</v>
      </c>
      <c r="I1294">
        <f>_xlfn.XLOOKUP(Grammys[[#This Row],[date]], mobile_visits[date], mobile_visits[mobile_visitors], 0)</f>
        <v>0</v>
      </c>
    </row>
    <row r="1295" spans="1:9" x14ac:dyDescent="0.2">
      <c r="A1295" s="1">
        <v>44029</v>
      </c>
      <c r="B1295">
        <v>18814</v>
      </c>
      <c r="C1295">
        <v>32114</v>
      </c>
      <c r="D1295">
        <v>20145</v>
      </c>
      <c r="E1295">
        <v>9745</v>
      </c>
      <c r="F1295">
        <v>103</v>
      </c>
      <c r="G1295" t="s">
        <v>20</v>
      </c>
      <c r="H1295" t="str">
        <f>IF(Grammys[[#This Row],[date]] &gt;= DATE(2022, 2, 1), "Grammys", "Grammys + TRA")</f>
        <v>Grammys + TRA</v>
      </c>
      <c r="I1295">
        <f>_xlfn.XLOOKUP(Grammys[[#This Row],[date]], mobile_visits[date], mobile_visits[mobile_visitors], 0)</f>
        <v>0</v>
      </c>
    </row>
    <row r="1296" spans="1:9" x14ac:dyDescent="0.2">
      <c r="A1296" s="1">
        <v>44030</v>
      </c>
      <c r="B1296">
        <v>16224</v>
      </c>
      <c r="C1296">
        <v>27987</v>
      </c>
      <c r="D1296">
        <v>17553</v>
      </c>
      <c r="E1296">
        <v>8319</v>
      </c>
      <c r="F1296">
        <v>97</v>
      </c>
      <c r="G1296" t="s">
        <v>20</v>
      </c>
      <c r="H1296" t="str">
        <f>IF(Grammys[[#This Row],[date]] &gt;= DATE(2022, 2, 1), "Grammys", "Grammys + TRA")</f>
        <v>Grammys + TRA</v>
      </c>
      <c r="I1296">
        <f>_xlfn.XLOOKUP(Grammys[[#This Row],[date]], mobile_visits[date], mobile_visits[mobile_visitors], 0)</f>
        <v>0</v>
      </c>
    </row>
    <row r="1297" spans="1:9" x14ac:dyDescent="0.2">
      <c r="A1297" s="1">
        <v>44031</v>
      </c>
      <c r="B1297">
        <v>17271</v>
      </c>
      <c r="C1297">
        <v>29618</v>
      </c>
      <c r="D1297">
        <v>18326</v>
      </c>
      <c r="E1297">
        <v>8267</v>
      </c>
      <c r="F1297">
        <v>88</v>
      </c>
      <c r="G1297" t="s">
        <v>20</v>
      </c>
      <c r="H1297" t="str">
        <f>IF(Grammys[[#This Row],[date]] &gt;= DATE(2022, 2, 1), "Grammys", "Grammys + TRA")</f>
        <v>Grammys + TRA</v>
      </c>
      <c r="I1297">
        <f>_xlfn.XLOOKUP(Grammys[[#This Row],[date]], mobile_visits[date], mobile_visits[mobile_visitors], 0)</f>
        <v>0</v>
      </c>
    </row>
    <row r="1298" spans="1:9" x14ac:dyDescent="0.2">
      <c r="A1298" s="1">
        <v>44032</v>
      </c>
      <c r="B1298">
        <v>15790</v>
      </c>
      <c r="C1298">
        <v>29030</v>
      </c>
      <c r="D1298">
        <v>16990</v>
      </c>
      <c r="E1298">
        <v>7729</v>
      </c>
      <c r="F1298">
        <v>96</v>
      </c>
      <c r="G1298" t="s">
        <v>20</v>
      </c>
      <c r="H1298" t="str">
        <f>IF(Grammys[[#This Row],[date]] &gt;= DATE(2022, 2, 1), "Grammys", "Grammys + TRA")</f>
        <v>Grammys + TRA</v>
      </c>
      <c r="I1298">
        <f>_xlfn.XLOOKUP(Grammys[[#This Row],[date]], mobile_visits[date], mobile_visits[mobile_visitors], 0)</f>
        <v>0</v>
      </c>
    </row>
    <row r="1299" spans="1:9" x14ac:dyDescent="0.2">
      <c r="A1299" s="1">
        <v>44033</v>
      </c>
      <c r="B1299">
        <v>17879</v>
      </c>
      <c r="C1299">
        <v>31519</v>
      </c>
      <c r="D1299">
        <v>18997</v>
      </c>
      <c r="E1299">
        <v>8143</v>
      </c>
      <c r="F1299">
        <v>104</v>
      </c>
      <c r="G1299" t="s">
        <v>20</v>
      </c>
      <c r="H1299" t="str">
        <f>IF(Grammys[[#This Row],[date]] &gt;= DATE(2022, 2, 1), "Grammys", "Grammys + TRA")</f>
        <v>Grammys + TRA</v>
      </c>
      <c r="I1299">
        <f>_xlfn.XLOOKUP(Grammys[[#This Row],[date]], mobile_visits[date], mobile_visits[mobile_visitors], 0)</f>
        <v>0</v>
      </c>
    </row>
    <row r="1300" spans="1:9" x14ac:dyDescent="0.2">
      <c r="A1300" s="1">
        <v>44034</v>
      </c>
      <c r="B1300">
        <v>17955</v>
      </c>
      <c r="C1300">
        <v>31411</v>
      </c>
      <c r="D1300">
        <v>19111</v>
      </c>
      <c r="E1300">
        <v>8243</v>
      </c>
      <c r="F1300">
        <v>97</v>
      </c>
      <c r="G1300" t="s">
        <v>20</v>
      </c>
      <c r="H1300" t="str">
        <f>IF(Grammys[[#This Row],[date]] &gt;= DATE(2022, 2, 1), "Grammys", "Grammys + TRA")</f>
        <v>Grammys + TRA</v>
      </c>
      <c r="I1300">
        <f>_xlfn.XLOOKUP(Grammys[[#This Row],[date]], mobile_visits[date], mobile_visits[mobile_visitors], 0)</f>
        <v>0</v>
      </c>
    </row>
    <row r="1301" spans="1:9" x14ac:dyDescent="0.2">
      <c r="A1301" s="1">
        <v>44035</v>
      </c>
      <c r="B1301">
        <v>22184</v>
      </c>
      <c r="C1301">
        <v>35867</v>
      </c>
      <c r="D1301">
        <v>23298</v>
      </c>
      <c r="E1301">
        <v>9166</v>
      </c>
      <c r="F1301">
        <v>81</v>
      </c>
      <c r="G1301" t="s">
        <v>20</v>
      </c>
      <c r="H1301" t="str">
        <f>IF(Grammys[[#This Row],[date]] &gt;= DATE(2022, 2, 1), "Grammys", "Grammys + TRA")</f>
        <v>Grammys + TRA</v>
      </c>
      <c r="I1301">
        <f>_xlfn.XLOOKUP(Grammys[[#This Row],[date]], mobile_visits[date], mobile_visits[mobile_visitors], 0)</f>
        <v>0</v>
      </c>
    </row>
    <row r="1302" spans="1:9" x14ac:dyDescent="0.2">
      <c r="A1302" s="1">
        <v>44036</v>
      </c>
      <c r="B1302">
        <v>18907</v>
      </c>
      <c r="C1302">
        <v>32744</v>
      </c>
      <c r="D1302">
        <v>20051</v>
      </c>
      <c r="E1302">
        <v>9224</v>
      </c>
      <c r="F1302">
        <v>83</v>
      </c>
      <c r="G1302" t="s">
        <v>20</v>
      </c>
      <c r="H1302" t="str">
        <f>IF(Grammys[[#This Row],[date]] &gt;= DATE(2022, 2, 1), "Grammys", "Grammys + TRA")</f>
        <v>Grammys + TRA</v>
      </c>
      <c r="I1302">
        <f>_xlfn.XLOOKUP(Grammys[[#This Row],[date]], mobile_visits[date], mobile_visits[mobile_visitors], 0)</f>
        <v>0</v>
      </c>
    </row>
    <row r="1303" spans="1:9" x14ac:dyDescent="0.2">
      <c r="A1303" s="1">
        <v>44037</v>
      </c>
      <c r="B1303">
        <v>17242</v>
      </c>
      <c r="C1303">
        <v>30466</v>
      </c>
      <c r="D1303">
        <v>18316</v>
      </c>
      <c r="E1303">
        <v>8327</v>
      </c>
      <c r="F1303">
        <v>88</v>
      </c>
      <c r="G1303" t="s">
        <v>20</v>
      </c>
      <c r="H1303" t="str">
        <f>IF(Grammys[[#This Row],[date]] &gt;= DATE(2022, 2, 1), "Grammys", "Grammys + TRA")</f>
        <v>Grammys + TRA</v>
      </c>
      <c r="I1303">
        <f>_xlfn.XLOOKUP(Grammys[[#This Row],[date]], mobile_visits[date], mobile_visits[mobile_visitors], 0)</f>
        <v>0</v>
      </c>
    </row>
    <row r="1304" spans="1:9" x14ac:dyDescent="0.2">
      <c r="A1304" s="1">
        <v>44038</v>
      </c>
      <c r="B1304">
        <v>16431</v>
      </c>
      <c r="C1304">
        <v>28503</v>
      </c>
      <c r="D1304">
        <v>17479</v>
      </c>
      <c r="E1304">
        <v>8071</v>
      </c>
      <c r="F1304">
        <v>79</v>
      </c>
      <c r="G1304" t="s">
        <v>20</v>
      </c>
      <c r="H1304" t="str">
        <f>IF(Grammys[[#This Row],[date]] &gt;= DATE(2022, 2, 1), "Grammys", "Grammys + TRA")</f>
        <v>Grammys + TRA</v>
      </c>
      <c r="I1304">
        <f>_xlfn.XLOOKUP(Grammys[[#This Row],[date]], mobile_visits[date], mobile_visits[mobile_visitors], 0)</f>
        <v>0</v>
      </c>
    </row>
    <row r="1305" spans="1:9" x14ac:dyDescent="0.2">
      <c r="A1305" s="1">
        <v>44039</v>
      </c>
      <c r="B1305">
        <v>15994</v>
      </c>
      <c r="C1305">
        <v>29142</v>
      </c>
      <c r="D1305">
        <v>17086</v>
      </c>
      <c r="E1305">
        <v>7747</v>
      </c>
      <c r="F1305">
        <v>90</v>
      </c>
      <c r="G1305" t="s">
        <v>20</v>
      </c>
      <c r="H1305" t="str">
        <f>IF(Grammys[[#This Row],[date]] &gt;= DATE(2022, 2, 1), "Grammys", "Grammys + TRA")</f>
        <v>Grammys + TRA</v>
      </c>
      <c r="I1305">
        <f>_xlfn.XLOOKUP(Grammys[[#This Row],[date]], mobile_visits[date], mobile_visits[mobile_visitors], 0)</f>
        <v>0</v>
      </c>
    </row>
    <row r="1306" spans="1:9" x14ac:dyDescent="0.2">
      <c r="A1306" s="1">
        <v>44040</v>
      </c>
      <c r="B1306">
        <v>16399</v>
      </c>
      <c r="C1306">
        <v>30388</v>
      </c>
      <c r="D1306">
        <v>17477</v>
      </c>
      <c r="E1306">
        <v>7855</v>
      </c>
      <c r="F1306">
        <v>85</v>
      </c>
      <c r="G1306" t="s">
        <v>20</v>
      </c>
      <c r="H1306" t="str">
        <f>IF(Grammys[[#This Row],[date]] &gt;= DATE(2022, 2, 1), "Grammys", "Grammys + TRA")</f>
        <v>Grammys + TRA</v>
      </c>
      <c r="I1306">
        <f>_xlfn.XLOOKUP(Grammys[[#This Row],[date]], mobile_visits[date], mobile_visits[mobile_visitors], 0)</f>
        <v>0</v>
      </c>
    </row>
    <row r="1307" spans="1:9" x14ac:dyDescent="0.2">
      <c r="A1307" s="1">
        <v>44041</v>
      </c>
      <c r="B1307">
        <v>18741</v>
      </c>
      <c r="C1307">
        <v>33459</v>
      </c>
      <c r="D1307">
        <v>19872</v>
      </c>
      <c r="E1307">
        <v>8796</v>
      </c>
      <c r="F1307">
        <v>84</v>
      </c>
      <c r="G1307" t="s">
        <v>20</v>
      </c>
      <c r="H1307" t="str">
        <f>IF(Grammys[[#This Row],[date]] &gt;= DATE(2022, 2, 1), "Grammys", "Grammys + TRA")</f>
        <v>Grammys + TRA</v>
      </c>
      <c r="I1307">
        <f>_xlfn.XLOOKUP(Grammys[[#This Row],[date]], mobile_visits[date], mobile_visits[mobile_visitors], 0)</f>
        <v>0</v>
      </c>
    </row>
    <row r="1308" spans="1:9" x14ac:dyDescent="0.2">
      <c r="A1308" s="1">
        <v>44042</v>
      </c>
      <c r="B1308">
        <v>23396</v>
      </c>
      <c r="C1308">
        <v>39715</v>
      </c>
      <c r="D1308">
        <v>24676</v>
      </c>
      <c r="E1308">
        <v>9432</v>
      </c>
      <c r="F1308">
        <v>71</v>
      </c>
      <c r="G1308" t="s">
        <v>20</v>
      </c>
      <c r="H1308" t="str">
        <f>IF(Grammys[[#This Row],[date]] &gt;= DATE(2022, 2, 1), "Grammys", "Grammys + TRA")</f>
        <v>Grammys + TRA</v>
      </c>
      <c r="I1308">
        <f>_xlfn.XLOOKUP(Grammys[[#This Row],[date]], mobile_visits[date], mobile_visits[mobile_visitors], 0)</f>
        <v>0</v>
      </c>
    </row>
    <row r="1309" spans="1:9" x14ac:dyDescent="0.2">
      <c r="A1309" s="1">
        <v>44043</v>
      </c>
      <c r="B1309">
        <v>18489</v>
      </c>
      <c r="C1309">
        <v>32087</v>
      </c>
      <c r="D1309">
        <v>19543</v>
      </c>
      <c r="E1309">
        <v>8148</v>
      </c>
      <c r="F1309">
        <v>74</v>
      </c>
      <c r="G1309" t="s">
        <v>20</v>
      </c>
      <c r="H1309" t="str">
        <f>IF(Grammys[[#This Row],[date]] &gt;= DATE(2022, 2, 1), "Grammys", "Grammys + TRA")</f>
        <v>Grammys + TRA</v>
      </c>
      <c r="I1309">
        <f>_xlfn.XLOOKUP(Grammys[[#This Row],[date]], mobile_visits[date], mobile_visits[mobile_visitors], 0)</f>
        <v>0</v>
      </c>
    </row>
    <row r="1310" spans="1:9" x14ac:dyDescent="0.2">
      <c r="A1310" s="1">
        <v>44044</v>
      </c>
      <c r="B1310">
        <v>16783</v>
      </c>
      <c r="C1310">
        <v>28577</v>
      </c>
      <c r="D1310">
        <v>17593</v>
      </c>
      <c r="E1310">
        <v>7423</v>
      </c>
      <c r="F1310">
        <v>73</v>
      </c>
      <c r="G1310" t="s">
        <v>20</v>
      </c>
      <c r="H1310" t="str">
        <f>IF(Grammys[[#This Row],[date]] &gt;= DATE(2022, 2, 1), "Grammys", "Grammys + TRA")</f>
        <v>Grammys + TRA</v>
      </c>
      <c r="I1310">
        <f>_xlfn.XLOOKUP(Grammys[[#This Row],[date]], mobile_visits[date], mobile_visits[mobile_visitors], 0)</f>
        <v>0</v>
      </c>
    </row>
    <row r="1311" spans="1:9" x14ac:dyDescent="0.2">
      <c r="A1311" s="1">
        <v>44045</v>
      </c>
      <c r="B1311">
        <v>15668</v>
      </c>
      <c r="C1311">
        <v>27637</v>
      </c>
      <c r="D1311">
        <v>16573</v>
      </c>
      <c r="E1311">
        <v>7352</v>
      </c>
      <c r="F1311">
        <v>76</v>
      </c>
      <c r="G1311" t="s">
        <v>20</v>
      </c>
      <c r="H1311" t="str">
        <f>IF(Grammys[[#This Row],[date]] &gt;= DATE(2022, 2, 1), "Grammys", "Grammys + TRA")</f>
        <v>Grammys + TRA</v>
      </c>
      <c r="I1311">
        <f>_xlfn.XLOOKUP(Grammys[[#This Row],[date]], mobile_visits[date], mobile_visits[mobile_visitors], 0)</f>
        <v>0</v>
      </c>
    </row>
    <row r="1312" spans="1:9" x14ac:dyDescent="0.2">
      <c r="A1312" s="1">
        <v>44046</v>
      </c>
      <c r="B1312">
        <v>15107</v>
      </c>
      <c r="C1312">
        <v>28168</v>
      </c>
      <c r="D1312">
        <v>16213</v>
      </c>
      <c r="E1312">
        <v>7682</v>
      </c>
      <c r="F1312">
        <v>81</v>
      </c>
      <c r="G1312" t="s">
        <v>20</v>
      </c>
      <c r="H1312" t="str">
        <f>IF(Grammys[[#This Row],[date]] &gt;= DATE(2022, 2, 1), "Grammys", "Grammys + TRA")</f>
        <v>Grammys + TRA</v>
      </c>
      <c r="I1312">
        <f>_xlfn.XLOOKUP(Grammys[[#This Row],[date]], mobile_visits[date], mobile_visits[mobile_visitors], 0)</f>
        <v>0</v>
      </c>
    </row>
    <row r="1313" spans="1:9" x14ac:dyDescent="0.2">
      <c r="A1313" s="1">
        <v>44047</v>
      </c>
      <c r="B1313">
        <v>15052</v>
      </c>
      <c r="C1313">
        <v>27217</v>
      </c>
      <c r="D1313">
        <v>16151</v>
      </c>
      <c r="E1313">
        <v>7666</v>
      </c>
      <c r="F1313">
        <v>89</v>
      </c>
      <c r="G1313" t="s">
        <v>20</v>
      </c>
      <c r="H1313" t="str">
        <f>IF(Grammys[[#This Row],[date]] &gt;= DATE(2022, 2, 1), "Grammys", "Grammys + TRA")</f>
        <v>Grammys + TRA</v>
      </c>
      <c r="I1313">
        <f>_xlfn.XLOOKUP(Grammys[[#This Row],[date]], mobile_visits[date], mobile_visits[mobile_visitors], 0)</f>
        <v>0</v>
      </c>
    </row>
    <row r="1314" spans="1:9" x14ac:dyDescent="0.2">
      <c r="A1314" s="1">
        <v>44048</v>
      </c>
      <c r="B1314">
        <v>14392</v>
      </c>
      <c r="C1314">
        <v>26982</v>
      </c>
      <c r="D1314">
        <v>15454</v>
      </c>
      <c r="E1314">
        <v>7414</v>
      </c>
      <c r="F1314">
        <v>95</v>
      </c>
      <c r="G1314" t="s">
        <v>20</v>
      </c>
      <c r="H1314" t="str">
        <f>IF(Grammys[[#This Row],[date]] &gt;= DATE(2022, 2, 1), "Grammys", "Grammys + TRA")</f>
        <v>Grammys + TRA</v>
      </c>
      <c r="I1314">
        <f>_xlfn.XLOOKUP(Grammys[[#This Row],[date]], mobile_visits[date], mobile_visits[mobile_visitors], 0)</f>
        <v>0</v>
      </c>
    </row>
    <row r="1315" spans="1:9" x14ac:dyDescent="0.2">
      <c r="A1315" s="1">
        <v>44049</v>
      </c>
      <c r="B1315">
        <v>15105</v>
      </c>
      <c r="C1315">
        <v>28705</v>
      </c>
      <c r="D1315">
        <v>16552</v>
      </c>
      <c r="E1315">
        <v>7696</v>
      </c>
      <c r="F1315">
        <v>94</v>
      </c>
      <c r="G1315" t="s">
        <v>20</v>
      </c>
      <c r="H1315" t="str">
        <f>IF(Grammys[[#This Row],[date]] &gt;= DATE(2022, 2, 1), "Grammys", "Grammys + TRA")</f>
        <v>Grammys + TRA</v>
      </c>
      <c r="I1315">
        <f>_xlfn.XLOOKUP(Grammys[[#This Row],[date]], mobile_visits[date], mobile_visits[mobile_visitors], 0)</f>
        <v>0</v>
      </c>
    </row>
    <row r="1316" spans="1:9" x14ac:dyDescent="0.2">
      <c r="A1316" s="1">
        <v>44050</v>
      </c>
      <c r="B1316">
        <v>15608</v>
      </c>
      <c r="C1316">
        <v>28365</v>
      </c>
      <c r="D1316">
        <v>16562</v>
      </c>
      <c r="E1316">
        <v>7460</v>
      </c>
      <c r="F1316">
        <v>85</v>
      </c>
      <c r="G1316" t="s">
        <v>20</v>
      </c>
      <c r="H1316" t="str">
        <f>IF(Grammys[[#This Row],[date]] &gt;= DATE(2022, 2, 1), "Grammys", "Grammys + TRA")</f>
        <v>Grammys + TRA</v>
      </c>
      <c r="I1316">
        <f>_xlfn.XLOOKUP(Grammys[[#This Row],[date]], mobile_visits[date], mobile_visits[mobile_visitors], 0)</f>
        <v>0</v>
      </c>
    </row>
    <row r="1317" spans="1:9" x14ac:dyDescent="0.2">
      <c r="A1317" s="1">
        <v>44051</v>
      </c>
      <c r="B1317">
        <v>18067</v>
      </c>
      <c r="C1317">
        <v>31331</v>
      </c>
      <c r="D1317">
        <v>19119</v>
      </c>
      <c r="E1317">
        <v>8656</v>
      </c>
      <c r="F1317">
        <v>76</v>
      </c>
      <c r="G1317" t="s">
        <v>20</v>
      </c>
      <c r="H1317" t="str">
        <f>IF(Grammys[[#This Row],[date]] &gt;= DATE(2022, 2, 1), "Grammys", "Grammys + TRA")</f>
        <v>Grammys + TRA</v>
      </c>
      <c r="I1317">
        <f>_xlfn.XLOOKUP(Grammys[[#This Row],[date]], mobile_visits[date], mobile_visits[mobile_visitors], 0)</f>
        <v>0</v>
      </c>
    </row>
    <row r="1318" spans="1:9" x14ac:dyDescent="0.2">
      <c r="A1318" s="1">
        <v>44052</v>
      </c>
      <c r="B1318">
        <v>15609</v>
      </c>
      <c r="C1318">
        <v>27194</v>
      </c>
      <c r="D1318">
        <v>16507</v>
      </c>
      <c r="E1318">
        <v>7610</v>
      </c>
      <c r="F1318">
        <v>77</v>
      </c>
      <c r="G1318" t="s">
        <v>20</v>
      </c>
      <c r="H1318" t="str">
        <f>IF(Grammys[[#This Row],[date]] &gt;= DATE(2022, 2, 1), "Grammys", "Grammys + TRA")</f>
        <v>Grammys + TRA</v>
      </c>
      <c r="I1318">
        <f>_xlfn.XLOOKUP(Grammys[[#This Row],[date]], mobile_visits[date], mobile_visits[mobile_visitors], 0)</f>
        <v>0</v>
      </c>
    </row>
    <row r="1319" spans="1:9" x14ac:dyDescent="0.2">
      <c r="A1319" s="1">
        <v>44053</v>
      </c>
      <c r="B1319">
        <v>15440</v>
      </c>
      <c r="C1319">
        <v>27626</v>
      </c>
      <c r="D1319">
        <v>16267</v>
      </c>
      <c r="E1319">
        <v>7480</v>
      </c>
      <c r="F1319">
        <v>83</v>
      </c>
      <c r="G1319" t="s">
        <v>20</v>
      </c>
      <c r="H1319" t="str">
        <f>IF(Grammys[[#This Row],[date]] &gt;= DATE(2022, 2, 1), "Grammys", "Grammys + TRA")</f>
        <v>Grammys + TRA</v>
      </c>
      <c r="I1319">
        <f>_xlfn.XLOOKUP(Grammys[[#This Row],[date]], mobile_visits[date], mobile_visits[mobile_visitors], 0)</f>
        <v>0</v>
      </c>
    </row>
    <row r="1320" spans="1:9" x14ac:dyDescent="0.2">
      <c r="A1320" s="1">
        <v>44054</v>
      </c>
      <c r="B1320">
        <v>15179</v>
      </c>
      <c r="C1320">
        <v>28015</v>
      </c>
      <c r="D1320">
        <v>16243</v>
      </c>
      <c r="E1320">
        <v>7591</v>
      </c>
      <c r="F1320">
        <v>91</v>
      </c>
      <c r="G1320" t="s">
        <v>20</v>
      </c>
      <c r="H1320" t="str">
        <f>IF(Grammys[[#This Row],[date]] &gt;= DATE(2022, 2, 1), "Grammys", "Grammys + TRA")</f>
        <v>Grammys + TRA</v>
      </c>
      <c r="I1320">
        <f>_xlfn.XLOOKUP(Grammys[[#This Row],[date]], mobile_visits[date], mobile_visits[mobile_visitors], 0)</f>
        <v>0</v>
      </c>
    </row>
    <row r="1321" spans="1:9" x14ac:dyDescent="0.2">
      <c r="A1321" s="1">
        <v>44055</v>
      </c>
      <c r="B1321">
        <v>15505</v>
      </c>
      <c r="C1321">
        <v>28978</v>
      </c>
      <c r="D1321">
        <v>16659</v>
      </c>
      <c r="E1321">
        <v>8012</v>
      </c>
      <c r="F1321">
        <v>89</v>
      </c>
      <c r="G1321" t="s">
        <v>20</v>
      </c>
      <c r="H1321" t="str">
        <f>IF(Grammys[[#This Row],[date]] &gt;= DATE(2022, 2, 1), "Grammys", "Grammys + TRA")</f>
        <v>Grammys + TRA</v>
      </c>
      <c r="I1321">
        <f>_xlfn.XLOOKUP(Grammys[[#This Row],[date]], mobile_visits[date], mobile_visits[mobile_visitors], 0)</f>
        <v>0</v>
      </c>
    </row>
    <row r="1322" spans="1:9" x14ac:dyDescent="0.2">
      <c r="A1322" s="1">
        <v>44056</v>
      </c>
      <c r="B1322">
        <v>18518</v>
      </c>
      <c r="C1322">
        <v>34109</v>
      </c>
      <c r="D1322">
        <v>19966</v>
      </c>
      <c r="E1322">
        <v>8991</v>
      </c>
      <c r="F1322">
        <v>91</v>
      </c>
      <c r="G1322" t="s">
        <v>20</v>
      </c>
      <c r="H1322" t="str">
        <f>IF(Grammys[[#This Row],[date]] &gt;= DATE(2022, 2, 1), "Grammys", "Grammys + TRA")</f>
        <v>Grammys + TRA</v>
      </c>
      <c r="I1322">
        <f>_xlfn.XLOOKUP(Grammys[[#This Row],[date]], mobile_visits[date], mobile_visits[mobile_visitors], 0)</f>
        <v>0</v>
      </c>
    </row>
    <row r="1323" spans="1:9" x14ac:dyDescent="0.2">
      <c r="A1323" s="1">
        <v>44057</v>
      </c>
      <c r="B1323">
        <v>17607</v>
      </c>
      <c r="C1323">
        <v>31522</v>
      </c>
      <c r="D1323">
        <v>18648</v>
      </c>
      <c r="E1323">
        <v>8549</v>
      </c>
      <c r="F1323">
        <v>84</v>
      </c>
      <c r="G1323" t="s">
        <v>20</v>
      </c>
      <c r="H1323" t="str">
        <f>IF(Grammys[[#This Row],[date]] &gt;= DATE(2022, 2, 1), "Grammys", "Grammys + TRA")</f>
        <v>Grammys + TRA</v>
      </c>
      <c r="I1323">
        <f>_xlfn.XLOOKUP(Grammys[[#This Row],[date]], mobile_visits[date], mobile_visits[mobile_visitors], 0)</f>
        <v>0</v>
      </c>
    </row>
    <row r="1324" spans="1:9" x14ac:dyDescent="0.2">
      <c r="A1324" s="1">
        <v>44058</v>
      </c>
      <c r="B1324">
        <v>15198</v>
      </c>
      <c r="C1324">
        <v>26650</v>
      </c>
      <c r="D1324">
        <v>16221</v>
      </c>
      <c r="E1324">
        <v>7566</v>
      </c>
      <c r="F1324">
        <v>87</v>
      </c>
      <c r="G1324" t="s">
        <v>20</v>
      </c>
      <c r="H1324" t="str">
        <f>IF(Grammys[[#This Row],[date]] &gt;= DATE(2022, 2, 1), "Grammys", "Grammys + TRA")</f>
        <v>Grammys + TRA</v>
      </c>
      <c r="I1324">
        <f>_xlfn.XLOOKUP(Grammys[[#This Row],[date]], mobile_visits[date], mobile_visits[mobile_visitors], 0)</f>
        <v>0</v>
      </c>
    </row>
    <row r="1325" spans="1:9" x14ac:dyDescent="0.2">
      <c r="A1325" s="1">
        <v>44059</v>
      </c>
      <c r="B1325">
        <v>18845</v>
      </c>
      <c r="C1325">
        <v>32584</v>
      </c>
      <c r="D1325">
        <v>19945</v>
      </c>
      <c r="E1325">
        <v>8830</v>
      </c>
      <c r="F1325">
        <v>82</v>
      </c>
      <c r="G1325" t="s">
        <v>20</v>
      </c>
      <c r="H1325" t="str">
        <f>IF(Grammys[[#This Row],[date]] &gt;= DATE(2022, 2, 1), "Grammys", "Grammys + TRA")</f>
        <v>Grammys + TRA</v>
      </c>
      <c r="I1325">
        <f>_xlfn.XLOOKUP(Grammys[[#This Row],[date]], mobile_visits[date], mobile_visits[mobile_visitors], 0)</f>
        <v>0</v>
      </c>
    </row>
    <row r="1326" spans="1:9" x14ac:dyDescent="0.2">
      <c r="A1326" s="1">
        <v>44060</v>
      </c>
      <c r="B1326">
        <v>20149</v>
      </c>
      <c r="C1326">
        <v>34144</v>
      </c>
      <c r="D1326">
        <v>21464</v>
      </c>
      <c r="E1326">
        <v>10091</v>
      </c>
      <c r="F1326">
        <v>108</v>
      </c>
      <c r="G1326" t="s">
        <v>20</v>
      </c>
      <c r="H1326" t="str">
        <f>IF(Grammys[[#This Row],[date]] &gt;= DATE(2022, 2, 1), "Grammys", "Grammys + TRA")</f>
        <v>Grammys + TRA</v>
      </c>
      <c r="I1326">
        <f>_xlfn.XLOOKUP(Grammys[[#This Row],[date]], mobile_visits[date], mobile_visits[mobile_visitors], 0)</f>
        <v>0</v>
      </c>
    </row>
    <row r="1327" spans="1:9" x14ac:dyDescent="0.2">
      <c r="A1327" s="1">
        <v>44061</v>
      </c>
      <c r="B1327">
        <v>16633</v>
      </c>
      <c r="C1327">
        <v>29941</v>
      </c>
      <c r="D1327">
        <v>17981</v>
      </c>
      <c r="E1327">
        <v>8407</v>
      </c>
      <c r="F1327">
        <v>100</v>
      </c>
      <c r="G1327" t="s">
        <v>20</v>
      </c>
      <c r="H1327" t="str">
        <f>IF(Grammys[[#This Row],[date]] &gt;= DATE(2022, 2, 1), "Grammys", "Grammys + TRA")</f>
        <v>Grammys + TRA</v>
      </c>
      <c r="I1327">
        <f>_xlfn.XLOOKUP(Grammys[[#This Row],[date]], mobile_visits[date], mobile_visits[mobile_visitors], 0)</f>
        <v>0</v>
      </c>
    </row>
    <row r="1328" spans="1:9" x14ac:dyDescent="0.2">
      <c r="A1328" s="1">
        <v>44062</v>
      </c>
      <c r="B1328">
        <v>17390</v>
      </c>
      <c r="C1328">
        <v>30874</v>
      </c>
      <c r="D1328">
        <v>18507</v>
      </c>
      <c r="E1328">
        <v>8416</v>
      </c>
      <c r="F1328">
        <v>96</v>
      </c>
      <c r="G1328" t="s">
        <v>20</v>
      </c>
      <c r="H1328" t="str">
        <f>IF(Grammys[[#This Row],[date]] &gt;= DATE(2022, 2, 1), "Grammys", "Grammys + TRA")</f>
        <v>Grammys + TRA</v>
      </c>
      <c r="I1328">
        <f>_xlfn.XLOOKUP(Grammys[[#This Row],[date]], mobile_visits[date], mobile_visits[mobile_visitors], 0)</f>
        <v>0</v>
      </c>
    </row>
    <row r="1329" spans="1:9" x14ac:dyDescent="0.2">
      <c r="A1329" s="1">
        <v>44063</v>
      </c>
      <c r="B1329">
        <v>23890</v>
      </c>
      <c r="C1329">
        <v>40386</v>
      </c>
      <c r="D1329">
        <v>25341</v>
      </c>
      <c r="E1329">
        <v>11052</v>
      </c>
      <c r="F1329">
        <v>106</v>
      </c>
      <c r="G1329" t="s">
        <v>20</v>
      </c>
      <c r="H1329" t="str">
        <f>IF(Grammys[[#This Row],[date]] &gt;= DATE(2022, 2, 1), "Grammys", "Grammys + TRA")</f>
        <v>Grammys + TRA</v>
      </c>
      <c r="I1329">
        <f>_xlfn.XLOOKUP(Grammys[[#This Row],[date]], mobile_visits[date], mobile_visits[mobile_visitors], 0)</f>
        <v>0</v>
      </c>
    </row>
    <row r="1330" spans="1:9" x14ac:dyDescent="0.2">
      <c r="A1330" s="1">
        <v>44064</v>
      </c>
      <c r="B1330">
        <v>63836</v>
      </c>
      <c r="C1330">
        <v>99296</v>
      </c>
      <c r="D1330">
        <v>68023</v>
      </c>
      <c r="E1330">
        <v>22537</v>
      </c>
      <c r="F1330">
        <v>118</v>
      </c>
      <c r="G1330" t="s">
        <v>20</v>
      </c>
      <c r="H1330" t="str">
        <f>IF(Grammys[[#This Row],[date]] &gt;= DATE(2022, 2, 1), "Grammys", "Grammys + TRA")</f>
        <v>Grammys + TRA</v>
      </c>
      <c r="I1330">
        <f>_xlfn.XLOOKUP(Grammys[[#This Row],[date]], mobile_visits[date], mobile_visits[mobile_visitors], 0)</f>
        <v>0</v>
      </c>
    </row>
    <row r="1331" spans="1:9" x14ac:dyDescent="0.2">
      <c r="A1331" s="1">
        <v>44065</v>
      </c>
      <c r="B1331">
        <v>31064</v>
      </c>
      <c r="C1331">
        <v>54059</v>
      </c>
      <c r="D1331">
        <v>32496</v>
      </c>
      <c r="E1331">
        <v>13005</v>
      </c>
      <c r="F1331">
        <v>99</v>
      </c>
      <c r="G1331" t="s">
        <v>20</v>
      </c>
      <c r="H1331" t="str">
        <f>IF(Grammys[[#This Row],[date]] &gt;= DATE(2022, 2, 1), "Grammys", "Grammys + TRA")</f>
        <v>Grammys + TRA</v>
      </c>
      <c r="I1331">
        <f>_xlfn.XLOOKUP(Grammys[[#This Row],[date]], mobile_visits[date], mobile_visits[mobile_visitors], 0)</f>
        <v>0</v>
      </c>
    </row>
    <row r="1332" spans="1:9" x14ac:dyDescent="0.2">
      <c r="A1332" s="1">
        <v>44066</v>
      </c>
      <c r="B1332">
        <v>24374</v>
      </c>
      <c r="C1332">
        <v>47142</v>
      </c>
      <c r="D1332">
        <v>25923</v>
      </c>
      <c r="E1332">
        <v>10720</v>
      </c>
      <c r="F1332">
        <v>85</v>
      </c>
      <c r="G1332" t="s">
        <v>20</v>
      </c>
      <c r="H1332" t="str">
        <f>IF(Grammys[[#This Row],[date]] &gt;= DATE(2022, 2, 1), "Grammys", "Grammys + TRA")</f>
        <v>Grammys + TRA</v>
      </c>
      <c r="I1332">
        <f>_xlfn.XLOOKUP(Grammys[[#This Row],[date]], mobile_visits[date], mobile_visits[mobile_visitors], 0)</f>
        <v>0</v>
      </c>
    </row>
    <row r="1333" spans="1:9" x14ac:dyDescent="0.2">
      <c r="A1333" s="1">
        <v>44067</v>
      </c>
      <c r="B1333">
        <v>19051</v>
      </c>
      <c r="C1333">
        <v>36209</v>
      </c>
      <c r="D1333">
        <v>20382</v>
      </c>
      <c r="E1333">
        <v>8789</v>
      </c>
      <c r="F1333">
        <v>82</v>
      </c>
      <c r="G1333" t="s">
        <v>20</v>
      </c>
      <c r="H1333" t="str">
        <f>IF(Grammys[[#This Row],[date]] &gt;= DATE(2022, 2, 1), "Grammys", "Grammys + TRA")</f>
        <v>Grammys + TRA</v>
      </c>
      <c r="I1333">
        <f>_xlfn.XLOOKUP(Grammys[[#This Row],[date]], mobile_visits[date], mobile_visits[mobile_visitors], 0)</f>
        <v>0</v>
      </c>
    </row>
    <row r="1334" spans="1:9" x14ac:dyDescent="0.2">
      <c r="A1334" s="1">
        <v>44068</v>
      </c>
      <c r="B1334">
        <v>17617</v>
      </c>
      <c r="C1334">
        <v>32245</v>
      </c>
      <c r="D1334">
        <v>18817</v>
      </c>
      <c r="E1334">
        <v>8303</v>
      </c>
      <c r="F1334">
        <v>90</v>
      </c>
      <c r="G1334" t="s">
        <v>20</v>
      </c>
      <c r="H1334" t="str">
        <f>IF(Grammys[[#This Row],[date]] &gt;= DATE(2022, 2, 1), "Grammys", "Grammys + TRA")</f>
        <v>Grammys + TRA</v>
      </c>
      <c r="I1334">
        <f>_xlfn.XLOOKUP(Grammys[[#This Row],[date]], mobile_visits[date], mobile_visits[mobile_visitors], 0)</f>
        <v>0</v>
      </c>
    </row>
    <row r="1335" spans="1:9" x14ac:dyDescent="0.2">
      <c r="A1335" s="1">
        <v>44069</v>
      </c>
      <c r="B1335">
        <v>16292</v>
      </c>
      <c r="C1335">
        <v>29901</v>
      </c>
      <c r="D1335">
        <v>17442</v>
      </c>
      <c r="E1335">
        <v>8001</v>
      </c>
      <c r="F1335">
        <v>82</v>
      </c>
      <c r="G1335" t="s">
        <v>20</v>
      </c>
      <c r="H1335" t="str">
        <f>IF(Grammys[[#This Row],[date]] &gt;= DATE(2022, 2, 1), "Grammys", "Grammys + TRA")</f>
        <v>Grammys + TRA</v>
      </c>
      <c r="I1335">
        <f>_xlfn.XLOOKUP(Grammys[[#This Row],[date]], mobile_visits[date], mobile_visits[mobile_visitors], 0)</f>
        <v>0</v>
      </c>
    </row>
    <row r="1336" spans="1:9" x14ac:dyDescent="0.2">
      <c r="A1336" s="1">
        <v>44070</v>
      </c>
      <c r="B1336">
        <v>15185</v>
      </c>
      <c r="C1336">
        <v>28378</v>
      </c>
      <c r="D1336">
        <v>16268</v>
      </c>
      <c r="E1336">
        <v>7609</v>
      </c>
      <c r="F1336">
        <v>80</v>
      </c>
      <c r="G1336" t="s">
        <v>20</v>
      </c>
      <c r="H1336" t="str">
        <f>IF(Grammys[[#This Row],[date]] &gt;= DATE(2022, 2, 1), "Grammys", "Grammys + TRA")</f>
        <v>Grammys + TRA</v>
      </c>
      <c r="I1336">
        <f>_xlfn.XLOOKUP(Grammys[[#This Row],[date]], mobile_visits[date], mobile_visits[mobile_visitors], 0)</f>
        <v>0</v>
      </c>
    </row>
    <row r="1337" spans="1:9" x14ac:dyDescent="0.2">
      <c r="A1337" s="1">
        <v>44071</v>
      </c>
      <c r="B1337">
        <v>15579</v>
      </c>
      <c r="C1337">
        <v>28805</v>
      </c>
      <c r="D1337">
        <v>16751</v>
      </c>
      <c r="E1337">
        <v>7599</v>
      </c>
      <c r="F1337">
        <v>84</v>
      </c>
      <c r="G1337" t="s">
        <v>20</v>
      </c>
      <c r="H1337" t="str">
        <f>IF(Grammys[[#This Row],[date]] &gt;= DATE(2022, 2, 1), "Grammys", "Grammys + TRA")</f>
        <v>Grammys + TRA</v>
      </c>
      <c r="I1337">
        <f>_xlfn.XLOOKUP(Grammys[[#This Row],[date]], mobile_visits[date], mobile_visits[mobile_visitors], 0)</f>
        <v>0</v>
      </c>
    </row>
    <row r="1338" spans="1:9" x14ac:dyDescent="0.2">
      <c r="A1338" s="1">
        <v>44072</v>
      </c>
      <c r="B1338">
        <v>17340</v>
      </c>
      <c r="C1338">
        <v>29594</v>
      </c>
      <c r="D1338">
        <v>18249</v>
      </c>
      <c r="E1338">
        <v>8570</v>
      </c>
      <c r="F1338">
        <v>78</v>
      </c>
      <c r="G1338" t="s">
        <v>20</v>
      </c>
      <c r="H1338" t="str">
        <f>IF(Grammys[[#This Row],[date]] &gt;= DATE(2022, 2, 1), "Grammys", "Grammys + TRA")</f>
        <v>Grammys + TRA</v>
      </c>
      <c r="I1338">
        <f>_xlfn.XLOOKUP(Grammys[[#This Row],[date]], mobile_visits[date], mobile_visits[mobile_visitors], 0)</f>
        <v>0</v>
      </c>
    </row>
    <row r="1339" spans="1:9" x14ac:dyDescent="0.2">
      <c r="A1339" s="1">
        <v>44073</v>
      </c>
      <c r="B1339">
        <v>26580</v>
      </c>
      <c r="C1339">
        <v>43533</v>
      </c>
      <c r="D1339">
        <v>27777</v>
      </c>
      <c r="E1339">
        <v>13342</v>
      </c>
      <c r="F1339">
        <v>77</v>
      </c>
      <c r="G1339" t="s">
        <v>20</v>
      </c>
      <c r="H1339" t="str">
        <f>IF(Grammys[[#This Row],[date]] &gt;= DATE(2022, 2, 1), "Grammys", "Grammys + TRA")</f>
        <v>Grammys + TRA</v>
      </c>
      <c r="I1339">
        <f>_xlfn.XLOOKUP(Grammys[[#This Row],[date]], mobile_visits[date], mobile_visits[mobile_visitors], 0)</f>
        <v>0</v>
      </c>
    </row>
    <row r="1340" spans="1:9" x14ac:dyDescent="0.2">
      <c r="A1340" s="1">
        <v>44074</v>
      </c>
      <c r="B1340">
        <v>28489</v>
      </c>
      <c r="C1340">
        <v>49997</v>
      </c>
      <c r="D1340">
        <v>29939</v>
      </c>
      <c r="E1340">
        <v>12940</v>
      </c>
      <c r="F1340">
        <v>79</v>
      </c>
      <c r="G1340" t="s">
        <v>20</v>
      </c>
      <c r="H1340" t="str">
        <f>IF(Grammys[[#This Row],[date]] &gt;= DATE(2022, 2, 1), "Grammys", "Grammys + TRA")</f>
        <v>Grammys + TRA</v>
      </c>
      <c r="I1340">
        <f>_xlfn.XLOOKUP(Grammys[[#This Row],[date]], mobile_visits[date], mobile_visits[mobile_visitors], 0)</f>
        <v>0</v>
      </c>
    </row>
    <row r="1341" spans="1:9" x14ac:dyDescent="0.2">
      <c r="A1341" s="1">
        <v>44075</v>
      </c>
      <c r="B1341">
        <v>24444</v>
      </c>
      <c r="C1341">
        <v>44794</v>
      </c>
      <c r="D1341">
        <v>26226</v>
      </c>
      <c r="E1341">
        <v>12022</v>
      </c>
      <c r="F1341">
        <v>86</v>
      </c>
      <c r="G1341" t="s">
        <v>20</v>
      </c>
      <c r="H1341" t="str">
        <f>IF(Grammys[[#This Row],[date]] &gt;= DATE(2022, 2, 1), "Grammys", "Grammys + TRA")</f>
        <v>Grammys + TRA</v>
      </c>
      <c r="I1341">
        <f>_xlfn.XLOOKUP(Grammys[[#This Row],[date]], mobile_visits[date], mobile_visits[mobile_visitors], 0)</f>
        <v>0</v>
      </c>
    </row>
    <row r="1342" spans="1:9" x14ac:dyDescent="0.2">
      <c r="A1342" s="1">
        <v>44076</v>
      </c>
      <c r="B1342">
        <v>25389</v>
      </c>
      <c r="C1342">
        <v>47134</v>
      </c>
      <c r="D1342">
        <v>27168</v>
      </c>
      <c r="E1342">
        <v>12101</v>
      </c>
      <c r="F1342">
        <v>83</v>
      </c>
      <c r="G1342" t="s">
        <v>20</v>
      </c>
      <c r="H1342" t="str">
        <f>IF(Grammys[[#This Row],[date]] &gt;= DATE(2022, 2, 1), "Grammys", "Grammys + TRA")</f>
        <v>Grammys + TRA</v>
      </c>
      <c r="I1342">
        <f>_xlfn.XLOOKUP(Grammys[[#This Row],[date]], mobile_visits[date], mobile_visits[mobile_visitors], 0)</f>
        <v>0</v>
      </c>
    </row>
    <row r="1343" spans="1:9" x14ac:dyDescent="0.2">
      <c r="A1343" s="1">
        <v>44077</v>
      </c>
      <c r="B1343">
        <v>25754</v>
      </c>
      <c r="C1343">
        <v>48723</v>
      </c>
      <c r="D1343">
        <v>27196</v>
      </c>
      <c r="E1343">
        <v>11619</v>
      </c>
      <c r="F1343">
        <v>85</v>
      </c>
      <c r="G1343" t="s">
        <v>20</v>
      </c>
      <c r="H1343" t="str">
        <f>IF(Grammys[[#This Row],[date]] &gt;= DATE(2022, 2, 1), "Grammys", "Grammys + TRA")</f>
        <v>Grammys + TRA</v>
      </c>
      <c r="I1343">
        <f>_xlfn.XLOOKUP(Grammys[[#This Row],[date]], mobile_visits[date], mobile_visits[mobile_visitors], 0)</f>
        <v>0</v>
      </c>
    </row>
    <row r="1344" spans="1:9" x14ac:dyDescent="0.2">
      <c r="A1344" s="1">
        <v>44078</v>
      </c>
      <c r="B1344">
        <v>24490</v>
      </c>
      <c r="C1344">
        <v>44844</v>
      </c>
      <c r="D1344">
        <v>25848</v>
      </c>
      <c r="E1344">
        <v>11156</v>
      </c>
      <c r="F1344">
        <v>80</v>
      </c>
      <c r="G1344" t="s">
        <v>20</v>
      </c>
      <c r="H1344" t="str">
        <f>IF(Grammys[[#This Row],[date]] &gt;= DATE(2022, 2, 1), "Grammys", "Grammys + TRA")</f>
        <v>Grammys + TRA</v>
      </c>
      <c r="I1344">
        <f>_xlfn.XLOOKUP(Grammys[[#This Row],[date]], mobile_visits[date], mobile_visits[mobile_visitors], 0)</f>
        <v>0</v>
      </c>
    </row>
    <row r="1345" spans="1:9" x14ac:dyDescent="0.2">
      <c r="A1345" s="1">
        <v>44079</v>
      </c>
      <c r="B1345">
        <v>20222</v>
      </c>
      <c r="C1345">
        <v>35989</v>
      </c>
      <c r="D1345">
        <v>21380</v>
      </c>
      <c r="E1345">
        <v>9530</v>
      </c>
      <c r="F1345">
        <v>81</v>
      </c>
      <c r="G1345" t="s">
        <v>20</v>
      </c>
      <c r="H1345" t="str">
        <f>IF(Grammys[[#This Row],[date]] &gt;= DATE(2022, 2, 1), "Grammys", "Grammys + TRA")</f>
        <v>Grammys + TRA</v>
      </c>
      <c r="I1345">
        <f>_xlfn.XLOOKUP(Grammys[[#This Row],[date]], mobile_visits[date], mobile_visits[mobile_visitors], 0)</f>
        <v>0</v>
      </c>
    </row>
    <row r="1346" spans="1:9" x14ac:dyDescent="0.2">
      <c r="A1346" s="1">
        <v>44080</v>
      </c>
      <c r="B1346">
        <v>20543</v>
      </c>
      <c r="C1346">
        <v>34324</v>
      </c>
      <c r="D1346">
        <v>21443</v>
      </c>
      <c r="E1346">
        <v>9755</v>
      </c>
      <c r="F1346">
        <v>90</v>
      </c>
      <c r="G1346" t="s">
        <v>20</v>
      </c>
      <c r="H1346" t="str">
        <f>IF(Grammys[[#This Row],[date]] &gt;= DATE(2022, 2, 1), "Grammys", "Grammys + TRA")</f>
        <v>Grammys + TRA</v>
      </c>
      <c r="I1346">
        <f>_xlfn.XLOOKUP(Grammys[[#This Row],[date]], mobile_visits[date], mobile_visits[mobile_visitors], 0)</f>
        <v>0</v>
      </c>
    </row>
    <row r="1347" spans="1:9" x14ac:dyDescent="0.2">
      <c r="A1347" s="1">
        <v>44081</v>
      </c>
      <c r="B1347">
        <v>18803</v>
      </c>
      <c r="C1347">
        <v>32470</v>
      </c>
      <c r="D1347">
        <v>19678</v>
      </c>
      <c r="E1347">
        <v>8551</v>
      </c>
      <c r="F1347">
        <v>95</v>
      </c>
      <c r="G1347" t="s">
        <v>20</v>
      </c>
      <c r="H1347" t="str">
        <f>IF(Grammys[[#This Row],[date]] &gt;= DATE(2022, 2, 1), "Grammys", "Grammys + TRA")</f>
        <v>Grammys + TRA</v>
      </c>
      <c r="I1347">
        <f>_xlfn.XLOOKUP(Grammys[[#This Row],[date]], mobile_visits[date], mobile_visits[mobile_visitors], 0)</f>
        <v>0</v>
      </c>
    </row>
    <row r="1348" spans="1:9" x14ac:dyDescent="0.2">
      <c r="A1348" s="1">
        <v>44082</v>
      </c>
      <c r="B1348">
        <v>16430</v>
      </c>
      <c r="C1348">
        <v>30171</v>
      </c>
      <c r="D1348">
        <v>17492</v>
      </c>
      <c r="E1348">
        <v>8148</v>
      </c>
      <c r="F1348">
        <v>85</v>
      </c>
      <c r="G1348" t="s">
        <v>20</v>
      </c>
      <c r="H1348" t="str">
        <f>IF(Grammys[[#This Row],[date]] &gt;= DATE(2022, 2, 1), "Grammys", "Grammys + TRA")</f>
        <v>Grammys + TRA</v>
      </c>
      <c r="I1348">
        <f>_xlfn.XLOOKUP(Grammys[[#This Row],[date]], mobile_visits[date], mobile_visits[mobile_visitors], 0)</f>
        <v>0</v>
      </c>
    </row>
    <row r="1349" spans="1:9" x14ac:dyDescent="0.2">
      <c r="A1349" s="1">
        <v>44083</v>
      </c>
      <c r="B1349">
        <v>24942</v>
      </c>
      <c r="C1349">
        <v>41787</v>
      </c>
      <c r="D1349">
        <v>25973</v>
      </c>
      <c r="E1349">
        <v>10268</v>
      </c>
      <c r="F1349">
        <v>88</v>
      </c>
      <c r="G1349" t="s">
        <v>20</v>
      </c>
      <c r="H1349" t="str">
        <f>IF(Grammys[[#This Row],[date]] &gt;= DATE(2022, 2, 1), "Grammys", "Grammys + TRA")</f>
        <v>Grammys + TRA</v>
      </c>
      <c r="I1349">
        <f>_xlfn.XLOOKUP(Grammys[[#This Row],[date]], mobile_visits[date], mobile_visits[mobile_visitors], 0)</f>
        <v>0</v>
      </c>
    </row>
    <row r="1350" spans="1:9" x14ac:dyDescent="0.2">
      <c r="A1350" s="1">
        <v>44084</v>
      </c>
      <c r="B1350">
        <v>24601</v>
      </c>
      <c r="C1350">
        <v>42931</v>
      </c>
      <c r="D1350">
        <v>26156</v>
      </c>
      <c r="E1350">
        <v>11462</v>
      </c>
      <c r="F1350">
        <v>88</v>
      </c>
      <c r="G1350" t="s">
        <v>20</v>
      </c>
      <c r="H1350" t="str">
        <f>IF(Grammys[[#This Row],[date]] &gt;= DATE(2022, 2, 1), "Grammys", "Grammys + TRA")</f>
        <v>Grammys + TRA</v>
      </c>
      <c r="I1350">
        <f>_xlfn.XLOOKUP(Grammys[[#This Row],[date]], mobile_visits[date], mobile_visits[mobile_visitors], 0)</f>
        <v>0</v>
      </c>
    </row>
    <row r="1351" spans="1:9" x14ac:dyDescent="0.2">
      <c r="A1351" s="1">
        <v>44085</v>
      </c>
      <c r="B1351">
        <v>19487</v>
      </c>
      <c r="C1351">
        <v>35094</v>
      </c>
      <c r="D1351">
        <v>20521</v>
      </c>
      <c r="E1351">
        <v>8385</v>
      </c>
      <c r="F1351">
        <v>83</v>
      </c>
      <c r="G1351" t="s">
        <v>20</v>
      </c>
      <c r="H1351" t="str">
        <f>IF(Grammys[[#This Row],[date]] &gt;= DATE(2022, 2, 1), "Grammys", "Grammys + TRA")</f>
        <v>Grammys + TRA</v>
      </c>
      <c r="I1351">
        <f>_xlfn.XLOOKUP(Grammys[[#This Row],[date]], mobile_visits[date], mobile_visits[mobile_visitors], 0)</f>
        <v>0</v>
      </c>
    </row>
    <row r="1352" spans="1:9" x14ac:dyDescent="0.2">
      <c r="A1352" s="1">
        <v>44086</v>
      </c>
      <c r="B1352">
        <v>17581</v>
      </c>
      <c r="C1352">
        <v>30172</v>
      </c>
      <c r="D1352">
        <v>18700</v>
      </c>
      <c r="E1352">
        <v>7927</v>
      </c>
      <c r="F1352">
        <v>72</v>
      </c>
      <c r="G1352" t="s">
        <v>20</v>
      </c>
      <c r="H1352" t="str">
        <f>IF(Grammys[[#This Row],[date]] &gt;= DATE(2022, 2, 1), "Grammys", "Grammys + TRA")</f>
        <v>Grammys + TRA</v>
      </c>
      <c r="I1352">
        <f>_xlfn.XLOOKUP(Grammys[[#This Row],[date]], mobile_visits[date], mobile_visits[mobile_visitors], 0)</f>
        <v>0</v>
      </c>
    </row>
    <row r="1353" spans="1:9" x14ac:dyDescent="0.2">
      <c r="A1353" s="1">
        <v>44087</v>
      </c>
      <c r="B1353">
        <v>16829</v>
      </c>
      <c r="C1353">
        <v>30457</v>
      </c>
      <c r="D1353">
        <v>17905</v>
      </c>
      <c r="E1353">
        <v>7891</v>
      </c>
      <c r="F1353">
        <v>79</v>
      </c>
      <c r="G1353" t="s">
        <v>20</v>
      </c>
      <c r="H1353" t="str">
        <f>IF(Grammys[[#This Row],[date]] &gt;= DATE(2022, 2, 1), "Grammys", "Grammys + TRA")</f>
        <v>Grammys + TRA</v>
      </c>
      <c r="I1353">
        <f>_xlfn.XLOOKUP(Grammys[[#This Row],[date]], mobile_visits[date], mobile_visits[mobile_visitors], 0)</f>
        <v>0</v>
      </c>
    </row>
    <row r="1354" spans="1:9" x14ac:dyDescent="0.2">
      <c r="A1354" s="1">
        <v>44088</v>
      </c>
      <c r="B1354">
        <v>17142</v>
      </c>
      <c r="C1354">
        <v>32163</v>
      </c>
      <c r="D1354">
        <v>18301</v>
      </c>
      <c r="E1354">
        <v>8172</v>
      </c>
      <c r="F1354">
        <v>93</v>
      </c>
      <c r="G1354" t="s">
        <v>20</v>
      </c>
      <c r="H1354" t="str">
        <f>IF(Grammys[[#This Row],[date]] &gt;= DATE(2022, 2, 1), "Grammys", "Grammys + TRA")</f>
        <v>Grammys + TRA</v>
      </c>
      <c r="I1354">
        <f>_xlfn.XLOOKUP(Grammys[[#This Row],[date]], mobile_visits[date], mobile_visits[mobile_visitors], 0)</f>
        <v>0</v>
      </c>
    </row>
    <row r="1355" spans="1:9" x14ac:dyDescent="0.2">
      <c r="A1355" s="1">
        <v>44089</v>
      </c>
      <c r="B1355">
        <v>16621</v>
      </c>
      <c r="C1355">
        <v>31054</v>
      </c>
      <c r="D1355">
        <v>17803</v>
      </c>
      <c r="E1355">
        <v>7855</v>
      </c>
      <c r="F1355">
        <v>94</v>
      </c>
      <c r="G1355" t="s">
        <v>20</v>
      </c>
      <c r="H1355" t="str">
        <f>IF(Grammys[[#This Row],[date]] &gt;= DATE(2022, 2, 1), "Grammys", "Grammys + TRA")</f>
        <v>Grammys + TRA</v>
      </c>
      <c r="I1355">
        <f>_xlfn.XLOOKUP(Grammys[[#This Row],[date]], mobile_visits[date], mobile_visits[mobile_visitors], 0)</f>
        <v>0</v>
      </c>
    </row>
    <row r="1356" spans="1:9" x14ac:dyDescent="0.2">
      <c r="A1356" s="1">
        <v>44090</v>
      </c>
      <c r="B1356">
        <v>20877</v>
      </c>
      <c r="C1356">
        <v>38227</v>
      </c>
      <c r="D1356">
        <v>22222</v>
      </c>
      <c r="E1356">
        <v>10425</v>
      </c>
      <c r="F1356">
        <v>82</v>
      </c>
      <c r="G1356" t="s">
        <v>20</v>
      </c>
      <c r="H1356" t="str">
        <f>IF(Grammys[[#This Row],[date]] &gt;= DATE(2022, 2, 1), "Grammys", "Grammys + TRA")</f>
        <v>Grammys + TRA</v>
      </c>
      <c r="I1356">
        <f>_xlfn.XLOOKUP(Grammys[[#This Row],[date]], mobile_visits[date], mobile_visits[mobile_visitors], 0)</f>
        <v>0</v>
      </c>
    </row>
    <row r="1357" spans="1:9" x14ac:dyDescent="0.2">
      <c r="A1357" s="1">
        <v>44091</v>
      </c>
      <c r="B1357">
        <v>20512</v>
      </c>
      <c r="C1357">
        <v>37859</v>
      </c>
      <c r="D1357">
        <v>21946</v>
      </c>
      <c r="E1357">
        <v>9766</v>
      </c>
      <c r="F1357">
        <v>81</v>
      </c>
      <c r="G1357" t="s">
        <v>20</v>
      </c>
      <c r="H1357" t="str">
        <f>IF(Grammys[[#This Row],[date]] &gt;= DATE(2022, 2, 1), "Grammys", "Grammys + TRA")</f>
        <v>Grammys + TRA</v>
      </c>
      <c r="I1357">
        <f>_xlfn.XLOOKUP(Grammys[[#This Row],[date]], mobile_visits[date], mobile_visits[mobile_visitors], 0)</f>
        <v>0</v>
      </c>
    </row>
    <row r="1358" spans="1:9" x14ac:dyDescent="0.2">
      <c r="A1358" s="1">
        <v>44092</v>
      </c>
      <c r="B1358">
        <v>203599</v>
      </c>
      <c r="C1358">
        <v>382632</v>
      </c>
      <c r="D1358">
        <v>242593</v>
      </c>
      <c r="E1358">
        <v>29985</v>
      </c>
      <c r="F1358">
        <v>69</v>
      </c>
      <c r="G1358" t="s">
        <v>20</v>
      </c>
      <c r="H1358" t="str">
        <f>IF(Grammys[[#This Row],[date]] &gt;= DATE(2022, 2, 1), "Grammys", "Grammys + TRA")</f>
        <v>Grammys + TRA</v>
      </c>
      <c r="I1358">
        <f>_xlfn.XLOOKUP(Grammys[[#This Row],[date]], mobile_visits[date], mobile_visits[mobile_visitors], 0)</f>
        <v>0</v>
      </c>
    </row>
    <row r="1359" spans="1:9" x14ac:dyDescent="0.2">
      <c r="A1359" s="1">
        <v>44093</v>
      </c>
      <c r="B1359">
        <v>98663</v>
      </c>
      <c r="C1359">
        <v>166622</v>
      </c>
      <c r="D1359">
        <v>108305</v>
      </c>
      <c r="E1359">
        <v>19506</v>
      </c>
      <c r="F1359">
        <v>59</v>
      </c>
      <c r="G1359" t="s">
        <v>20</v>
      </c>
      <c r="H1359" t="str">
        <f>IF(Grammys[[#This Row],[date]] &gt;= DATE(2022, 2, 1), "Grammys", "Grammys + TRA")</f>
        <v>Grammys + TRA</v>
      </c>
      <c r="I1359">
        <f>_xlfn.XLOOKUP(Grammys[[#This Row],[date]], mobile_visits[date], mobile_visits[mobile_visitors], 0)</f>
        <v>0</v>
      </c>
    </row>
    <row r="1360" spans="1:9" x14ac:dyDescent="0.2">
      <c r="A1360" s="1">
        <v>44094</v>
      </c>
      <c r="B1360">
        <v>54400</v>
      </c>
      <c r="C1360">
        <v>93627</v>
      </c>
      <c r="D1360">
        <v>59552</v>
      </c>
      <c r="E1360">
        <v>15282</v>
      </c>
      <c r="F1360">
        <v>62</v>
      </c>
      <c r="G1360" t="s">
        <v>20</v>
      </c>
      <c r="H1360" t="str">
        <f>IF(Grammys[[#This Row],[date]] &gt;= DATE(2022, 2, 1), "Grammys", "Grammys + TRA")</f>
        <v>Grammys + TRA</v>
      </c>
      <c r="I1360">
        <f>_xlfn.XLOOKUP(Grammys[[#This Row],[date]], mobile_visits[date], mobile_visits[mobile_visitors], 0)</f>
        <v>0</v>
      </c>
    </row>
    <row r="1361" spans="1:9" x14ac:dyDescent="0.2">
      <c r="A1361" s="1">
        <v>44095</v>
      </c>
      <c r="B1361">
        <v>38523</v>
      </c>
      <c r="C1361">
        <v>70581</v>
      </c>
      <c r="D1361">
        <v>42353</v>
      </c>
      <c r="E1361">
        <v>13990</v>
      </c>
      <c r="F1361">
        <v>76</v>
      </c>
      <c r="G1361" t="s">
        <v>20</v>
      </c>
      <c r="H1361" t="str">
        <f>IF(Grammys[[#This Row],[date]] &gt;= DATE(2022, 2, 1), "Grammys", "Grammys + TRA")</f>
        <v>Grammys + TRA</v>
      </c>
      <c r="I1361">
        <f>_xlfn.XLOOKUP(Grammys[[#This Row],[date]], mobile_visits[date], mobile_visits[mobile_visitors], 0)</f>
        <v>0</v>
      </c>
    </row>
    <row r="1362" spans="1:9" x14ac:dyDescent="0.2">
      <c r="A1362" s="1">
        <v>44096</v>
      </c>
      <c r="B1362">
        <v>37235</v>
      </c>
      <c r="C1362">
        <v>63629</v>
      </c>
      <c r="D1362">
        <v>40488</v>
      </c>
      <c r="E1362">
        <v>13309</v>
      </c>
      <c r="F1362">
        <v>75</v>
      </c>
      <c r="G1362" t="s">
        <v>20</v>
      </c>
      <c r="H1362" t="str">
        <f>IF(Grammys[[#This Row],[date]] &gt;= DATE(2022, 2, 1), "Grammys", "Grammys + TRA")</f>
        <v>Grammys + TRA</v>
      </c>
      <c r="I1362">
        <f>_xlfn.XLOOKUP(Grammys[[#This Row],[date]], mobile_visits[date], mobile_visits[mobile_visitors], 0)</f>
        <v>0</v>
      </c>
    </row>
    <row r="1363" spans="1:9" x14ac:dyDescent="0.2">
      <c r="A1363" s="1">
        <v>44097</v>
      </c>
      <c r="B1363">
        <v>26278</v>
      </c>
      <c r="C1363">
        <v>46667</v>
      </c>
      <c r="D1363">
        <v>28131</v>
      </c>
      <c r="E1363">
        <v>11410</v>
      </c>
      <c r="F1363">
        <v>87</v>
      </c>
      <c r="G1363" t="s">
        <v>20</v>
      </c>
      <c r="H1363" t="str">
        <f>IF(Grammys[[#This Row],[date]] &gt;= DATE(2022, 2, 1), "Grammys", "Grammys + TRA")</f>
        <v>Grammys + TRA</v>
      </c>
      <c r="I1363">
        <f>_xlfn.XLOOKUP(Grammys[[#This Row],[date]], mobile_visits[date], mobile_visits[mobile_visitors], 0)</f>
        <v>0</v>
      </c>
    </row>
    <row r="1364" spans="1:9" x14ac:dyDescent="0.2">
      <c r="A1364" s="1">
        <v>44098</v>
      </c>
      <c r="B1364">
        <v>30034</v>
      </c>
      <c r="C1364">
        <v>52409</v>
      </c>
      <c r="D1364">
        <v>32376</v>
      </c>
      <c r="E1364">
        <v>12216</v>
      </c>
      <c r="F1364">
        <v>101</v>
      </c>
      <c r="G1364" t="s">
        <v>20</v>
      </c>
      <c r="H1364" t="str">
        <f>IF(Grammys[[#This Row],[date]] &gt;= DATE(2022, 2, 1), "Grammys", "Grammys + TRA")</f>
        <v>Grammys + TRA</v>
      </c>
      <c r="I1364">
        <f>_xlfn.XLOOKUP(Grammys[[#This Row],[date]], mobile_visits[date], mobile_visits[mobile_visitors], 0)</f>
        <v>0</v>
      </c>
    </row>
    <row r="1365" spans="1:9" x14ac:dyDescent="0.2">
      <c r="A1365" s="1">
        <v>44099</v>
      </c>
      <c r="B1365">
        <v>37147</v>
      </c>
      <c r="C1365">
        <v>66274</v>
      </c>
      <c r="D1365">
        <v>42189</v>
      </c>
      <c r="E1365">
        <v>15956</v>
      </c>
      <c r="F1365">
        <v>142</v>
      </c>
      <c r="G1365" t="s">
        <v>20</v>
      </c>
      <c r="H1365" t="str">
        <f>IF(Grammys[[#This Row],[date]] &gt;= DATE(2022, 2, 1), "Grammys", "Grammys + TRA")</f>
        <v>Grammys + TRA</v>
      </c>
      <c r="I1365">
        <f>_xlfn.XLOOKUP(Grammys[[#This Row],[date]], mobile_visits[date], mobile_visits[mobile_visitors], 0)</f>
        <v>0</v>
      </c>
    </row>
    <row r="1366" spans="1:9" x14ac:dyDescent="0.2">
      <c r="A1366" s="1">
        <v>44100</v>
      </c>
      <c r="B1366">
        <v>36219</v>
      </c>
      <c r="C1366">
        <v>58412</v>
      </c>
      <c r="D1366">
        <v>39910</v>
      </c>
      <c r="E1366">
        <v>16100</v>
      </c>
      <c r="F1366">
        <v>109</v>
      </c>
      <c r="G1366" t="s">
        <v>20</v>
      </c>
      <c r="H1366" t="str">
        <f>IF(Grammys[[#This Row],[date]] &gt;= DATE(2022, 2, 1), "Grammys", "Grammys + TRA")</f>
        <v>Grammys + TRA</v>
      </c>
      <c r="I1366">
        <f>_xlfn.XLOOKUP(Grammys[[#This Row],[date]], mobile_visits[date], mobile_visits[mobile_visitors], 0)</f>
        <v>0</v>
      </c>
    </row>
    <row r="1367" spans="1:9" x14ac:dyDescent="0.2">
      <c r="A1367" s="1">
        <v>44101</v>
      </c>
      <c r="B1367">
        <v>24538</v>
      </c>
      <c r="C1367">
        <v>42013</v>
      </c>
      <c r="D1367">
        <v>26612</v>
      </c>
      <c r="E1367">
        <v>11412</v>
      </c>
      <c r="F1367">
        <v>101</v>
      </c>
      <c r="G1367" t="s">
        <v>20</v>
      </c>
      <c r="H1367" t="str">
        <f>IF(Grammys[[#This Row],[date]] &gt;= DATE(2022, 2, 1), "Grammys", "Grammys + TRA")</f>
        <v>Grammys + TRA</v>
      </c>
      <c r="I1367">
        <f>_xlfn.XLOOKUP(Grammys[[#This Row],[date]], mobile_visits[date], mobile_visits[mobile_visitors], 0)</f>
        <v>0</v>
      </c>
    </row>
    <row r="1368" spans="1:9" x14ac:dyDescent="0.2">
      <c r="A1368" s="1">
        <v>44102</v>
      </c>
      <c r="B1368">
        <v>24366</v>
      </c>
      <c r="C1368">
        <v>44509</v>
      </c>
      <c r="D1368">
        <v>25932</v>
      </c>
      <c r="E1368">
        <v>10002</v>
      </c>
      <c r="F1368">
        <v>90</v>
      </c>
      <c r="G1368" t="s">
        <v>20</v>
      </c>
      <c r="H1368" t="str">
        <f>IF(Grammys[[#This Row],[date]] &gt;= DATE(2022, 2, 1), "Grammys", "Grammys + TRA")</f>
        <v>Grammys + TRA</v>
      </c>
      <c r="I1368">
        <f>_xlfn.XLOOKUP(Grammys[[#This Row],[date]], mobile_visits[date], mobile_visits[mobile_visitors], 0)</f>
        <v>0</v>
      </c>
    </row>
    <row r="1369" spans="1:9" x14ac:dyDescent="0.2">
      <c r="A1369" s="1">
        <v>44103</v>
      </c>
      <c r="B1369">
        <v>75836</v>
      </c>
      <c r="C1369">
        <v>146462</v>
      </c>
      <c r="D1369">
        <v>81578</v>
      </c>
      <c r="E1369">
        <v>19204</v>
      </c>
      <c r="F1369">
        <v>171</v>
      </c>
      <c r="G1369" t="s">
        <v>20</v>
      </c>
      <c r="H1369" t="str">
        <f>IF(Grammys[[#This Row],[date]] &gt;= DATE(2022, 2, 1), "Grammys", "Grammys + TRA")</f>
        <v>Grammys + TRA</v>
      </c>
      <c r="I1369">
        <f>_xlfn.XLOOKUP(Grammys[[#This Row],[date]], mobile_visits[date], mobile_visits[mobile_visitors], 0)</f>
        <v>0</v>
      </c>
    </row>
    <row r="1370" spans="1:9" x14ac:dyDescent="0.2">
      <c r="A1370" s="1">
        <v>44104</v>
      </c>
      <c r="B1370">
        <v>43438</v>
      </c>
      <c r="C1370">
        <v>91877</v>
      </c>
      <c r="D1370">
        <v>48359</v>
      </c>
      <c r="E1370">
        <v>17158</v>
      </c>
      <c r="F1370">
        <v>110</v>
      </c>
      <c r="G1370" t="s">
        <v>20</v>
      </c>
      <c r="H1370" t="str">
        <f>IF(Grammys[[#This Row],[date]] &gt;= DATE(2022, 2, 1), "Grammys", "Grammys + TRA")</f>
        <v>Grammys + TRA</v>
      </c>
      <c r="I1370">
        <f>_xlfn.XLOOKUP(Grammys[[#This Row],[date]], mobile_visits[date], mobile_visits[mobile_visitors], 0)</f>
        <v>0</v>
      </c>
    </row>
    <row r="1371" spans="1:9" x14ac:dyDescent="0.2">
      <c r="A1371" s="1">
        <v>44105</v>
      </c>
      <c r="B1371">
        <v>41020</v>
      </c>
      <c r="C1371">
        <v>76997</v>
      </c>
      <c r="D1371">
        <v>43465</v>
      </c>
      <c r="E1371">
        <v>17799</v>
      </c>
      <c r="F1371">
        <v>85</v>
      </c>
      <c r="G1371" t="s">
        <v>20</v>
      </c>
      <c r="H1371" t="str">
        <f>IF(Grammys[[#This Row],[date]] &gt;= DATE(2022, 2, 1), "Grammys", "Grammys + TRA")</f>
        <v>Grammys + TRA</v>
      </c>
      <c r="I1371">
        <f>_xlfn.XLOOKUP(Grammys[[#This Row],[date]], mobile_visits[date], mobile_visits[mobile_visitors], 0)</f>
        <v>0</v>
      </c>
    </row>
    <row r="1372" spans="1:9" x14ac:dyDescent="0.2">
      <c r="A1372" s="1">
        <v>44106</v>
      </c>
      <c r="B1372">
        <v>34921</v>
      </c>
      <c r="C1372">
        <v>67067</v>
      </c>
      <c r="D1372">
        <v>37492</v>
      </c>
      <c r="E1372">
        <v>16280</v>
      </c>
      <c r="F1372">
        <v>84</v>
      </c>
      <c r="G1372" t="s">
        <v>20</v>
      </c>
      <c r="H1372" t="str">
        <f>IF(Grammys[[#This Row],[date]] &gt;= DATE(2022, 2, 1), "Grammys", "Grammys + TRA")</f>
        <v>Grammys + TRA</v>
      </c>
      <c r="I1372">
        <f>_xlfn.XLOOKUP(Grammys[[#This Row],[date]], mobile_visits[date], mobile_visits[mobile_visitors], 0)</f>
        <v>0</v>
      </c>
    </row>
    <row r="1373" spans="1:9" x14ac:dyDescent="0.2">
      <c r="A1373" s="1">
        <v>44107</v>
      </c>
      <c r="B1373">
        <v>28152</v>
      </c>
      <c r="C1373">
        <v>51979</v>
      </c>
      <c r="D1373">
        <v>29803</v>
      </c>
      <c r="E1373">
        <v>12449</v>
      </c>
      <c r="F1373">
        <v>79</v>
      </c>
      <c r="G1373" t="s">
        <v>20</v>
      </c>
      <c r="H1373" t="str">
        <f>IF(Grammys[[#This Row],[date]] &gt;= DATE(2022, 2, 1), "Grammys", "Grammys + TRA")</f>
        <v>Grammys + TRA</v>
      </c>
      <c r="I1373">
        <f>_xlfn.XLOOKUP(Grammys[[#This Row],[date]], mobile_visits[date], mobile_visits[mobile_visitors], 0)</f>
        <v>0</v>
      </c>
    </row>
    <row r="1374" spans="1:9" x14ac:dyDescent="0.2">
      <c r="A1374" s="1">
        <v>44108</v>
      </c>
      <c r="B1374">
        <v>24607</v>
      </c>
      <c r="C1374">
        <v>45997</v>
      </c>
      <c r="D1374">
        <v>26375</v>
      </c>
      <c r="E1374">
        <v>10951</v>
      </c>
      <c r="F1374">
        <v>81</v>
      </c>
      <c r="G1374" t="s">
        <v>20</v>
      </c>
      <c r="H1374" t="str">
        <f>IF(Grammys[[#This Row],[date]] &gt;= DATE(2022, 2, 1), "Grammys", "Grammys + TRA")</f>
        <v>Grammys + TRA</v>
      </c>
      <c r="I1374">
        <f>_xlfn.XLOOKUP(Grammys[[#This Row],[date]], mobile_visits[date], mobile_visits[mobile_visitors], 0)</f>
        <v>0</v>
      </c>
    </row>
    <row r="1375" spans="1:9" x14ac:dyDescent="0.2">
      <c r="A1375" s="1">
        <v>44109</v>
      </c>
      <c r="B1375">
        <v>22575</v>
      </c>
      <c r="C1375">
        <v>44417</v>
      </c>
      <c r="D1375">
        <v>24434</v>
      </c>
      <c r="E1375">
        <v>10485</v>
      </c>
      <c r="F1375">
        <v>90</v>
      </c>
      <c r="G1375" t="s">
        <v>20</v>
      </c>
      <c r="H1375" t="str">
        <f>IF(Grammys[[#This Row],[date]] &gt;= DATE(2022, 2, 1), "Grammys", "Grammys + TRA")</f>
        <v>Grammys + TRA</v>
      </c>
      <c r="I1375">
        <f>_xlfn.XLOOKUP(Grammys[[#This Row],[date]], mobile_visits[date], mobile_visits[mobile_visitors], 0)</f>
        <v>0</v>
      </c>
    </row>
    <row r="1376" spans="1:9" x14ac:dyDescent="0.2">
      <c r="A1376" s="1">
        <v>44110</v>
      </c>
      <c r="B1376">
        <v>28241</v>
      </c>
      <c r="C1376">
        <v>52151</v>
      </c>
      <c r="D1376">
        <v>30107</v>
      </c>
      <c r="E1376">
        <v>12615</v>
      </c>
      <c r="F1376">
        <v>104</v>
      </c>
      <c r="G1376" t="s">
        <v>20</v>
      </c>
      <c r="H1376" t="str">
        <f>IF(Grammys[[#This Row],[date]] &gt;= DATE(2022, 2, 1), "Grammys", "Grammys + TRA")</f>
        <v>Grammys + TRA</v>
      </c>
      <c r="I1376">
        <f>_xlfn.XLOOKUP(Grammys[[#This Row],[date]], mobile_visits[date], mobile_visits[mobile_visitors], 0)</f>
        <v>0</v>
      </c>
    </row>
    <row r="1377" spans="1:9" x14ac:dyDescent="0.2">
      <c r="A1377" s="1">
        <v>44111</v>
      </c>
      <c r="B1377">
        <v>37612</v>
      </c>
      <c r="C1377">
        <v>71687</v>
      </c>
      <c r="D1377">
        <v>40733</v>
      </c>
      <c r="E1377">
        <v>15389</v>
      </c>
      <c r="F1377">
        <v>144</v>
      </c>
      <c r="G1377" t="s">
        <v>20</v>
      </c>
      <c r="H1377" t="str">
        <f>IF(Grammys[[#This Row],[date]] &gt;= DATE(2022, 2, 1), "Grammys", "Grammys + TRA")</f>
        <v>Grammys + TRA</v>
      </c>
      <c r="I1377">
        <f>_xlfn.XLOOKUP(Grammys[[#This Row],[date]], mobile_visits[date], mobile_visits[mobile_visitors], 0)</f>
        <v>0</v>
      </c>
    </row>
    <row r="1378" spans="1:9" x14ac:dyDescent="0.2">
      <c r="A1378" s="1">
        <v>44112</v>
      </c>
      <c r="B1378">
        <v>31984</v>
      </c>
      <c r="C1378">
        <v>58043</v>
      </c>
      <c r="D1378">
        <v>33973</v>
      </c>
      <c r="E1378">
        <v>14388</v>
      </c>
      <c r="F1378">
        <v>113</v>
      </c>
      <c r="G1378" t="s">
        <v>20</v>
      </c>
      <c r="H1378" t="str">
        <f>IF(Grammys[[#This Row],[date]] &gt;= DATE(2022, 2, 1), "Grammys", "Grammys + TRA")</f>
        <v>Grammys + TRA</v>
      </c>
      <c r="I1378">
        <f>_xlfn.XLOOKUP(Grammys[[#This Row],[date]], mobile_visits[date], mobile_visits[mobile_visitors], 0)</f>
        <v>0</v>
      </c>
    </row>
    <row r="1379" spans="1:9" x14ac:dyDescent="0.2">
      <c r="A1379" s="1">
        <v>44113</v>
      </c>
      <c r="B1379">
        <v>25040</v>
      </c>
      <c r="C1379">
        <v>46936</v>
      </c>
      <c r="D1379">
        <v>27021</v>
      </c>
      <c r="E1379">
        <v>11422</v>
      </c>
      <c r="F1379">
        <v>97</v>
      </c>
      <c r="G1379" t="s">
        <v>20</v>
      </c>
      <c r="H1379" t="str">
        <f>IF(Grammys[[#This Row],[date]] &gt;= DATE(2022, 2, 1), "Grammys", "Grammys + TRA")</f>
        <v>Grammys + TRA</v>
      </c>
      <c r="I1379">
        <f>_xlfn.XLOOKUP(Grammys[[#This Row],[date]], mobile_visits[date], mobile_visits[mobile_visitors], 0)</f>
        <v>0</v>
      </c>
    </row>
    <row r="1380" spans="1:9" x14ac:dyDescent="0.2">
      <c r="A1380" s="1">
        <v>44114</v>
      </c>
      <c r="B1380">
        <v>22129</v>
      </c>
      <c r="C1380">
        <v>39559</v>
      </c>
      <c r="D1380">
        <v>23781</v>
      </c>
      <c r="E1380">
        <v>9560</v>
      </c>
      <c r="F1380">
        <v>92</v>
      </c>
      <c r="G1380" t="s">
        <v>20</v>
      </c>
      <c r="H1380" t="str">
        <f>IF(Grammys[[#This Row],[date]] &gt;= DATE(2022, 2, 1), "Grammys", "Grammys + TRA")</f>
        <v>Grammys + TRA</v>
      </c>
      <c r="I1380">
        <f>_xlfn.XLOOKUP(Grammys[[#This Row],[date]], mobile_visits[date], mobile_visits[mobile_visitors], 0)</f>
        <v>0</v>
      </c>
    </row>
    <row r="1381" spans="1:9" x14ac:dyDescent="0.2">
      <c r="A1381" s="1">
        <v>44115</v>
      </c>
      <c r="B1381">
        <v>21476</v>
      </c>
      <c r="C1381">
        <v>40992</v>
      </c>
      <c r="D1381">
        <v>23184</v>
      </c>
      <c r="E1381">
        <v>9302</v>
      </c>
      <c r="F1381">
        <v>93</v>
      </c>
      <c r="G1381" t="s">
        <v>20</v>
      </c>
      <c r="H1381" t="str">
        <f>IF(Grammys[[#This Row],[date]] &gt;= DATE(2022, 2, 1), "Grammys", "Grammys + TRA")</f>
        <v>Grammys + TRA</v>
      </c>
      <c r="I1381">
        <f>_xlfn.XLOOKUP(Grammys[[#This Row],[date]], mobile_visits[date], mobile_visits[mobile_visitors], 0)</f>
        <v>0</v>
      </c>
    </row>
    <row r="1382" spans="1:9" x14ac:dyDescent="0.2">
      <c r="A1382" s="1">
        <v>44116</v>
      </c>
      <c r="B1382">
        <v>27364</v>
      </c>
      <c r="C1382">
        <v>53377</v>
      </c>
      <c r="D1382">
        <v>29733</v>
      </c>
      <c r="E1382">
        <v>12931</v>
      </c>
      <c r="F1382">
        <v>92</v>
      </c>
      <c r="G1382" t="s">
        <v>20</v>
      </c>
      <c r="H1382" t="str">
        <f>IF(Grammys[[#This Row],[date]] &gt;= DATE(2022, 2, 1), "Grammys", "Grammys + TRA")</f>
        <v>Grammys + TRA</v>
      </c>
      <c r="I1382">
        <f>_xlfn.XLOOKUP(Grammys[[#This Row],[date]], mobile_visits[date], mobile_visits[mobile_visitors], 0)</f>
        <v>0</v>
      </c>
    </row>
    <row r="1383" spans="1:9" x14ac:dyDescent="0.2">
      <c r="A1383" s="1">
        <v>44117</v>
      </c>
      <c r="B1383">
        <v>23155</v>
      </c>
      <c r="C1383">
        <v>43879</v>
      </c>
      <c r="D1383">
        <v>24752</v>
      </c>
      <c r="E1383">
        <v>10711</v>
      </c>
      <c r="F1383">
        <v>82</v>
      </c>
      <c r="G1383" t="s">
        <v>20</v>
      </c>
      <c r="H1383" t="str">
        <f>IF(Grammys[[#This Row],[date]] &gt;= DATE(2022, 2, 1), "Grammys", "Grammys + TRA")</f>
        <v>Grammys + TRA</v>
      </c>
      <c r="I1383">
        <f>_xlfn.XLOOKUP(Grammys[[#This Row],[date]], mobile_visits[date], mobile_visits[mobile_visitors], 0)</f>
        <v>0</v>
      </c>
    </row>
    <row r="1384" spans="1:9" x14ac:dyDescent="0.2">
      <c r="A1384" s="1">
        <v>44118</v>
      </c>
      <c r="B1384">
        <v>22916</v>
      </c>
      <c r="C1384">
        <v>43410</v>
      </c>
      <c r="D1384">
        <v>24444</v>
      </c>
      <c r="E1384">
        <v>10333</v>
      </c>
      <c r="F1384">
        <v>80</v>
      </c>
      <c r="G1384" t="s">
        <v>20</v>
      </c>
      <c r="H1384" t="str">
        <f>IF(Grammys[[#This Row],[date]] &gt;= DATE(2022, 2, 1), "Grammys", "Grammys + TRA")</f>
        <v>Grammys + TRA</v>
      </c>
      <c r="I1384">
        <f>_xlfn.XLOOKUP(Grammys[[#This Row],[date]], mobile_visits[date], mobile_visits[mobile_visitors], 0)</f>
        <v>0</v>
      </c>
    </row>
    <row r="1385" spans="1:9" x14ac:dyDescent="0.2">
      <c r="A1385" s="1">
        <v>44119</v>
      </c>
      <c r="B1385">
        <v>21944</v>
      </c>
      <c r="C1385">
        <v>41694</v>
      </c>
      <c r="D1385">
        <v>23463</v>
      </c>
      <c r="E1385">
        <v>9970</v>
      </c>
      <c r="F1385">
        <v>86</v>
      </c>
      <c r="G1385" t="s">
        <v>20</v>
      </c>
      <c r="H1385" t="str">
        <f>IF(Grammys[[#This Row],[date]] &gt;= DATE(2022, 2, 1), "Grammys", "Grammys + TRA")</f>
        <v>Grammys + TRA</v>
      </c>
      <c r="I1385">
        <f>_xlfn.XLOOKUP(Grammys[[#This Row],[date]], mobile_visits[date], mobile_visits[mobile_visitors], 0)</f>
        <v>0</v>
      </c>
    </row>
    <row r="1386" spans="1:9" x14ac:dyDescent="0.2">
      <c r="A1386" s="1">
        <v>44120</v>
      </c>
      <c r="B1386">
        <v>24022</v>
      </c>
      <c r="C1386">
        <v>44842</v>
      </c>
      <c r="D1386">
        <v>25633</v>
      </c>
      <c r="E1386">
        <v>11023</v>
      </c>
      <c r="F1386">
        <v>83</v>
      </c>
      <c r="G1386" t="s">
        <v>20</v>
      </c>
      <c r="H1386" t="str">
        <f>IF(Grammys[[#This Row],[date]] &gt;= DATE(2022, 2, 1), "Grammys", "Grammys + TRA")</f>
        <v>Grammys + TRA</v>
      </c>
      <c r="I1386">
        <f>_xlfn.XLOOKUP(Grammys[[#This Row],[date]], mobile_visits[date], mobile_visits[mobile_visitors], 0)</f>
        <v>0</v>
      </c>
    </row>
    <row r="1387" spans="1:9" x14ac:dyDescent="0.2">
      <c r="A1387" s="1">
        <v>44121</v>
      </c>
      <c r="B1387">
        <v>20469</v>
      </c>
      <c r="C1387">
        <v>37718</v>
      </c>
      <c r="D1387">
        <v>21780</v>
      </c>
      <c r="E1387">
        <v>9216</v>
      </c>
      <c r="F1387">
        <v>80</v>
      </c>
      <c r="G1387" t="s">
        <v>20</v>
      </c>
      <c r="H1387" t="str">
        <f>IF(Grammys[[#This Row],[date]] &gt;= DATE(2022, 2, 1), "Grammys", "Grammys + TRA")</f>
        <v>Grammys + TRA</v>
      </c>
      <c r="I1387">
        <f>_xlfn.XLOOKUP(Grammys[[#This Row],[date]], mobile_visits[date], mobile_visits[mobile_visitors], 0)</f>
        <v>0</v>
      </c>
    </row>
    <row r="1388" spans="1:9" x14ac:dyDescent="0.2">
      <c r="A1388" s="1">
        <v>44122</v>
      </c>
      <c r="B1388">
        <v>18254</v>
      </c>
      <c r="C1388">
        <v>34564</v>
      </c>
      <c r="D1388">
        <v>19425</v>
      </c>
      <c r="E1388">
        <v>8190</v>
      </c>
      <c r="F1388">
        <v>83</v>
      </c>
      <c r="G1388" t="s">
        <v>20</v>
      </c>
      <c r="H1388" t="str">
        <f>IF(Grammys[[#This Row],[date]] &gt;= DATE(2022, 2, 1), "Grammys", "Grammys + TRA")</f>
        <v>Grammys + TRA</v>
      </c>
      <c r="I1388">
        <f>_xlfn.XLOOKUP(Grammys[[#This Row],[date]], mobile_visits[date], mobile_visits[mobile_visitors], 0)</f>
        <v>0</v>
      </c>
    </row>
    <row r="1389" spans="1:9" x14ac:dyDescent="0.2">
      <c r="A1389" s="1">
        <v>44123</v>
      </c>
      <c r="B1389">
        <v>17963</v>
      </c>
      <c r="C1389">
        <v>34833</v>
      </c>
      <c r="D1389">
        <v>19150</v>
      </c>
      <c r="E1389">
        <v>8151</v>
      </c>
      <c r="F1389">
        <v>87</v>
      </c>
      <c r="G1389" t="s">
        <v>20</v>
      </c>
      <c r="H1389" t="str">
        <f>IF(Grammys[[#This Row],[date]] &gt;= DATE(2022, 2, 1), "Grammys", "Grammys + TRA")</f>
        <v>Grammys + TRA</v>
      </c>
      <c r="I1389">
        <f>_xlfn.XLOOKUP(Grammys[[#This Row],[date]], mobile_visits[date], mobile_visits[mobile_visitors], 0)</f>
        <v>0</v>
      </c>
    </row>
    <row r="1390" spans="1:9" x14ac:dyDescent="0.2">
      <c r="A1390" s="1">
        <v>44124</v>
      </c>
      <c r="B1390">
        <v>17177</v>
      </c>
      <c r="C1390">
        <v>33673</v>
      </c>
      <c r="D1390">
        <v>18261</v>
      </c>
      <c r="E1390">
        <v>8004</v>
      </c>
      <c r="F1390">
        <v>91</v>
      </c>
      <c r="G1390" t="s">
        <v>20</v>
      </c>
      <c r="H1390" t="str">
        <f>IF(Grammys[[#This Row],[date]] &gt;= DATE(2022, 2, 1), "Grammys", "Grammys + TRA")</f>
        <v>Grammys + TRA</v>
      </c>
      <c r="I1390">
        <f>_xlfn.XLOOKUP(Grammys[[#This Row],[date]], mobile_visits[date], mobile_visits[mobile_visitors], 0)</f>
        <v>0</v>
      </c>
    </row>
    <row r="1391" spans="1:9" x14ac:dyDescent="0.2">
      <c r="A1391" s="1">
        <v>44125</v>
      </c>
      <c r="B1391">
        <v>34674</v>
      </c>
      <c r="C1391">
        <v>66396</v>
      </c>
      <c r="D1391">
        <v>37000</v>
      </c>
      <c r="E1391">
        <v>15189</v>
      </c>
      <c r="F1391">
        <v>77</v>
      </c>
      <c r="G1391" t="s">
        <v>20</v>
      </c>
      <c r="H1391" t="str">
        <f>IF(Grammys[[#This Row],[date]] &gt;= DATE(2022, 2, 1), "Grammys", "Grammys + TRA")</f>
        <v>Grammys + TRA</v>
      </c>
      <c r="I1391">
        <f>_xlfn.XLOOKUP(Grammys[[#This Row],[date]], mobile_visits[date], mobile_visits[mobile_visitors], 0)</f>
        <v>0</v>
      </c>
    </row>
    <row r="1392" spans="1:9" x14ac:dyDescent="0.2">
      <c r="A1392" s="1">
        <v>44126</v>
      </c>
      <c r="B1392">
        <v>25334</v>
      </c>
      <c r="C1392">
        <v>48598</v>
      </c>
      <c r="D1392">
        <v>27390</v>
      </c>
      <c r="E1392">
        <v>11948</v>
      </c>
      <c r="F1392">
        <v>84</v>
      </c>
      <c r="G1392" t="s">
        <v>20</v>
      </c>
      <c r="H1392" t="str">
        <f>IF(Grammys[[#This Row],[date]] &gt;= DATE(2022, 2, 1), "Grammys", "Grammys + TRA")</f>
        <v>Grammys + TRA</v>
      </c>
      <c r="I1392">
        <f>_xlfn.XLOOKUP(Grammys[[#This Row],[date]], mobile_visits[date], mobile_visits[mobile_visitors], 0)</f>
        <v>0</v>
      </c>
    </row>
    <row r="1393" spans="1:9" x14ac:dyDescent="0.2">
      <c r="A1393" s="1">
        <v>44127</v>
      </c>
      <c r="B1393">
        <v>20083</v>
      </c>
      <c r="C1393">
        <v>38755</v>
      </c>
      <c r="D1393">
        <v>21310</v>
      </c>
      <c r="E1393">
        <v>9068</v>
      </c>
      <c r="F1393">
        <v>83</v>
      </c>
      <c r="G1393" t="s">
        <v>20</v>
      </c>
      <c r="H1393" t="str">
        <f>IF(Grammys[[#This Row],[date]] &gt;= DATE(2022, 2, 1), "Grammys", "Grammys + TRA")</f>
        <v>Grammys + TRA</v>
      </c>
      <c r="I1393">
        <f>_xlfn.XLOOKUP(Grammys[[#This Row],[date]], mobile_visits[date], mobile_visits[mobile_visitors], 0)</f>
        <v>0</v>
      </c>
    </row>
    <row r="1394" spans="1:9" x14ac:dyDescent="0.2">
      <c r="A1394" s="1">
        <v>44128</v>
      </c>
      <c r="B1394">
        <v>19208</v>
      </c>
      <c r="C1394">
        <v>37695</v>
      </c>
      <c r="D1394">
        <v>20524</v>
      </c>
      <c r="E1394">
        <v>8407</v>
      </c>
      <c r="F1394">
        <v>82</v>
      </c>
      <c r="G1394" t="s">
        <v>20</v>
      </c>
      <c r="H1394" t="str">
        <f>IF(Grammys[[#This Row],[date]] &gt;= DATE(2022, 2, 1), "Grammys", "Grammys + TRA")</f>
        <v>Grammys + TRA</v>
      </c>
      <c r="I1394">
        <f>_xlfn.XLOOKUP(Grammys[[#This Row],[date]], mobile_visits[date], mobile_visits[mobile_visitors], 0)</f>
        <v>0</v>
      </c>
    </row>
    <row r="1395" spans="1:9" x14ac:dyDescent="0.2">
      <c r="A1395" s="1">
        <v>44129</v>
      </c>
      <c r="B1395">
        <v>17880</v>
      </c>
      <c r="C1395">
        <v>34580</v>
      </c>
      <c r="D1395">
        <v>19086</v>
      </c>
      <c r="E1395">
        <v>8108</v>
      </c>
      <c r="F1395">
        <v>79</v>
      </c>
      <c r="G1395" t="s">
        <v>20</v>
      </c>
      <c r="H1395" t="str">
        <f>IF(Grammys[[#This Row],[date]] &gt;= DATE(2022, 2, 1), "Grammys", "Grammys + TRA")</f>
        <v>Grammys + TRA</v>
      </c>
      <c r="I1395">
        <f>_xlfn.XLOOKUP(Grammys[[#This Row],[date]], mobile_visits[date], mobile_visits[mobile_visitors], 0)</f>
        <v>0</v>
      </c>
    </row>
    <row r="1396" spans="1:9" x14ac:dyDescent="0.2">
      <c r="A1396" s="1">
        <v>44130</v>
      </c>
      <c r="B1396">
        <v>29907</v>
      </c>
      <c r="C1396">
        <v>53516</v>
      </c>
      <c r="D1396">
        <v>32148</v>
      </c>
      <c r="E1396">
        <v>13541</v>
      </c>
      <c r="F1396">
        <v>119</v>
      </c>
      <c r="G1396" t="s">
        <v>20</v>
      </c>
      <c r="H1396" t="str">
        <f>IF(Grammys[[#This Row],[date]] &gt;= DATE(2022, 2, 1), "Grammys", "Grammys + TRA")</f>
        <v>Grammys + TRA</v>
      </c>
      <c r="I1396">
        <f>_xlfn.XLOOKUP(Grammys[[#This Row],[date]], mobile_visits[date], mobile_visits[mobile_visitors], 0)</f>
        <v>0</v>
      </c>
    </row>
    <row r="1397" spans="1:9" x14ac:dyDescent="0.2">
      <c r="A1397" s="1">
        <v>44131</v>
      </c>
      <c r="B1397">
        <v>20512</v>
      </c>
      <c r="C1397">
        <v>39791</v>
      </c>
      <c r="D1397">
        <v>22144</v>
      </c>
      <c r="E1397">
        <v>9857</v>
      </c>
      <c r="F1397">
        <v>90</v>
      </c>
      <c r="G1397" t="s">
        <v>20</v>
      </c>
      <c r="H1397" t="str">
        <f>IF(Grammys[[#This Row],[date]] &gt;= DATE(2022, 2, 1), "Grammys", "Grammys + TRA")</f>
        <v>Grammys + TRA</v>
      </c>
      <c r="I1397">
        <f>_xlfn.XLOOKUP(Grammys[[#This Row],[date]], mobile_visits[date], mobile_visits[mobile_visitors], 0)</f>
        <v>0</v>
      </c>
    </row>
    <row r="1398" spans="1:9" x14ac:dyDescent="0.2">
      <c r="A1398" s="1">
        <v>44132</v>
      </c>
      <c r="B1398">
        <v>21173</v>
      </c>
      <c r="C1398">
        <v>43393</v>
      </c>
      <c r="D1398">
        <v>22735</v>
      </c>
      <c r="E1398">
        <v>9838</v>
      </c>
      <c r="F1398">
        <v>82</v>
      </c>
      <c r="G1398" t="s">
        <v>20</v>
      </c>
      <c r="H1398" t="str">
        <f>IF(Grammys[[#This Row],[date]] &gt;= DATE(2022, 2, 1), "Grammys", "Grammys + TRA")</f>
        <v>Grammys + TRA</v>
      </c>
      <c r="I1398">
        <f>_xlfn.XLOOKUP(Grammys[[#This Row],[date]], mobile_visits[date], mobile_visits[mobile_visitors], 0)</f>
        <v>0</v>
      </c>
    </row>
    <row r="1399" spans="1:9" x14ac:dyDescent="0.2">
      <c r="A1399" s="1">
        <v>44133</v>
      </c>
      <c r="B1399">
        <v>19574</v>
      </c>
      <c r="C1399">
        <v>38305</v>
      </c>
      <c r="D1399">
        <v>20930</v>
      </c>
      <c r="E1399">
        <v>9339</v>
      </c>
      <c r="F1399">
        <v>86</v>
      </c>
      <c r="G1399" t="s">
        <v>20</v>
      </c>
      <c r="H1399" t="str">
        <f>IF(Grammys[[#This Row],[date]] &gt;= DATE(2022, 2, 1), "Grammys", "Grammys + TRA")</f>
        <v>Grammys + TRA</v>
      </c>
      <c r="I1399">
        <f>_xlfn.XLOOKUP(Grammys[[#This Row],[date]], mobile_visits[date], mobile_visits[mobile_visitors], 0)</f>
        <v>0</v>
      </c>
    </row>
    <row r="1400" spans="1:9" x14ac:dyDescent="0.2">
      <c r="A1400" s="1">
        <v>44134</v>
      </c>
      <c r="B1400">
        <v>17623</v>
      </c>
      <c r="C1400">
        <v>32898</v>
      </c>
      <c r="D1400">
        <v>18684</v>
      </c>
      <c r="E1400">
        <v>8567</v>
      </c>
      <c r="F1400">
        <v>79</v>
      </c>
      <c r="G1400" t="s">
        <v>20</v>
      </c>
      <c r="H1400" t="str">
        <f>IF(Grammys[[#This Row],[date]] &gt;= DATE(2022, 2, 1), "Grammys", "Grammys + TRA")</f>
        <v>Grammys + TRA</v>
      </c>
      <c r="I1400">
        <f>_xlfn.XLOOKUP(Grammys[[#This Row],[date]], mobile_visits[date], mobile_visits[mobile_visitors], 0)</f>
        <v>0</v>
      </c>
    </row>
    <row r="1401" spans="1:9" x14ac:dyDescent="0.2">
      <c r="A1401" s="1">
        <v>44135</v>
      </c>
      <c r="B1401">
        <v>13141</v>
      </c>
      <c r="C1401">
        <v>24495</v>
      </c>
      <c r="D1401">
        <v>14002</v>
      </c>
      <c r="E1401">
        <v>6157</v>
      </c>
      <c r="F1401">
        <v>76</v>
      </c>
      <c r="G1401" t="s">
        <v>20</v>
      </c>
      <c r="H1401" t="str">
        <f>IF(Grammys[[#This Row],[date]] &gt;= DATE(2022, 2, 1), "Grammys", "Grammys + TRA")</f>
        <v>Grammys + TRA</v>
      </c>
      <c r="I1401">
        <f>_xlfn.XLOOKUP(Grammys[[#This Row],[date]], mobile_visits[date], mobile_visits[mobile_visitors], 0)</f>
        <v>0</v>
      </c>
    </row>
    <row r="1402" spans="1:9" x14ac:dyDescent="0.2">
      <c r="A1402" s="1">
        <v>44136</v>
      </c>
      <c r="B1402">
        <v>14584</v>
      </c>
      <c r="C1402">
        <v>27731</v>
      </c>
      <c r="D1402">
        <v>15478</v>
      </c>
      <c r="E1402">
        <v>6752</v>
      </c>
      <c r="F1402">
        <v>86</v>
      </c>
      <c r="G1402" t="s">
        <v>20</v>
      </c>
      <c r="H1402" t="str">
        <f>IF(Grammys[[#This Row],[date]] &gt;= DATE(2022, 2, 1), "Grammys", "Grammys + TRA")</f>
        <v>Grammys + TRA</v>
      </c>
      <c r="I1402">
        <f>_xlfn.XLOOKUP(Grammys[[#This Row],[date]], mobile_visits[date], mobile_visits[mobile_visitors], 0)</f>
        <v>0</v>
      </c>
    </row>
    <row r="1403" spans="1:9" x14ac:dyDescent="0.2">
      <c r="A1403" s="1">
        <v>44137</v>
      </c>
      <c r="B1403">
        <v>15014</v>
      </c>
      <c r="C1403">
        <v>29404</v>
      </c>
      <c r="D1403">
        <v>16137</v>
      </c>
      <c r="E1403">
        <v>7112</v>
      </c>
      <c r="F1403">
        <v>85</v>
      </c>
      <c r="G1403" t="s">
        <v>20</v>
      </c>
      <c r="H1403" t="str">
        <f>IF(Grammys[[#This Row],[date]] &gt;= DATE(2022, 2, 1), "Grammys", "Grammys + TRA")</f>
        <v>Grammys + TRA</v>
      </c>
      <c r="I1403">
        <f>_xlfn.XLOOKUP(Grammys[[#This Row],[date]], mobile_visits[date], mobile_visits[mobile_visitors], 0)</f>
        <v>0</v>
      </c>
    </row>
    <row r="1404" spans="1:9" x14ac:dyDescent="0.2">
      <c r="A1404" s="1">
        <v>44138</v>
      </c>
      <c r="B1404">
        <v>13986</v>
      </c>
      <c r="C1404">
        <v>26426</v>
      </c>
      <c r="D1404">
        <v>14984</v>
      </c>
      <c r="E1404">
        <v>6295</v>
      </c>
      <c r="F1404">
        <v>85</v>
      </c>
      <c r="G1404" t="s">
        <v>20</v>
      </c>
      <c r="H1404" t="str">
        <f>IF(Grammys[[#This Row],[date]] &gt;= DATE(2022, 2, 1), "Grammys", "Grammys + TRA")</f>
        <v>Grammys + TRA</v>
      </c>
      <c r="I1404">
        <f>_xlfn.XLOOKUP(Grammys[[#This Row],[date]], mobile_visits[date], mobile_visits[mobile_visitors], 0)</f>
        <v>0</v>
      </c>
    </row>
    <row r="1405" spans="1:9" x14ac:dyDescent="0.2">
      <c r="A1405" s="1">
        <v>44139</v>
      </c>
      <c r="B1405">
        <v>13576</v>
      </c>
      <c r="C1405">
        <v>26365</v>
      </c>
      <c r="D1405">
        <v>14579</v>
      </c>
      <c r="E1405">
        <v>6487</v>
      </c>
      <c r="F1405">
        <v>83</v>
      </c>
      <c r="G1405" t="s">
        <v>20</v>
      </c>
      <c r="H1405" t="str">
        <f>IF(Grammys[[#This Row],[date]] &gt;= DATE(2022, 2, 1), "Grammys", "Grammys + TRA")</f>
        <v>Grammys + TRA</v>
      </c>
      <c r="I1405">
        <f>_xlfn.XLOOKUP(Grammys[[#This Row],[date]], mobile_visits[date], mobile_visits[mobile_visitors], 0)</f>
        <v>0</v>
      </c>
    </row>
    <row r="1406" spans="1:9" x14ac:dyDescent="0.2">
      <c r="A1406" s="1">
        <v>44140</v>
      </c>
      <c r="B1406">
        <v>13514</v>
      </c>
      <c r="C1406">
        <v>27232</v>
      </c>
      <c r="D1406">
        <v>14694</v>
      </c>
      <c r="E1406">
        <v>6520</v>
      </c>
      <c r="F1406">
        <v>88</v>
      </c>
      <c r="G1406" t="s">
        <v>20</v>
      </c>
      <c r="H1406" t="str">
        <f>IF(Grammys[[#This Row],[date]] &gt;= DATE(2022, 2, 1), "Grammys", "Grammys + TRA")</f>
        <v>Grammys + TRA</v>
      </c>
      <c r="I1406">
        <f>_xlfn.XLOOKUP(Grammys[[#This Row],[date]], mobile_visits[date], mobile_visits[mobile_visitors], 0)</f>
        <v>0</v>
      </c>
    </row>
    <row r="1407" spans="1:9" x14ac:dyDescent="0.2">
      <c r="A1407" s="1">
        <v>44141</v>
      </c>
      <c r="B1407">
        <v>14861</v>
      </c>
      <c r="C1407">
        <v>28090</v>
      </c>
      <c r="D1407">
        <v>15797</v>
      </c>
      <c r="E1407">
        <v>6872</v>
      </c>
      <c r="F1407">
        <v>81</v>
      </c>
      <c r="G1407" t="s">
        <v>20</v>
      </c>
      <c r="H1407" t="str">
        <f>IF(Grammys[[#This Row],[date]] &gt;= DATE(2022, 2, 1), "Grammys", "Grammys + TRA")</f>
        <v>Grammys + TRA</v>
      </c>
      <c r="I1407">
        <f>_xlfn.XLOOKUP(Grammys[[#This Row],[date]], mobile_visits[date], mobile_visits[mobile_visitors], 0)</f>
        <v>0</v>
      </c>
    </row>
    <row r="1408" spans="1:9" x14ac:dyDescent="0.2">
      <c r="A1408" s="1">
        <v>44142</v>
      </c>
      <c r="B1408">
        <v>13135</v>
      </c>
      <c r="C1408">
        <v>25767</v>
      </c>
      <c r="D1408">
        <v>13984</v>
      </c>
      <c r="E1408">
        <v>5706</v>
      </c>
      <c r="F1408">
        <v>74</v>
      </c>
      <c r="G1408" t="s">
        <v>20</v>
      </c>
      <c r="H1408" t="str">
        <f>IF(Grammys[[#This Row],[date]] &gt;= DATE(2022, 2, 1), "Grammys", "Grammys + TRA")</f>
        <v>Grammys + TRA</v>
      </c>
      <c r="I1408">
        <f>_xlfn.XLOOKUP(Grammys[[#This Row],[date]], mobile_visits[date], mobile_visits[mobile_visitors], 0)</f>
        <v>0</v>
      </c>
    </row>
    <row r="1409" spans="1:9" x14ac:dyDescent="0.2">
      <c r="A1409" s="1">
        <v>44143</v>
      </c>
      <c r="B1409">
        <v>13600</v>
      </c>
      <c r="C1409">
        <v>26410</v>
      </c>
      <c r="D1409">
        <v>14409</v>
      </c>
      <c r="E1409">
        <v>5996</v>
      </c>
      <c r="F1409">
        <v>85</v>
      </c>
      <c r="G1409" t="s">
        <v>20</v>
      </c>
      <c r="H1409" t="str">
        <f>IF(Grammys[[#This Row],[date]] &gt;= DATE(2022, 2, 1), "Grammys", "Grammys + TRA")</f>
        <v>Grammys + TRA</v>
      </c>
      <c r="I1409">
        <f>_xlfn.XLOOKUP(Grammys[[#This Row],[date]], mobile_visits[date], mobile_visits[mobile_visitors], 0)</f>
        <v>0</v>
      </c>
    </row>
    <row r="1410" spans="1:9" x14ac:dyDescent="0.2">
      <c r="A1410" s="1">
        <v>44144</v>
      </c>
      <c r="B1410">
        <v>18814</v>
      </c>
      <c r="C1410">
        <v>34866</v>
      </c>
      <c r="D1410">
        <v>19966</v>
      </c>
      <c r="E1410">
        <v>8013</v>
      </c>
      <c r="F1410">
        <v>80</v>
      </c>
      <c r="G1410" t="s">
        <v>20</v>
      </c>
      <c r="H1410" t="str">
        <f>IF(Grammys[[#This Row],[date]] &gt;= DATE(2022, 2, 1), "Grammys", "Grammys + TRA")</f>
        <v>Grammys + TRA</v>
      </c>
      <c r="I1410">
        <f>_xlfn.XLOOKUP(Grammys[[#This Row],[date]], mobile_visits[date], mobile_visits[mobile_visitors], 0)</f>
        <v>0</v>
      </c>
    </row>
    <row r="1411" spans="1:9" x14ac:dyDescent="0.2">
      <c r="A1411" s="1">
        <v>44145</v>
      </c>
      <c r="B1411">
        <v>16962</v>
      </c>
      <c r="C1411">
        <v>33261</v>
      </c>
      <c r="D1411">
        <v>18232</v>
      </c>
      <c r="E1411">
        <v>7649</v>
      </c>
      <c r="F1411">
        <v>83</v>
      </c>
      <c r="G1411" t="s">
        <v>20</v>
      </c>
      <c r="H1411" t="str">
        <f>IF(Grammys[[#This Row],[date]] &gt;= DATE(2022, 2, 1), "Grammys", "Grammys + TRA")</f>
        <v>Grammys + TRA</v>
      </c>
      <c r="I1411">
        <f>_xlfn.XLOOKUP(Grammys[[#This Row],[date]], mobile_visits[date], mobile_visits[mobile_visitors], 0)</f>
        <v>0</v>
      </c>
    </row>
    <row r="1412" spans="1:9" x14ac:dyDescent="0.2">
      <c r="A1412" s="1">
        <v>44146</v>
      </c>
      <c r="B1412">
        <v>17079</v>
      </c>
      <c r="C1412">
        <v>33553</v>
      </c>
      <c r="D1412">
        <v>18490</v>
      </c>
      <c r="E1412">
        <v>7996</v>
      </c>
      <c r="F1412">
        <v>83</v>
      </c>
      <c r="G1412" t="s">
        <v>20</v>
      </c>
      <c r="H1412" t="str">
        <f>IF(Grammys[[#This Row],[date]] &gt;= DATE(2022, 2, 1), "Grammys", "Grammys + TRA")</f>
        <v>Grammys + TRA</v>
      </c>
      <c r="I1412">
        <f>_xlfn.XLOOKUP(Grammys[[#This Row],[date]], mobile_visits[date], mobile_visits[mobile_visitors], 0)</f>
        <v>0</v>
      </c>
    </row>
    <row r="1413" spans="1:9" x14ac:dyDescent="0.2">
      <c r="A1413" s="1">
        <v>44147</v>
      </c>
      <c r="B1413">
        <v>18830</v>
      </c>
      <c r="C1413">
        <v>35501</v>
      </c>
      <c r="D1413">
        <v>20505</v>
      </c>
      <c r="E1413">
        <v>8873</v>
      </c>
      <c r="F1413">
        <v>89</v>
      </c>
      <c r="G1413" t="s">
        <v>20</v>
      </c>
      <c r="H1413" t="str">
        <f>IF(Grammys[[#This Row],[date]] &gt;= DATE(2022, 2, 1), "Grammys", "Grammys + TRA")</f>
        <v>Grammys + TRA</v>
      </c>
      <c r="I1413">
        <f>_xlfn.XLOOKUP(Grammys[[#This Row],[date]], mobile_visits[date], mobile_visits[mobile_visitors], 0)</f>
        <v>0</v>
      </c>
    </row>
    <row r="1414" spans="1:9" x14ac:dyDescent="0.2">
      <c r="A1414" s="1">
        <v>44148</v>
      </c>
      <c r="B1414">
        <v>16319</v>
      </c>
      <c r="C1414">
        <v>30687</v>
      </c>
      <c r="D1414">
        <v>17412</v>
      </c>
      <c r="E1414">
        <v>7704</v>
      </c>
      <c r="F1414">
        <v>84</v>
      </c>
      <c r="G1414" t="s">
        <v>20</v>
      </c>
      <c r="H1414" t="str">
        <f>IF(Grammys[[#This Row],[date]] &gt;= DATE(2022, 2, 1), "Grammys", "Grammys + TRA")</f>
        <v>Grammys + TRA</v>
      </c>
      <c r="I1414">
        <f>_xlfn.XLOOKUP(Grammys[[#This Row],[date]], mobile_visits[date], mobile_visits[mobile_visitors], 0)</f>
        <v>0</v>
      </c>
    </row>
    <row r="1415" spans="1:9" x14ac:dyDescent="0.2">
      <c r="A1415" s="1">
        <v>44149</v>
      </c>
      <c r="B1415">
        <v>15983</v>
      </c>
      <c r="C1415">
        <v>30682</v>
      </c>
      <c r="D1415">
        <v>17289</v>
      </c>
      <c r="E1415">
        <v>7405</v>
      </c>
      <c r="F1415">
        <v>78</v>
      </c>
      <c r="G1415" t="s">
        <v>20</v>
      </c>
      <c r="H1415" t="str">
        <f>IF(Grammys[[#This Row],[date]] &gt;= DATE(2022, 2, 1), "Grammys", "Grammys + TRA")</f>
        <v>Grammys + TRA</v>
      </c>
      <c r="I1415">
        <f>_xlfn.XLOOKUP(Grammys[[#This Row],[date]], mobile_visits[date], mobile_visits[mobile_visitors], 0)</f>
        <v>0</v>
      </c>
    </row>
    <row r="1416" spans="1:9" x14ac:dyDescent="0.2">
      <c r="A1416" s="1">
        <v>44150</v>
      </c>
      <c r="B1416">
        <v>17175</v>
      </c>
      <c r="C1416">
        <v>32326</v>
      </c>
      <c r="D1416">
        <v>18273</v>
      </c>
      <c r="E1416">
        <v>7651</v>
      </c>
      <c r="F1416">
        <v>80</v>
      </c>
      <c r="G1416" t="s">
        <v>20</v>
      </c>
      <c r="H1416" t="str">
        <f>IF(Grammys[[#This Row],[date]] &gt;= DATE(2022, 2, 1), "Grammys", "Grammys + TRA")</f>
        <v>Grammys + TRA</v>
      </c>
      <c r="I1416">
        <f>_xlfn.XLOOKUP(Grammys[[#This Row],[date]], mobile_visits[date], mobile_visits[mobile_visitors], 0)</f>
        <v>0</v>
      </c>
    </row>
    <row r="1417" spans="1:9" x14ac:dyDescent="0.2">
      <c r="A1417" s="1">
        <v>44151</v>
      </c>
      <c r="B1417">
        <v>20858</v>
      </c>
      <c r="C1417">
        <v>41662</v>
      </c>
      <c r="D1417">
        <v>22350</v>
      </c>
      <c r="E1417">
        <v>8925</v>
      </c>
      <c r="F1417">
        <v>88</v>
      </c>
      <c r="G1417" t="s">
        <v>20</v>
      </c>
      <c r="H1417" t="str">
        <f>IF(Grammys[[#This Row],[date]] &gt;= DATE(2022, 2, 1), "Grammys", "Grammys + TRA")</f>
        <v>Grammys + TRA</v>
      </c>
      <c r="I1417">
        <f>_xlfn.XLOOKUP(Grammys[[#This Row],[date]], mobile_visits[date], mobile_visits[mobile_visitors], 0)</f>
        <v>0</v>
      </c>
    </row>
    <row r="1418" spans="1:9" x14ac:dyDescent="0.2">
      <c r="A1418" s="1">
        <v>44152</v>
      </c>
      <c r="B1418">
        <v>25041</v>
      </c>
      <c r="C1418">
        <v>51792</v>
      </c>
      <c r="D1418">
        <v>27188</v>
      </c>
      <c r="E1418">
        <v>10846</v>
      </c>
      <c r="F1418">
        <v>91</v>
      </c>
      <c r="G1418" t="s">
        <v>20</v>
      </c>
      <c r="H1418" t="str">
        <f>IF(Grammys[[#This Row],[date]] &gt;= DATE(2022, 2, 1), "Grammys", "Grammys + TRA")</f>
        <v>Grammys + TRA</v>
      </c>
      <c r="I1418">
        <f>_xlfn.XLOOKUP(Grammys[[#This Row],[date]], mobile_visits[date], mobile_visits[mobile_visitors], 0)</f>
        <v>0</v>
      </c>
    </row>
    <row r="1419" spans="1:9" x14ac:dyDescent="0.2">
      <c r="A1419" s="1">
        <v>44153</v>
      </c>
      <c r="B1419">
        <v>25803</v>
      </c>
      <c r="C1419">
        <v>50872</v>
      </c>
      <c r="D1419">
        <v>27947</v>
      </c>
      <c r="E1419">
        <v>11378</v>
      </c>
      <c r="F1419">
        <v>80</v>
      </c>
      <c r="G1419" t="s">
        <v>20</v>
      </c>
      <c r="H1419" t="str">
        <f>IF(Grammys[[#This Row],[date]] &gt;= DATE(2022, 2, 1), "Grammys", "Grammys + TRA")</f>
        <v>Grammys + TRA</v>
      </c>
      <c r="I1419">
        <f>_xlfn.XLOOKUP(Grammys[[#This Row],[date]], mobile_visits[date], mobile_visits[mobile_visitors], 0)</f>
        <v>0</v>
      </c>
    </row>
    <row r="1420" spans="1:9" x14ac:dyDescent="0.2">
      <c r="A1420" s="1">
        <v>44154</v>
      </c>
      <c r="B1420">
        <v>61532</v>
      </c>
      <c r="C1420">
        <v>106845</v>
      </c>
      <c r="D1420">
        <v>67141</v>
      </c>
      <c r="E1420">
        <v>25044</v>
      </c>
      <c r="F1420">
        <v>73</v>
      </c>
      <c r="G1420" t="s">
        <v>20</v>
      </c>
      <c r="H1420" t="str">
        <f>IF(Grammys[[#This Row],[date]] &gt;= DATE(2022, 2, 1), "Grammys", "Grammys + TRA")</f>
        <v>Grammys + TRA</v>
      </c>
      <c r="I1420">
        <f>_xlfn.XLOOKUP(Grammys[[#This Row],[date]], mobile_visits[date], mobile_visits[mobile_visitors], 0)</f>
        <v>0</v>
      </c>
    </row>
    <row r="1421" spans="1:9" x14ac:dyDescent="0.2">
      <c r="A1421" s="1">
        <v>44155</v>
      </c>
      <c r="B1421">
        <v>42261</v>
      </c>
      <c r="C1421">
        <v>75620</v>
      </c>
      <c r="D1421">
        <v>44995</v>
      </c>
      <c r="E1421">
        <v>17967</v>
      </c>
      <c r="F1421">
        <v>65</v>
      </c>
      <c r="G1421" t="s">
        <v>20</v>
      </c>
      <c r="H1421" t="str">
        <f>IF(Grammys[[#This Row],[date]] &gt;= DATE(2022, 2, 1), "Grammys", "Grammys + TRA")</f>
        <v>Grammys + TRA</v>
      </c>
      <c r="I1421">
        <f>_xlfn.XLOOKUP(Grammys[[#This Row],[date]], mobile_visits[date], mobile_visits[mobile_visitors], 0)</f>
        <v>0</v>
      </c>
    </row>
    <row r="1422" spans="1:9" x14ac:dyDescent="0.2">
      <c r="A1422" s="1">
        <v>44156</v>
      </c>
      <c r="B1422">
        <v>24891</v>
      </c>
      <c r="C1422">
        <v>48028</v>
      </c>
      <c r="D1422">
        <v>26896</v>
      </c>
      <c r="E1422">
        <v>11230</v>
      </c>
      <c r="F1422">
        <v>77</v>
      </c>
      <c r="G1422" t="s">
        <v>20</v>
      </c>
      <c r="H1422" t="str">
        <f>IF(Grammys[[#This Row],[date]] &gt;= DATE(2022, 2, 1), "Grammys", "Grammys + TRA")</f>
        <v>Grammys + TRA</v>
      </c>
      <c r="I1422">
        <f>_xlfn.XLOOKUP(Grammys[[#This Row],[date]], mobile_visits[date], mobile_visits[mobile_visitors], 0)</f>
        <v>0</v>
      </c>
    </row>
    <row r="1423" spans="1:9" x14ac:dyDescent="0.2">
      <c r="A1423" s="1">
        <v>44157</v>
      </c>
      <c r="B1423">
        <v>32299</v>
      </c>
      <c r="C1423">
        <v>60680</v>
      </c>
      <c r="D1423">
        <v>34794</v>
      </c>
      <c r="E1423">
        <v>13323</v>
      </c>
      <c r="F1423">
        <v>69</v>
      </c>
      <c r="G1423" t="s">
        <v>20</v>
      </c>
      <c r="H1423" t="str">
        <f>IF(Grammys[[#This Row],[date]] &gt;= DATE(2022, 2, 1), "Grammys", "Grammys + TRA")</f>
        <v>Grammys + TRA</v>
      </c>
      <c r="I1423">
        <f>_xlfn.XLOOKUP(Grammys[[#This Row],[date]], mobile_visits[date], mobile_visits[mobile_visitors], 0)</f>
        <v>0</v>
      </c>
    </row>
    <row r="1424" spans="1:9" x14ac:dyDescent="0.2">
      <c r="A1424" s="1">
        <v>44158</v>
      </c>
      <c r="B1424">
        <v>63653</v>
      </c>
      <c r="C1424">
        <v>140266</v>
      </c>
      <c r="D1424">
        <v>70828</v>
      </c>
      <c r="E1424">
        <v>26688</v>
      </c>
      <c r="F1424">
        <v>88</v>
      </c>
      <c r="G1424" t="s">
        <v>21</v>
      </c>
      <c r="H1424" t="str">
        <f>IF(Grammys[[#This Row],[date]] &gt;= DATE(2022, 2, 1), "Grammys", "Grammys + TRA")</f>
        <v>Grammys + TRA</v>
      </c>
      <c r="I1424">
        <f>_xlfn.XLOOKUP(Grammys[[#This Row],[date]], mobile_visits[date], mobile_visits[mobile_visitors], 0)</f>
        <v>0</v>
      </c>
    </row>
    <row r="1425" spans="1:9" x14ac:dyDescent="0.2">
      <c r="A1425" s="1">
        <v>44159</v>
      </c>
      <c r="B1425">
        <v>1958933</v>
      </c>
      <c r="C1425">
        <v>4148435</v>
      </c>
      <c r="D1425">
        <v>2261918</v>
      </c>
      <c r="E1425">
        <v>630849</v>
      </c>
      <c r="F1425">
        <v>198</v>
      </c>
      <c r="G1425" t="s">
        <v>20</v>
      </c>
      <c r="H1425" t="str">
        <f>IF(Grammys[[#This Row],[date]] &gt;= DATE(2022, 2, 1), "Grammys", "Grammys + TRA")</f>
        <v>Grammys + TRA</v>
      </c>
      <c r="I1425">
        <f>_xlfn.XLOOKUP(Grammys[[#This Row],[date]], mobile_visits[date], mobile_visits[mobile_visitors], 0)</f>
        <v>0</v>
      </c>
    </row>
    <row r="1426" spans="1:9" x14ac:dyDescent="0.2">
      <c r="A1426" s="1">
        <v>44160</v>
      </c>
      <c r="B1426">
        <v>762775</v>
      </c>
      <c r="C1426">
        <v>1441502</v>
      </c>
      <c r="D1426">
        <v>856904</v>
      </c>
      <c r="E1426">
        <v>330937</v>
      </c>
      <c r="F1426">
        <v>116</v>
      </c>
      <c r="G1426" t="s">
        <v>20</v>
      </c>
      <c r="H1426" t="str">
        <f>IF(Grammys[[#This Row],[date]] &gt;= DATE(2022, 2, 1), "Grammys", "Grammys + TRA")</f>
        <v>Grammys + TRA</v>
      </c>
      <c r="I1426">
        <f>_xlfn.XLOOKUP(Grammys[[#This Row],[date]], mobile_visits[date], mobile_visits[mobile_visitors], 0)</f>
        <v>0</v>
      </c>
    </row>
    <row r="1427" spans="1:9" x14ac:dyDescent="0.2">
      <c r="A1427" s="1">
        <v>44161</v>
      </c>
      <c r="B1427">
        <v>260940</v>
      </c>
      <c r="C1427">
        <v>505559</v>
      </c>
      <c r="D1427">
        <v>290319</v>
      </c>
      <c r="E1427">
        <v>118915</v>
      </c>
      <c r="F1427">
        <v>109</v>
      </c>
      <c r="G1427" t="s">
        <v>20</v>
      </c>
      <c r="H1427" t="str">
        <f>IF(Grammys[[#This Row],[date]] &gt;= DATE(2022, 2, 1), "Grammys", "Grammys + TRA")</f>
        <v>Grammys + TRA</v>
      </c>
      <c r="I1427">
        <f>_xlfn.XLOOKUP(Grammys[[#This Row],[date]], mobile_visits[date], mobile_visits[mobile_visitors], 0)</f>
        <v>0</v>
      </c>
    </row>
    <row r="1428" spans="1:9" x14ac:dyDescent="0.2">
      <c r="A1428" s="1">
        <v>44162</v>
      </c>
      <c r="B1428">
        <v>141310</v>
      </c>
      <c r="C1428">
        <v>283121</v>
      </c>
      <c r="D1428">
        <v>156211</v>
      </c>
      <c r="E1428">
        <v>62891</v>
      </c>
      <c r="F1428">
        <v>112</v>
      </c>
      <c r="G1428" t="s">
        <v>20</v>
      </c>
      <c r="H1428" t="str">
        <f>IF(Grammys[[#This Row],[date]] &gt;= DATE(2022, 2, 1), "Grammys", "Grammys + TRA")</f>
        <v>Grammys + TRA</v>
      </c>
      <c r="I1428">
        <f>_xlfn.XLOOKUP(Grammys[[#This Row],[date]], mobile_visits[date], mobile_visits[mobile_visitors], 0)</f>
        <v>0</v>
      </c>
    </row>
    <row r="1429" spans="1:9" x14ac:dyDescent="0.2">
      <c r="A1429" s="1">
        <v>44163</v>
      </c>
      <c r="B1429">
        <v>113877</v>
      </c>
      <c r="C1429">
        <v>227719</v>
      </c>
      <c r="D1429">
        <v>125883</v>
      </c>
      <c r="E1429">
        <v>51071</v>
      </c>
      <c r="F1429">
        <v>112</v>
      </c>
      <c r="G1429" t="s">
        <v>20</v>
      </c>
      <c r="H1429" t="str">
        <f>IF(Grammys[[#This Row],[date]] &gt;= DATE(2022, 2, 1), "Grammys", "Grammys + TRA")</f>
        <v>Grammys + TRA</v>
      </c>
      <c r="I1429">
        <f>_xlfn.XLOOKUP(Grammys[[#This Row],[date]], mobile_visits[date], mobile_visits[mobile_visitors], 0)</f>
        <v>0</v>
      </c>
    </row>
    <row r="1430" spans="1:9" x14ac:dyDescent="0.2">
      <c r="A1430" s="1">
        <v>44164</v>
      </c>
      <c r="B1430">
        <v>94497</v>
      </c>
      <c r="C1430">
        <v>189935</v>
      </c>
      <c r="D1430">
        <v>104784</v>
      </c>
      <c r="E1430">
        <v>41694</v>
      </c>
      <c r="F1430">
        <v>111</v>
      </c>
      <c r="G1430" t="s">
        <v>20</v>
      </c>
      <c r="H1430" t="str">
        <f>IF(Grammys[[#This Row],[date]] &gt;= DATE(2022, 2, 1), "Grammys", "Grammys + TRA")</f>
        <v>Grammys + TRA</v>
      </c>
      <c r="I1430">
        <f>_xlfn.XLOOKUP(Grammys[[#This Row],[date]], mobile_visits[date], mobile_visits[mobile_visitors], 0)</f>
        <v>0</v>
      </c>
    </row>
    <row r="1431" spans="1:9" x14ac:dyDescent="0.2">
      <c r="A1431" s="1">
        <v>44165</v>
      </c>
      <c r="B1431">
        <v>92980</v>
      </c>
      <c r="C1431">
        <v>194194</v>
      </c>
      <c r="D1431">
        <v>100948</v>
      </c>
      <c r="E1431">
        <v>37331</v>
      </c>
      <c r="F1431">
        <v>105</v>
      </c>
      <c r="G1431" t="s">
        <v>20</v>
      </c>
      <c r="H1431" t="str">
        <f>IF(Grammys[[#This Row],[date]] &gt;= DATE(2022, 2, 1), "Grammys", "Grammys + TRA")</f>
        <v>Grammys + TRA</v>
      </c>
      <c r="I1431">
        <f>_xlfn.XLOOKUP(Grammys[[#This Row],[date]], mobile_visits[date], mobile_visits[mobile_visitors], 0)</f>
        <v>0</v>
      </c>
    </row>
    <row r="1432" spans="1:9" x14ac:dyDescent="0.2">
      <c r="A1432" s="1">
        <v>44166</v>
      </c>
      <c r="B1432">
        <v>76758</v>
      </c>
      <c r="C1432">
        <v>163418</v>
      </c>
      <c r="D1432">
        <v>83983</v>
      </c>
      <c r="E1432">
        <v>32544</v>
      </c>
      <c r="F1432">
        <v>104</v>
      </c>
      <c r="G1432" t="s">
        <v>20</v>
      </c>
      <c r="H1432" t="str">
        <f>IF(Grammys[[#This Row],[date]] &gt;= DATE(2022, 2, 1), "Grammys", "Grammys + TRA")</f>
        <v>Grammys + TRA</v>
      </c>
      <c r="I1432">
        <f>_xlfn.XLOOKUP(Grammys[[#This Row],[date]], mobile_visits[date], mobile_visits[mobile_visitors], 0)</f>
        <v>0</v>
      </c>
    </row>
    <row r="1433" spans="1:9" x14ac:dyDescent="0.2">
      <c r="A1433" s="1">
        <v>44167</v>
      </c>
      <c r="B1433">
        <v>63844</v>
      </c>
      <c r="C1433">
        <v>137753</v>
      </c>
      <c r="D1433">
        <v>71479</v>
      </c>
      <c r="E1433">
        <v>29650</v>
      </c>
      <c r="F1433">
        <v>103</v>
      </c>
      <c r="G1433" t="s">
        <v>20</v>
      </c>
      <c r="H1433" t="str">
        <f>IF(Grammys[[#This Row],[date]] &gt;= DATE(2022, 2, 1), "Grammys", "Grammys + TRA")</f>
        <v>Grammys + TRA</v>
      </c>
      <c r="I1433">
        <f>_xlfn.XLOOKUP(Grammys[[#This Row],[date]], mobile_visits[date], mobile_visits[mobile_visitors], 0)</f>
        <v>0</v>
      </c>
    </row>
    <row r="1434" spans="1:9" x14ac:dyDescent="0.2">
      <c r="A1434" s="1">
        <v>44168</v>
      </c>
      <c r="B1434">
        <v>51087</v>
      </c>
      <c r="C1434">
        <v>107078</v>
      </c>
      <c r="D1434">
        <v>55955</v>
      </c>
      <c r="E1434">
        <v>23770</v>
      </c>
      <c r="F1434">
        <v>101</v>
      </c>
      <c r="G1434" t="s">
        <v>20</v>
      </c>
      <c r="H1434" t="str">
        <f>IF(Grammys[[#This Row],[date]] &gt;= DATE(2022, 2, 1), "Grammys", "Grammys + TRA")</f>
        <v>Grammys + TRA</v>
      </c>
      <c r="I1434">
        <f>_xlfn.XLOOKUP(Grammys[[#This Row],[date]], mobile_visits[date], mobile_visits[mobile_visitors], 0)</f>
        <v>0</v>
      </c>
    </row>
    <row r="1435" spans="1:9" x14ac:dyDescent="0.2">
      <c r="A1435" s="1">
        <v>44169</v>
      </c>
      <c r="B1435">
        <v>48800</v>
      </c>
      <c r="C1435">
        <v>99890</v>
      </c>
      <c r="D1435">
        <v>52657</v>
      </c>
      <c r="E1435">
        <v>22701</v>
      </c>
      <c r="F1435">
        <v>100</v>
      </c>
      <c r="G1435" t="s">
        <v>20</v>
      </c>
      <c r="H1435" t="str">
        <f>IF(Grammys[[#This Row],[date]] &gt;= DATE(2022, 2, 1), "Grammys", "Grammys + TRA")</f>
        <v>Grammys + TRA</v>
      </c>
      <c r="I1435">
        <f>_xlfn.XLOOKUP(Grammys[[#This Row],[date]], mobile_visits[date], mobile_visits[mobile_visitors], 0)</f>
        <v>0</v>
      </c>
    </row>
    <row r="1436" spans="1:9" x14ac:dyDescent="0.2">
      <c r="A1436" s="1">
        <v>44170</v>
      </c>
      <c r="B1436">
        <v>43764</v>
      </c>
      <c r="C1436">
        <v>87082</v>
      </c>
      <c r="D1436">
        <v>47498</v>
      </c>
      <c r="E1436">
        <v>20800</v>
      </c>
      <c r="F1436">
        <v>97</v>
      </c>
      <c r="G1436" t="s">
        <v>20</v>
      </c>
      <c r="H1436" t="str">
        <f>IF(Grammys[[#This Row],[date]] &gt;= DATE(2022, 2, 1), "Grammys", "Grammys + TRA")</f>
        <v>Grammys + TRA</v>
      </c>
      <c r="I1436">
        <f>_xlfn.XLOOKUP(Grammys[[#This Row],[date]], mobile_visits[date], mobile_visits[mobile_visitors], 0)</f>
        <v>0</v>
      </c>
    </row>
    <row r="1437" spans="1:9" x14ac:dyDescent="0.2">
      <c r="A1437" s="1">
        <v>44171</v>
      </c>
      <c r="B1437">
        <v>42409</v>
      </c>
      <c r="C1437">
        <v>87619</v>
      </c>
      <c r="D1437">
        <v>46342</v>
      </c>
      <c r="E1437">
        <v>19515</v>
      </c>
      <c r="F1437">
        <v>96</v>
      </c>
      <c r="G1437" t="s">
        <v>20</v>
      </c>
      <c r="H1437" t="str">
        <f>IF(Grammys[[#This Row],[date]] &gt;= DATE(2022, 2, 1), "Grammys", "Grammys + TRA")</f>
        <v>Grammys + TRA</v>
      </c>
      <c r="I1437">
        <f>_xlfn.XLOOKUP(Grammys[[#This Row],[date]], mobile_visits[date], mobile_visits[mobile_visitors], 0)</f>
        <v>0</v>
      </c>
    </row>
    <row r="1438" spans="1:9" x14ac:dyDescent="0.2">
      <c r="A1438" s="1">
        <v>44172</v>
      </c>
      <c r="B1438">
        <v>43390</v>
      </c>
      <c r="C1438">
        <v>96172</v>
      </c>
      <c r="D1438">
        <v>47278</v>
      </c>
      <c r="E1438">
        <v>19030</v>
      </c>
      <c r="F1438">
        <v>101</v>
      </c>
      <c r="G1438" t="s">
        <v>20</v>
      </c>
      <c r="H1438" t="str">
        <f>IF(Grammys[[#This Row],[date]] &gt;= DATE(2022, 2, 1), "Grammys", "Grammys + TRA")</f>
        <v>Grammys + TRA</v>
      </c>
      <c r="I1438">
        <f>_xlfn.XLOOKUP(Grammys[[#This Row],[date]], mobile_visits[date], mobile_visits[mobile_visitors], 0)</f>
        <v>0</v>
      </c>
    </row>
    <row r="1439" spans="1:9" x14ac:dyDescent="0.2">
      <c r="A1439" s="1">
        <v>44173</v>
      </c>
      <c r="B1439">
        <v>43146</v>
      </c>
      <c r="C1439">
        <v>90214</v>
      </c>
      <c r="D1439">
        <v>46608</v>
      </c>
      <c r="E1439">
        <v>18737</v>
      </c>
      <c r="F1439">
        <v>98</v>
      </c>
      <c r="G1439" t="s">
        <v>20</v>
      </c>
      <c r="H1439" t="str">
        <f>IF(Grammys[[#This Row],[date]] &gt;= DATE(2022, 2, 1), "Grammys", "Grammys + TRA")</f>
        <v>Grammys + TRA</v>
      </c>
      <c r="I1439">
        <f>_xlfn.XLOOKUP(Grammys[[#This Row],[date]], mobile_visits[date], mobile_visits[mobile_visitors], 0)</f>
        <v>0</v>
      </c>
    </row>
    <row r="1440" spans="1:9" x14ac:dyDescent="0.2">
      <c r="A1440" s="1">
        <v>44174</v>
      </c>
      <c r="B1440">
        <v>38797</v>
      </c>
      <c r="C1440">
        <v>83490</v>
      </c>
      <c r="D1440">
        <v>42421</v>
      </c>
      <c r="E1440">
        <v>17546</v>
      </c>
      <c r="F1440">
        <v>99</v>
      </c>
      <c r="G1440" t="s">
        <v>20</v>
      </c>
      <c r="H1440" t="str">
        <f>IF(Grammys[[#This Row],[date]] &gt;= DATE(2022, 2, 1), "Grammys", "Grammys + TRA")</f>
        <v>Grammys + TRA</v>
      </c>
      <c r="I1440">
        <f>_xlfn.XLOOKUP(Grammys[[#This Row],[date]], mobile_visits[date], mobile_visits[mobile_visitors], 0)</f>
        <v>0</v>
      </c>
    </row>
    <row r="1441" spans="1:9" x14ac:dyDescent="0.2">
      <c r="A1441" s="1">
        <v>44175</v>
      </c>
      <c r="B1441">
        <v>44347</v>
      </c>
      <c r="C1441">
        <v>92506</v>
      </c>
      <c r="D1441">
        <v>47998</v>
      </c>
      <c r="E1441">
        <v>20500</v>
      </c>
      <c r="F1441">
        <v>96</v>
      </c>
      <c r="G1441" t="s">
        <v>20</v>
      </c>
      <c r="H1441" t="str">
        <f>IF(Grammys[[#This Row],[date]] &gt;= DATE(2022, 2, 1), "Grammys", "Grammys + TRA")</f>
        <v>Grammys + TRA</v>
      </c>
      <c r="I1441">
        <f>_xlfn.XLOOKUP(Grammys[[#This Row],[date]], mobile_visits[date], mobile_visits[mobile_visitors], 0)</f>
        <v>0</v>
      </c>
    </row>
    <row r="1442" spans="1:9" x14ac:dyDescent="0.2">
      <c r="A1442" s="1">
        <v>44176</v>
      </c>
      <c r="B1442">
        <v>43634</v>
      </c>
      <c r="C1442">
        <v>97289</v>
      </c>
      <c r="D1442">
        <v>48654</v>
      </c>
      <c r="E1442">
        <v>19146</v>
      </c>
      <c r="F1442">
        <v>115</v>
      </c>
      <c r="G1442" t="s">
        <v>20</v>
      </c>
      <c r="H1442" t="str">
        <f>IF(Grammys[[#This Row],[date]] &gt;= DATE(2022, 2, 1), "Grammys", "Grammys + TRA")</f>
        <v>Grammys + TRA</v>
      </c>
      <c r="I1442">
        <f>_xlfn.XLOOKUP(Grammys[[#This Row],[date]], mobile_visits[date], mobile_visits[mobile_visitors], 0)</f>
        <v>0</v>
      </c>
    </row>
    <row r="1443" spans="1:9" x14ac:dyDescent="0.2">
      <c r="A1443" s="1">
        <v>44177</v>
      </c>
      <c r="B1443">
        <v>37815</v>
      </c>
      <c r="C1443">
        <v>77135</v>
      </c>
      <c r="D1443">
        <v>41338</v>
      </c>
      <c r="E1443">
        <v>16978</v>
      </c>
      <c r="F1443">
        <v>99</v>
      </c>
      <c r="G1443" t="s">
        <v>20</v>
      </c>
      <c r="H1443" t="str">
        <f>IF(Grammys[[#This Row],[date]] &gt;= DATE(2022, 2, 1), "Grammys", "Grammys + TRA")</f>
        <v>Grammys + TRA</v>
      </c>
      <c r="I1443">
        <f>_xlfn.XLOOKUP(Grammys[[#This Row],[date]], mobile_visits[date], mobile_visits[mobile_visitors], 0)</f>
        <v>0</v>
      </c>
    </row>
    <row r="1444" spans="1:9" x14ac:dyDescent="0.2">
      <c r="A1444" s="1">
        <v>44178</v>
      </c>
      <c r="B1444">
        <v>34527</v>
      </c>
      <c r="C1444">
        <v>68666</v>
      </c>
      <c r="D1444">
        <v>37085</v>
      </c>
      <c r="E1444">
        <v>15439</v>
      </c>
      <c r="F1444">
        <v>96</v>
      </c>
      <c r="G1444" t="s">
        <v>20</v>
      </c>
      <c r="H1444" t="str">
        <f>IF(Grammys[[#This Row],[date]] &gt;= DATE(2022, 2, 1), "Grammys", "Grammys + TRA")</f>
        <v>Grammys + TRA</v>
      </c>
      <c r="I1444">
        <f>_xlfn.XLOOKUP(Grammys[[#This Row],[date]], mobile_visits[date], mobile_visits[mobile_visitors], 0)</f>
        <v>0</v>
      </c>
    </row>
    <row r="1445" spans="1:9" x14ac:dyDescent="0.2">
      <c r="A1445" s="1">
        <v>44179</v>
      </c>
      <c r="B1445">
        <v>32447</v>
      </c>
      <c r="C1445">
        <v>68981</v>
      </c>
      <c r="D1445">
        <v>35488</v>
      </c>
      <c r="E1445">
        <v>14451</v>
      </c>
      <c r="F1445">
        <v>102</v>
      </c>
      <c r="G1445" t="s">
        <v>20</v>
      </c>
      <c r="H1445" t="str">
        <f>IF(Grammys[[#This Row],[date]] &gt;= DATE(2022, 2, 1), "Grammys", "Grammys + TRA")</f>
        <v>Grammys + TRA</v>
      </c>
      <c r="I1445">
        <f>_xlfn.XLOOKUP(Grammys[[#This Row],[date]], mobile_visits[date], mobile_visits[mobile_visitors], 0)</f>
        <v>0</v>
      </c>
    </row>
    <row r="1446" spans="1:9" x14ac:dyDescent="0.2">
      <c r="A1446" s="1">
        <v>44180</v>
      </c>
      <c r="B1446">
        <v>47318</v>
      </c>
      <c r="C1446">
        <v>103196</v>
      </c>
      <c r="D1446">
        <v>51756</v>
      </c>
      <c r="E1446">
        <v>20646</v>
      </c>
      <c r="F1446">
        <v>100</v>
      </c>
      <c r="G1446" t="s">
        <v>20</v>
      </c>
      <c r="H1446" t="str">
        <f>IF(Grammys[[#This Row],[date]] &gt;= DATE(2022, 2, 1), "Grammys", "Grammys + TRA")</f>
        <v>Grammys + TRA</v>
      </c>
      <c r="I1446">
        <f>_xlfn.XLOOKUP(Grammys[[#This Row],[date]], mobile_visits[date], mobile_visits[mobile_visitors], 0)</f>
        <v>0</v>
      </c>
    </row>
    <row r="1447" spans="1:9" x14ac:dyDescent="0.2">
      <c r="A1447" s="1">
        <v>44181</v>
      </c>
      <c r="B1447">
        <v>39080</v>
      </c>
      <c r="C1447">
        <v>79662</v>
      </c>
      <c r="D1447">
        <v>43112</v>
      </c>
      <c r="E1447">
        <v>19629</v>
      </c>
      <c r="F1447">
        <v>96</v>
      </c>
      <c r="G1447" t="s">
        <v>20</v>
      </c>
      <c r="H1447" t="str">
        <f>IF(Grammys[[#This Row],[date]] &gt;= DATE(2022, 2, 1), "Grammys", "Grammys + TRA")</f>
        <v>Grammys + TRA</v>
      </c>
      <c r="I1447">
        <f>_xlfn.XLOOKUP(Grammys[[#This Row],[date]], mobile_visits[date], mobile_visits[mobile_visitors], 0)</f>
        <v>0</v>
      </c>
    </row>
    <row r="1448" spans="1:9" x14ac:dyDescent="0.2">
      <c r="A1448" s="1">
        <v>44182</v>
      </c>
      <c r="B1448">
        <v>36052</v>
      </c>
      <c r="C1448">
        <v>72926</v>
      </c>
      <c r="D1448">
        <v>38693</v>
      </c>
      <c r="E1448">
        <v>17304</v>
      </c>
      <c r="F1448">
        <v>92</v>
      </c>
      <c r="G1448" t="s">
        <v>20</v>
      </c>
      <c r="H1448" t="str">
        <f>IF(Grammys[[#This Row],[date]] &gt;= DATE(2022, 2, 1), "Grammys", "Grammys + TRA")</f>
        <v>Grammys + TRA</v>
      </c>
      <c r="I1448">
        <f>_xlfn.XLOOKUP(Grammys[[#This Row],[date]], mobile_visits[date], mobile_visits[mobile_visitors], 0)</f>
        <v>0</v>
      </c>
    </row>
    <row r="1449" spans="1:9" x14ac:dyDescent="0.2">
      <c r="A1449" s="1">
        <v>44183</v>
      </c>
      <c r="B1449">
        <v>34217</v>
      </c>
      <c r="C1449">
        <v>68546</v>
      </c>
      <c r="D1449">
        <v>36939</v>
      </c>
      <c r="E1449">
        <v>16220</v>
      </c>
      <c r="F1449">
        <v>91</v>
      </c>
      <c r="G1449" t="s">
        <v>20</v>
      </c>
      <c r="H1449" t="str">
        <f>IF(Grammys[[#This Row],[date]] &gt;= DATE(2022, 2, 1), "Grammys", "Grammys + TRA")</f>
        <v>Grammys + TRA</v>
      </c>
      <c r="I1449">
        <f>_xlfn.XLOOKUP(Grammys[[#This Row],[date]], mobile_visits[date], mobile_visits[mobile_visitors], 0)</f>
        <v>0</v>
      </c>
    </row>
    <row r="1450" spans="1:9" x14ac:dyDescent="0.2">
      <c r="A1450" s="1">
        <v>44184</v>
      </c>
      <c r="B1450">
        <v>30628</v>
      </c>
      <c r="C1450">
        <v>60462</v>
      </c>
      <c r="D1450">
        <v>33394</v>
      </c>
      <c r="E1450">
        <v>14978</v>
      </c>
      <c r="F1450">
        <v>93</v>
      </c>
      <c r="G1450" t="s">
        <v>20</v>
      </c>
      <c r="H1450" t="str">
        <f>IF(Grammys[[#This Row],[date]] &gt;= DATE(2022, 2, 1), "Grammys", "Grammys + TRA")</f>
        <v>Grammys + TRA</v>
      </c>
      <c r="I1450">
        <f>_xlfn.XLOOKUP(Grammys[[#This Row],[date]], mobile_visits[date], mobile_visits[mobile_visitors], 0)</f>
        <v>0</v>
      </c>
    </row>
    <row r="1451" spans="1:9" x14ac:dyDescent="0.2">
      <c r="A1451" s="1">
        <v>44185</v>
      </c>
      <c r="B1451">
        <v>32345</v>
      </c>
      <c r="C1451">
        <v>64112</v>
      </c>
      <c r="D1451">
        <v>35669</v>
      </c>
      <c r="E1451">
        <v>15991</v>
      </c>
      <c r="F1451">
        <v>97</v>
      </c>
      <c r="G1451" t="s">
        <v>20</v>
      </c>
      <c r="H1451" t="str">
        <f>IF(Grammys[[#This Row],[date]] &gt;= DATE(2022, 2, 1), "Grammys", "Grammys + TRA")</f>
        <v>Grammys + TRA</v>
      </c>
      <c r="I1451">
        <f>_xlfn.XLOOKUP(Grammys[[#This Row],[date]], mobile_visits[date], mobile_visits[mobile_visitors], 0)</f>
        <v>0</v>
      </c>
    </row>
    <row r="1452" spans="1:9" x14ac:dyDescent="0.2">
      <c r="A1452" s="1">
        <v>44186</v>
      </c>
      <c r="B1452">
        <v>30430</v>
      </c>
      <c r="C1452">
        <v>60128</v>
      </c>
      <c r="D1452">
        <v>32715</v>
      </c>
      <c r="E1452">
        <v>14706</v>
      </c>
      <c r="F1452">
        <v>95</v>
      </c>
      <c r="G1452" t="s">
        <v>20</v>
      </c>
      <c r="H1452" t="str">
        <f>IF(Grammys[[#This Row],[date]] &gt;= DATE(2022, 2, 1), "Grammys", "Grammys + TRA")</f>
        <v>Grammys + TRA</v>
      </c>
      <c r="I1452">
        <f>_xlfn.XLOOKUP(Grammys[[#This Row],[date]], mobile_visits[date], mobile_visits[mobile_visitors], 0)</f>
        <v>0</v>
      </c>
    </row>
    <row r="1453" spans="1:9" x14ac:dyDescent="0.2">
      <c r="A1453" s="1">
        <v>44187</v>
      </c>
      <c r="B1453">
        <v>30528</v>
      </c>
      <c r="C1453">
        <v>59146</v>
      </c>
      <c r="D1453">
        <v>33100</v>
      </c>
      <c r="E1453">
        <v>14919</v>
      </c>
      <c r="F1453">
        <v>92</v>
      </c>
      <c r="G1453" t="s">
        <v>20</v>
      </c>
      <c r="H1453" t="str">
        <f>IF(Grammys[[#This Row],[date]] &gt;= DATE(2022, 2, 1), "Grammys", "Grammys + TRA")</f>
        <v>Grammys + TRA</v>
      </c>
      <c r="I1453">
        <f>_xlfn.XLOOKUP(Grammys[[#This Row],[date]], mobile_visits[date], mobile_visits[mobile_visitors], 0)</f>
        <v>0</v>
      </c>
    </row>
    <row r="1454" spans="1:9" x14ac:dyDescent="0.2">
      <c r="A1454" s="1">
        <v>44188</v>
      </c>
      <c r="B1454">
        <v>27639</v>
      </c>
      <c r="C1454">
        <v>52727</v>
      </c>
      <c r="D1454">
        <v>29873</v>
      </c>
      <c r="E1454">
        <v>13850</v>
      </c>
      <c r="F1454">
        <v>93</v>
      </c>
      <c r="G1454" t="s">
        <v>20</v>
      </c>
      <c r="H1454" t="str">
        <f>IF(Grammys[[#This Row],[date]] &gt;= DATE(2022, 2, 1), "Grammys", "Grammys + TRA")</f>
        <v>Grammys + TRA</v>
      </c>
      <c r="I1454">
        <f>_xlfn.XLOOKUP(Grammys[[#This Row],[date]], mobile_visits[date], mobile_visits[mobile_visitors], 0)</f>
        <v>0</v>
      </c>
    </row>
    <row r="1455" spans="1:9" x14ac:dyDescent="0.2">
      <c r="A1455" s="1">
        <v>44189</v>
      </c>
      <c r="B1455">
        <v>24138</v>
      </c>
      <c r="C1455">
        <v>44714</v>
      </c>
      <c r="D1455">
        <v>25710</v>
      </c>
      <c r="E1455">
        <v>12130</v>
      </c>
      <c r="F1455">
        <v>87</v>
      </c>
      <c r="G1455" t="s">
        <v>20</v>
      </c>
      <c r="H1455" t="str">
        <f>IF(Grammys[[#This Row],[date]] &gt;= DATE(2022, 2, 1), "Grammys", "Grammys + TRA")</f>
        <v>Grammys + TRA</v>
      </c>
      <c r="I1455">
        <f>_xlfn.XLOOKUP(Grammys[[#This Row],[date]], mobile_visits[date], mobile_visits[mobile_visitors], 0)</f>
        <v>0</v>
      </c>
    </row>
    <row r="1456" spans="1:9" x14ac:dyDescent="0.2">
      <c r="A1456" s="1">
        <v>44190</v>
      </c>
      <c r="B1456">
        <v>23066</v>
      </c>
      <c r="C1456">
        <v>42606</v>
      </c>
      <c r="D1456">
        <v>24926</v>
      </c>
      <c r="E1456">
        <v>12025</v>
      </c>
      <c r="F1456">
        <v>83</v>
      </c>
      <c r="G1456" t="s">
        <v>20</v>
      </c>
      <c r="H1456" t="str">
        <f>IF(Grammys[[#This Row],[date]] &gt;= DATE(2022, 2, 1), "Grammys", "Grammys + TRA")</f>
        <v>Grammys + TRA</v>
      </c>
      <c r="I1456">
        <f>_xlfn.XLOOKUP(Grammys[[#This Row],[date]], mobile_visits[date], mobile_visits[mobile_visitors], 0)</f>
        <v>0</v>
      </c>
    </row>
    <row r="1457" spans="1:9" x14ac:dyDescent="0.2">
      <c r="A1457" s="1">
        <v>44191</v>
      </c>
      <c r="B1457">
        <v>27622</v>
      </c>
      <c r="C1457">
        <v>53539</v>
      </c>
      <c r="D1457">
        <v>30223</v>
      </c>
      <c r="E1457">
        <v>14003</v>
      </c>
      <c r="F1457">
        <v>90</v>
      </c>
      <c r="G1457" t="s">
        <v>20</v>
      </c>
      <c r="H1457" t="str">
        <f>IF(Grammys[[#This Row],[date]] &gt;= DATE(2022, 2, 1), "Grammys", "Grammys + TRA")</f>
        <v>Grammys + TRA</v>
      </c>
      <c r="I1457">
        <f>_xlfn.XLOOKUP(Grammys[[#This Row],[date]], mobile_visits[date], mobile_visits[mobile_visitors], 0)</f>
        <v>0</v>
      </c>
    </row>
    <row r="1458" spans="1:9" x14ac:dyDescent="0.2">
      <c r="A1458" s="1">
        <v>44192</v>
      </c>
      <c r="B1458">
        <v>31899</v>
      </c>
      <c r="C1458">
        <v>59573</v>
      </c>
      <c r="D1458">
        <v>33770</v>
      </c>
      <c r="E1458">
        <v>15484</v>
      </c>
      <c r="F1458">
        <v>96</v>
      </c>
      <c r="G1458" t="s">
        <v>20</v>
      </c>
      <c r="H1458" t="str">
        <f>IF(Grammys[[#This Row],[date]] &gt;= DATE(2022, 2, 1), "Grammys", "Grammys + TRA")</f>
        <v>Grammys + TRA</v>
      </c>
      <c r="I1458">
        <f>_xlfn.XLOOKUP(Grammys[[#This Row],[date]], mobile_visits[date], mobile_visits[mobile_visitors], 0)</f>
        <v>0</v>
      </c>
    </row>
    <row r="1459" spans="1:9" x14ac:dyDescent="0.2">
      <c r="A1459" s="1">
        <v>44193</v>
      </c>
      <c r="B1459">
        <v>34809</v>
      </c>
      <c r="C1459">
        <v>67685</v>
      </c>
      <c r="D1459">
        <v>37855</v>
      </c>
      <c r="E1459">
        <v>17296</v>
      </c>
      <c r="F1459">
        <v>89</v>
      </c>
      <c r="G1459" t="s">
        <v>20</v>
      </c>
      <c r="H1459" t="str">
        <f>IF(Grammys[[#This Row],[date]] &gt;= DATE(2022, 2, 1), "Grammys", "Grammys + TRA")</f>
        <v>Grammys + TRA</v>
      </c>
      <c r="I1459">
        <f>_xlfn.XLOOKUP(Grammys[[#This Row],[date]], mobile_visits[date], mobile_visits[mobile_visitors], 0)</f>
        <v>0</v>
      </c>
    </row>
    <row r="1460" spans="1:9" x14ac:dyDescent="0.2">
      <c r="A1460" s="1">
        <v>44194</v>
      </c>
      <c r="B1460">
        <v>37251</v>
      </c>
      <c r="C1460">
        <v>70736</v>
      </c>
      <c r="D1460">
        <v>39980</v>
      </c>
      <c r="E1460">
        <v>16888</v>
      </c>
      <c r="F1460">
        <v>99</v>
      </c>
      <c r="G1460" t="s">
        <v>20</v>
      </c>
      <c r="H1460" t="str">
        <f>IF(Grammys[[#This Row],[date]] &gt;= DATE(2022, 2, 1), "Grammys", "Grammys + TRA")</f>
        <v>Grammys + TRA</v>
      </c>
      <c r="I1460">
        <f>_xlfn.XLOOKUP(Grammys[[#This Row],[date]], mobile_visits[date], mobile_visits[mobile_visitors], 0)</f>
        <v>0</v>
      </c>
    </row>
    <row r="1461" spans="1:9" x14ac:dyDescent="0.2">
      <c r="A1461" s="1">
        <v>44195</v>
      </c>
      <c r="B1461">
        <v>47761</v>
      </c>
      <c r="C1461">
        <v>84979</v>
      </c>
      <c r="D1461">
        <v>50686</v>
      </c>
      <c r="E1461">
        <v>22769</v>
      </c>
      <c r="F1461">
        <v>97</v>
      </c>
      <c r="G1461" t="s">
        <v>20</v>
      </c>
      <c r="H1461" t="str">
        <f>IF(Grammys[[#This Row],[date]] &gt;= DATE(2022, 2, 1), "Grammys", "Grammys + TRA")</f>
        <v>Grammys + TRA</v>
      </c>
      <c r="I1461">
        <f>_xlfn.XLOOKUP(Grammys[[#This Row],[date]], mobile_visits[date], mobile_visits[mobile_visitors], 0)</f>
        <v>0</v>
      </c>
    </row>
    <row r="1462" spans="1:9" x14ac:dyDescent="0.2">
      <c r="A1462" s="1">
        <v>44196</v>
      </c>
      <c r="B1462">
        <v>60092</v>
      </c>
      <c r="C1462">
        <v>104198</v>
      </c>
      <c r="D1462">
        <v>64141</v>
      </c>
      <c r="E1462">
        <v>26542</v>
      </c>
      <c r="F1462">
        <v>97</v>
      </c>
      <c r="G1462" t="s">
        <v>20</v>
      </c>
      <c r="H1462" t="str">
        <f>IF(Grammys[[#This Row],[date]] &gt;= DATE(2022, 2, 1), "Grammys", "Grammys + TRA")</f>
        <v>Grammys + TRA</v>
      </c>
      <c r="I1462">
        <f>_xlfn.XLOOKUP(Grammys[[#This Row],[date]], mobile_visits[date], mobile_visits[mobile_visitors], 0)</f>
        <v>0</v>
      </c>
    </row>
    <row r="1463" spans="1:9" x14ac:dyDescent="0.2">
      <c r="A1463" s="1">
        <v>44197</v>
      </c>
      <c r="B1463">
        <v>40258</v>
      </c>
      <c r="C1463">
        <v>73036</v>
      </c>
      <c r="D1463">
        <v>42932</v>
      </c>
      <c r="E1463">
        <v>18659</v>
      </c>
      <c r="F1463">
        <v>105</v>
      </c>
      <c r="G1463" t="s">
        <v>20</v>
      </c>
      <c r="H1463" t="str">
        <f>IF(Grammys[[#This Row],[date]] &gt;= DATE(2022, 2, 1), "Grammys", "Grammys + TRA")</f>
        <v>Grammys + TRA</v>
      </c>
      <c r="I1463">
        <f>_xlfn.XLOOKUP(Grammys[[#This Row],[date]], mobile_visits[date], mobile_visits[mobile_visitors], 0)</f>
        <v>0</v>
      </c>
    </row>
    <row r="1464" spans="1:9" x14ac:dyDescent="0.2">
      <c r="A1464" s="1">
        <v>44198</v>
      </c>
      <c r="B1464">
        <v>37616</v>
      </c>
      <c r="C1464">
        <v>72572</v>
      </c>
      <c r="D1464">
        <v>41253</v>
      </c>
      <c r="E1464">
        <v>19229</v>
      </c>
      <c r="F1464">
        <v>91</v>
      </c>
      <c r="G1464" t="s">
        <v>20</v>
      </c>
      <c r="H1464" t="str">
        <f>IF(Grammys[[#This Row],[date]] &gt;= DATE(2022, 2, 1), "Grammys", "Grammys + TRA")</f>
        <v>Grammys + TRA</v>
      </c>
      <c r="I1464">
        <f>_xlfn.XLOOKUP(Grammys[[#This Row],[date]], mobile_visits[date], mobile_visits[mobile_visitors], 0)</f>
        <v>0</v>
      </c>
    </row>
    <row r="1465" spans="1:9" x14ac:dyDescent="0.2">
      <c r="A1465" s="1">
        <v>44199</v>
      </c>
      <c r="B1465">
        <v>52820</v>
      </c>
      <c r="C1465">
        <v>97686</v>
      </c>
      <c r="D1465">
        <v>57161</v>
      </c>
      <c r="E1465">
        <v>27524</v>
      </c>
      <c r="F1465">
        <v>89</v>
      </c>
      <c r="G1465" t="s">
        <v>20</v>
      </c>
      <c r="H1465" t="str">
        <f>IF(Grammys[[#This Row],[date]] &gt;= DATE(2022, 2, 1), "Grammys", "Grammys + TRA")</f>
        <v>Grammys + TRA</v>
      </c>
      <c r="I1465">
        <f>_xlfn.XLOOKUP(Grammys[[#This Row],[date]], mobile_visits[date], mobile_visits[mobile_visitors], 0)</f>
        <v>0</v>
      </c>
    </row>
    <row r="1466" spans="1:9" x14ac:dyDescent="0.2">
      <c r="A1466" s="1">
        <v>44200</v>
      </c>
      <c r="B1466">
        <v>51998</v>
      </c>
      <c r="C1466">
        <v>111180</v>
      </c>
      <c r="D1466">
        <v>56799</v>
      </c>
      <c r="E1466">
        <v>23163</v>
      </c>
      <c r="F1466">
        <v>99</v>
      </c>
      <c r="G1466" t="s">
        <v>20</v>
      </c>
      <c r="H1466" t="str">
        <f>IF(Grammys[[#This Row],[date]] &gt;= DATE(2022, 2, 1), "Grammys", "Grammys + TRA")</f>
        <v>Grammys + TRA</v>
      </c>
      <c r="I1466">
        <f>_xlfn.XLOOKUP(Grammys[[#This Row],[date]], mobile_visits[date], mobile_visits[mobile_visitors], 0)</f>
        <v>0</v>
      </c>
    </row>
    <row r="1467" spans="1:9" x14ac:dyDescent="0.2">
      <c r="A1467" s="1">
        <v>44201</v>
      </c>
      <c r="B1467">
        <v>68607</v>
      </c>
      <c r="C1467">
        <v>134845</v>
      </c>
      <c r="D1467">
        <v>73893</v>
      </c>
      <c r="E1467">
        <v>28169</v>
      </c>
      <c r="F1467">
        <v>113</v>
      </c>
      <c r="G1467" t="s">
        <v>20</v>
      </c>
      <c r="H1467" t="str">
        <f>IF(Grammys[[#This Row],[date]] &gt;= DATE(2022, 2, 1), "Grammys", "Grammys + TRA")</f>
        <v>Grammys + TRA</v>
      </c>
      <c r="I1467">
        <f>_xlfn.XLOOKUP(Grammys[[#This Row],[date]], mobile_visits[date], mobile_visits[mobile_visitors], 0)</f>
        <v>0</v>
      </c>
    </row>
    <row r="1468" spans="1:9" x14ac:dyDescent="0.2">
      <c r="A1468" s="1">
        <v>44202</v>
      </c>
      <c r="B1468">
        <v>42536</v>
      </c>
      <c r="C1468">
        <v>89142</v>
      </c>
      <c r="D1468">
        <v>46318</v>
      </c>
      <c r="E1468">
        <v>18472</v>
      </c>
      <c r="F1468">
        <v>99</v>
      </c>
      <c r="G1468" t="s">
        <v>20</v>
      </c>
      <c r="H1468" t="str">
        <f>IF(Grammys[[#This Row],[date]] &gt;= DATE(2022, 2, 1), "Grammys", "Grammys + TRA")</f>
        <v>Grammys + TRA</v>
      </c>
      <c r="I1468">
        <f>_xlfn.XLOOKUP(Grammys[[#This Row],[date]], mobile_visits[date], mobile_visits[mobile_visitors], 0)</f>
        <v>0</v>
      </c>
    </row>
    <row r="1469" spans="1:9" x14ac:dyDescent="0.2">
      <c r="A1469" s="1">
        <v>44203</v>
      </c>
      <c r="B1469">
        <v>53905</v>
      </c>
      <c r="C1469">
        <v>101276</v>
      </c>
      <c r="D1469">
        <v>58359</v>
      </c>
      <c r="E1469">
        <v>21045</v>
      </c>
      <c r="F1469">
        <v>121</v>
      </c>
      <c r="G1469" t="s">
        <v>20</v>
      </c>
      <c r="H1469" t="str">
        <f>IF(Grammys[[#This Row],[date]] &gt;= DATE(2022, 2, 1), "Grammys", "Grammys + TRA")</f>
        <v>Grammys + TRA</v>
      </c>
      <c r="I1469">
        <f>_xlfn.XLOOKUP(Grammys[[#This Row],[date]], mobile_visits[date], mobile_visits[mobile_visitors], 0)</f>
        <v>0</v>
      </c>
    </row>
    <row r="1470" spans="1:9" x14ac:dyDescent="0.2">
      <c r="A1470" s="1">
        <v>44204</v>
      </c>
      <c r="B1470">
        <v>46932</v>
      </c>
      <c r="C1470">
        <v>84378</v>
      </c>
      <c r="D1470">
        <v>50215</v>
      </c>
      <c r="E1470">
        <v>20086</v>
      </c>
      <c r="F1470">
        <v>101</v>
      </c>
      <c r="G1470" t="s">
        <v>20</v>
      </c>
      <c r="H1470" t="str">
        <f>IF(Grammys[[#This Row],[date]] &gt;= DATE(2022, 2, 1), "Grammys", "Grammys + TRA")</f>
        <v>Grammys + TRA</v>
      </c>
      <c r="I1470">
        <f>_xlfn.XLOOKUP(Grammys[[#This Row],[date]], mobile_visits[date], mobile_visits[mobile_visitors], 0)</f>
        <v>0</v>
      </c>
    </row>
    <row r="1471" spans="1:9" x14ac:dyDescent="0.2">
      <c r="A1471" s="1">
        <v>44205</v>
      </c>
      <c r="B1471">
        <v>33569</v>
      </c>
      <c r="C1471">
        <v>61814</v>
      </c>
      <c r="D1471">
        <v>35796</v>
      </c>
      <c r="E1471">
        <v>15661</v>
      </c>
      <c r="F1471">
        <v>95</v>
      </c>
      <c r="G1471" t="s">
        <v>20</v>
      </c>
      <c r="H1471" t="str">
        <f>IF(Grammys[[#This Row],[date]] &gt;= DATE(2022, 2, 1), "Grammys", "Grammys + TRA")</f>
        <v>Grammys + TRA</v>
      </c>
      <c r="I1471">
        <f>_xlfn.XLOOKUP(Grammys[[#This Row],[date]], mobile_visits[date], mobile_visits[mobile_visitors], 0)</f>
        <v>0</v>
      </c>
    </row>
    <row r="1472" spans="1:9" x14ac:dyDescent="0.2">
      <c r="A1472" s="1">
        <v>44206</v>
      </c>
      <c r="B1472">
        <v>29415</v>
      </c>
      <c r="C1472">
        <v>58413</v>
      </c>
      <c r="D1472">
        <v>31787</v>
      </c>
      <c r="E1472">
        <v>14232</v>
      </c>
      <c r="F1472">
        <v>94</v>
      </c>
      <c r="G1472" t="s">
        <v>20</v>
      </c>
      <c r="H1472" t="str">
        <f>IF(Grammys[[#This Row],[date]] &gt;= DATE(2022, 2, 1), "Grammys", "Grammys + TRA")</f>
        <v>Grammys + TRA</v>
      </c>
      <c r="I1472">
        <f>_xlfn.XLOOKUP(Grammys[[#This Row],[date]], mobile_visits[date], mobile_visits[mobile_visitors], 0)</f>
        <v>0</v>
      </c>
    </row>
    <row r="1473" spans="1:9" x14ac:dyDescent="0.2">
      <c r="A1473" s="1">
        <v>44207</v>
      </c>
      <c r="B1473">
        <v>28714</v>
      </c>
      <c r="C1473">
        <v>58685</v>
      </c>
      <c r="D1473">
        <v>30709</v>
      </c>
      <c r="E1473">
        <v>14130</v>
      </c>
      <c r="F1473">
        <v>92</v>
      </c>
      <c r="G1473" t="s">
        <v>20</v>
      </c>
      <c r="H1473" t="str">
        <f>IF(Grammys[[#This Row],[date]] &gt;= DATE(2022, 2, 1), "Grammys", "Grammys + TRA")</f>
        <v>Grammys + TRA</v>
      </c>
      <c r="I1473">
        <f>_xlfn.XLOOKUP(Grammys[[#This Row],[date]], mobile_visits[date], mobile_visits[mobile_visitors], 0)</f>
        <v>0</v>
      </c>
    </row>
    <row r="1474" spans="1:9" x14ac:dyDescent="0.2">
      <c r="A1474" s="1">
        <v>44208</v>
      </c>
      <c r="B1474">
        <v>64897</v>
      </c>
      <c r="C1474">
        <v>110033</v>
      </c>
      <c r="D1474">
        <v>69036</v>
      </c>
      <c r="E1474">
        <v>28961</v>
      </c>
      <c r="F1474">
        <v>129</v>
      </c>
      <c r="G1474" t="s">
        <v>20</v>
      </c>
      <c r="H1474" t="str">
        <f>IF(Grammys[[#This Row],[date]] &gt;= DATE(2022, 2, 1), "Grammys", "Grammys + TRA")</f>
        <v>Grammys + TRA</v>
      </c>
      <c r="I1474">
        <f>_xlfn.XLOOKUP(Grammys[[#This Row],[date]], mobile_visits[date], mobile_visits[mobile_visitors], 0)</f>
        <v>0</v>
      </c>
    </row>
    <row r="1475" spans="1:9" x14ac:dyDescent="0.2">
      <c r="A1475" s="1">
        <v>44209</v>
      </c>
      <c r="B1475">
        <v>39162</v>
      </c>
      <c r="C1475">
        <v>73050</v>
      </c>
      <c r="D1475">
        <v>42086</v>
      </c>
      <c r="E1475">
        <v>18603</v>
      </c>
      <c r="F1475">
        <v>98</v>
      </c>
      <c r="G1475" t="s">
        <v>20</v>
      </c>
      <c r="H1475" t="str">
        <f>IF(Grammys[[#This Row],[date]] &gt;= DATE(2022, 2, 1), "Grammys", "Grammys + TRA")</f>
        <v>Grammys + TRA</v>
      </c>
      <c r="I1475">
        <f>_xlfn.XLOOKUP(Grammys[[#This Row],[date]], mobile_visits[date], mobile_visits[mobile_visitors], 0)</f>
        <v>0</v>
      </c>
    </row>
    <row r="1476" spans="1:9" x14ac:dyDescent="0.2">
      <c r="A1476" s="1">
        <v>44210</v>
      </c>
      <c r="B1476">
        <v>29025</v>
      </c>
      <c r="C1476">
        <v>56357</v>
      </c>
      <c r="D1476">
        <v>31616</v>
      </c>
      <c r="E1476">
        <v>14215</v>
      </c>
      <c r="F1476">
        <v>96</v>
      </c>
      <c r="G1476" t="s">
        <v>20</v>
      </c>
      <c r="H1476" t="str">
        <f>IF(Grammys[[#This Row],[date]] &gt;= DATE(2022, 2, 1), "Grammys", "Grammys + TRA")</f>
        <v>Grammys + TRA</v>
      </c>
      <c r="I1476">
        <f>_xlfn.XLOOKUP(Grammys[[#This Row],[date]], mobile_visits[date], mobile_visits[mobile_visitors], 0)</f>
        <v>0</v>
      </c>
    </row>
    <row r="1477" spans="1:9" x14ac:dyDescent="0.2">
      <c r="A1477" s="1">
        <v>44211</v>
      </c>
      <c r="B1477">
        <v>27081</v>
      </c>
      <c r="C1477">
        <v>52345</v>
      </c>
      <c r="D1477">
        <v>28903</v>
      </c>
      <c r="E1477">
        <v>13042</v>
      </c>
      <c r="F1477">
        <v>94</v>
      </c>
      <c r="G1477" t="s">
        <v>20</v>
      </c>
      <c r="H1477" t="str">
        <f>IF(Grammys[[#This Row],[date]] &gt;= DATE(2022, 2, 1), "Grammys", "Grammys + TRA")</f>
        <v>Grammys + TRA</v>
      </c>
      <c r="I1477">
        <f>_xlfn.XLOOKUP(Grammys[[#This Row],[date]], mobile_visits[date], mobile_visits[mobile_visitors], 0)</f>
        <v>0</v>
      </c>
    </row>
    <row r="1478" spans="1:9" x14ac:dyDescent="0.2">
      <c r="A1478" s="1">
        <v>44212</v>
      </c>
      <c r="B1478">
        <v>35318</v>
      </c>
      <c r="C1478">
        <v>68794</v>
      </c>
      <c r="D1478">
        <v>37345</v>
      </c>
      <c r="E1478">
        <v>14479</v>
      </c>
      <c r="F1478">
        <v>91</v>
      </c>
      <c r="G1478" t="s">
        <v>20</v>
      </c>
      <c r="H1478" t="str">
        <f>IF(Grammys[[#This Row],[date]] &gt;= DATE(2022, 2, 1), "Grammys", "Grammys + TRA")</f>
        <v>Grammys + TRA</v>
      </c>
      <c r="I1478">
        <f>_xlfn.XLOOKUP(Grammys[[#This Row],[date]], mobile_visits[date], mobile_visits[mobile_visitors], 0)</f>
        <v>0</v>
      </c>
    </row>
    <row r="1479" spans="1:9" x14ac:dyDescent="0.2">
      <c r="A1479" s="1">
        <v>44213</v>
      </c>
      <c r="B1479">
        <v>30540</v>
      </c>
      <c r="C1479">
        <v>59273</v>
      </c>
      <c r="D1479">
        <v>33259</v>
      </c>
      <c r="E1479">
        <v>14774</v>
      </c>
      <c r="F1479">
        <v>88</v>
      </c>
      <c r="G1479" t="s">
        <v>20</v>
      </c>
      <c r="H1479" t="str">
        <f>IF(Grammys[[#This Row],[date]] &gt;= DATE(2022, 2, 1), "Grammys", "Grammys + TRA")</f>
        <v>Grammys + TRA</v>
      </c>
      <c r="I1479">
        <f>_xlfn.XLOOKUP(Grammys[[#This Row],[date]], mobile_visits[date], mobile_visits[mobile_visitors], 0)</f>
        <v>0</v>
      </c>
    </row>
    <row r="1480" spans="1:9" x14ac:dyDescent="0.2">
      <c r="A1480" s="1">
        <v>44214</v>
      </c>
      <c r="B1480">
        <v>27897</v>
      </c>
      <c r="C1480">
        <v>56048</v>
      </c>
      <c r="D1480">
        <v>30360</v>
      </c>
      <c r="E1480">
        <v>13708</v>
      </c>
      <c r="F1480">
        <v>90</v>
      </c>
      <c r="G1480" t="s">
        <v>20</v>
      </c>
      <c r="H1480" t="str">
        <f>IF(Grammys[[#This Row],[date]] &gt;= DATE(2022, 2, 1), "Grammys", "Grammys + TRA")</f>
        <v>Grammys + TRA</v>
      </c>
      <c r="I1480">
        <f>_xlfn.XLOOKUP(Grammys[[#This Row],[date]], mobile_visits[date], mobile_visits[mobile_visitors], 0)</f>
        <v>0</v>
      </c>
    </row>
    <row r="1481" spans="1:9" x14ac:dyDescent="0.2">
      <c r="A1481" s="1">
        <v>44215</v>
      </c>
      <c r="B1481">
        <v>30789</v>
      </c>
      <c r="C1481">
        <v>62492</v>
      </c>
      <c r="D1481">
        <v>33507</v>
      </c>
      <c r="E1481">
        <v>15243</v>
      </c>
      <c r="F1481">
        <v>94</v>
      </c>
      <c r="G1481" t="s">
        <v>20</v>
      </c>
      <c r="H1481" t="str">
        <f>IF(Grammys[[#This Row],[date]] &gt;= DATE(2022, 2, 1), "Grammys", "Grammys + TRA")</f>
        <v>Grammys + TRA</v>
      </c>
      <c r="I1481">
        <f>_xlfn.XLOOKUP(Grammys[[#This Row],[date]], mobile_visits[date], mobile_visits[mobile_visitors], 0)</f>
        <v>0</v>
      </c>
    </row>
    <row r="1482" spans="1:9" x14ac:dyDescent="0.2">
      <c r="A1482" s="1">
        <v>44216</v>
      </c>
      <c r="B1482">
        <v>34055</v>
      </c>
      <c r="C1482">
        <v>73428</v>
      </c>
      <c r="D1482">
        <v>36975</v>
      </c>
      <c r="E1482">
        <v>14949</v>
      </c>
      <c r="F1482">
        <v>89</v>
      </c>
      <c r="G1482" t="s">
        <v>20</v>
      </c>
      <c r="H1482" t="str">
        <f>IF(Grammys[[#This Row],[date]] &gt;= DATE(2022, 2, 1), "Grammys", "Grammys + TRA")</f>
        <v>Grammys + TRA</v>
      </c>
      <c r="I1482">
        <f>_xlfn.XLOOKUP(Grammys[[#This Row],[date]], mobile_visits[date], mobile_visits[mobile_visitors], 0)</f>
        <v>0</v>
      </c>
    </row>
    <row r="1483" spans="1:9" x14ac:dyDescent="0.2">
      <c r="A1483" s="1">
        <v>44217</v>
      </c>
      <c r="B1483">
        <v>28723</v>
      </c>
      <c r="C1483">
        <v>66901</v>
      </c>
      <c r="D1483">
        <v>31016</v>
      </c>
      <c r="E1483">
        <v>12205</v>
      </c>
      <c r="F1483">
        <v>91</v>
      </c>
      <c r="G1483" t="s">
        <v>20</v>
      </c>
      <c r="H1483" t="str">
        <f>IF(Grammys[[#This Row],[date]] &gt;= DATE(2022, 2, 1), "Grammys", "Grammys + TRA")</f>
        <v>Grammys + TRA</v>
      </c>
      <c r="I1483">
        <f>_xlfn.XLOOKUP(Grammys[[#This Row],[date]], mobile_visits[date], mobile_visits[mobile_visitors], 0)</f>
        <v>0</v>
      </c>
    </row>
    <row r="1484" spans="1:9" x14ac:dyDescent="0.2">
      <c r="A1484" s="1">
        <v>44218</v>
      </c>
      <c r="B1484">
        <v>26986</v>
      </c>
      <c r="C1484">
        <v>55672</v>
      </c>
      <c r="D1484">
        <v>29219</v>
      </c>
      <c r="E1484">
        <v>12915</v>
      </c>
      <c r="F1484">
        <v>91</v>
      </c>
      <c r="G1484" t="s">
        <v>20</v>
      </c>
      <c r="H1484" t="str">
        <f>IF(Grammys[[#This Row],[date]] &gt;= DATE(2022, 2, 1), "Grammys", "Grammys + TRA")</f>
        <v>Grammys + TRA</v>
      </c>
      <c r="I1484">
        <f>_xlfn.XLOOKUP(Grammys[[#This Row],[date]], mobile_visits[date], mobile_visits[mobile_visitors], 0)</f>
        <v>0</v>
      </c>
    </row>
    <row r="1485" spans="1:9" x14ac:dyDescent="0.2">
      <c r="A1485" s="1">
        <v>44219</v>
      </c>
      <c r="B1485">
        <v>26181</v>
      </c>
      <c r="C1485">
        <v>50255</v>
      </c>
      <c r="D1485">
        <v>28164</v>
      </c>
      <c r="E1485">
        <v>12559</v>
      </c>
      <c r="F1485">
        <v>85</v>
      </c>
      <c r="G1485" t="s">
        <v>20</v>
      </c>
      <c r="H1485" t="str">
        <f>IF(Grammys[[#This Row],[date]] &gt;= DATE(2022, 2, 1), "Grammys", "Grammys + TRA")</f>
        <v>Grammys + TRA</v>
      </c>
      <c r="I1485">
        <f>_xlfn.XLOOKUP(Grammys[[#This Row],[date]], mobile_visits[date], mobile_visits[mobile_visitors], 0)</f>
        <v>0</v>
      </c>
    </row>
    <row r="1486" spans="1:9" x14ac:dyDescent="0.2">
      <c r="A1486" s="1">
        <v>44220</v>
      </c>
      <c r="B1486">
        <v>27607</v>
      </c>
      <c r="C1486">
        <v>54100</v>
      </c>
      <c r="D1486">
        <v>30227</v>
      </c>
      <c r="E1486">
        <v>13606</v>
      </c>
      <c r="F1486">
        <v>94</v>
      </c>
      <c r="G1486" t="s">
        <v>20</v>
      </c>
      <c r="H1486" t="str">
        <f>IF(Grammys[[#This Row],[date]] &gt;= DATE(2022, 2, 1), "Grammys", "Grammys + TRA")</f>
        <v>Grammys + TRA</v>
      </c>
      <c r="I1486">
        <f>_xlfn.XLOOKUP(Grammys[[#This Row],[date]], mobile_visits[date], mobile_visits[mobile_visitors], 0)</f>
        <v>0</v>
      </c>
    </row>
    <row r="1487" spans="1:9" x14ac:dyDescent="0.2">
      <c r="A1487" s="1">
        <v>44221</v>
      </c>
      <c r="B1487">
        <v>28697</v>
      </c>
      <c r="C1487">
        <v>61356</v>
      </c>
      <c r="D1487">
        <v>31127</v>
      </c>
      <c r="E1487">
        <v>13236</v>
      </c>
      <c r="F1487">
        <v>96</v>
      </c>
      <c r="G1487" t="s">
        <v>20</v>
      </c>
      <c r="H1487" t="str">
        <f>IF(Grammys[[#This Row],[date]] &gt;= DATE(2022, 2, 1), "Grammys", "Grammys + TRA")</f>
        <v>Grammys + TRA</v>
      </c>
      <c r="I1487">
        <f>_xlfn.XLOOKUP(Grammys[[#This Row],[date]], mobile_visits[date], mobile_visits[mobile_visitors], 0)</f>
        <v>0</v>
      </c>
    </row>
    <row r="1488" spans="1:9" x14ac:dyDescent="0.2">
      <c r="A1488" s="1">
        <v>44222</v>
      </c>
      <c r="B1488">
        <v>30624</v>
      </c>
      <c r="C1488">
        <v>64845</v>
      </c>
      <c r="D1488">
        <v>33059</v>
      </c>
      <c r="E1488">
        <v>14735</v>
      </c>
      <c r="F1488">
        <v>95</v>
      </c>
      <c r="G1488" t="s">
        <v>20</v>
      </c>
      <c r="H1488" t="str">
        <f>IF(Grammys[[#This Row],[date]] &gt;= DATE(2022, 2, 1), "Grammys", "Grammys + TRA")</f>
        <v>Grammys + TRA</v>
      </c>
      <c r="I1488">
        <f>_xlfn.XLOOKUP(Grammys[[#This Row],[date]], mobile_visits[date], mobile_visits[mobile_visitors], 0)</f>
        <v>0</v>
      </c>
    </row>
    <row r="1489" spans="1:9" x14ac:dyDescent="0.2">
      <c r="A1489" s="1">
        <v>44223</v>
      </c>
      <c r="B1489">
        <v>28918</v>
      </c>
      <c r="C1489">
        <v>61156</v>
      </c>
      <c r="D1489">
        <v>31438</v>
      </c>
      <c r="E1489">
        <v>14387</v>
      </c>
      <c r="F1489">
        <v>93</v>
      </c>
      <c r="G1489" t="s">
        <v>20</v>
      </c>
      <c r="H1489" t="str">
        <f>IF(Grammys[[#This Row],[date]] &gt;= DATE(2022, 2, 1), "Grammys", "Grammys + TRA")</f>
        <v>Grammys + TRA</v>
      </c>
      <c r="I1489">
        <f>_xlfn.XLOOKUP(Grammys[[#This Row],[date]], mobile_visits[date], mobile_visits[mobile_visitors], 0)</f>
        <v>0</v>
      </c>
    </row>
    <row r="1490" spans="1:9" x14ac:dyDescent="0.2">
      <c r="A1490" s="1">
        <v>44224</v>
      </c>
      <c r="B1490">
        <v>29339</v>
      </c>
      <c r="C1490">
        <v>62821</v>
      </c>
      <c r="D1490">
        <v>32152</v>
      </c>
      <c r="E1490">
        <v>14411</v>
      </c>
      <c r="F1490">
        <v>97</v>
      </c>
      <c r="G1490" t="s">
        <v>20</v>
      </c>
      <c r="H1490" t="str">
        <f>IF(Grammys[[#This Row],[date]] &gt;= DATE(2022, 2, 1), "Grammys", "Grammys + TRA")</f>
        <v>Grammys + TRA</v>
      </c>
      <c r="I1490">
        <f>_xlfn.XLOOKUP(Grammys[[#This Row],[date]], mobile_visits[date], mobile_visits[mobile_visitors], 0)</f>
        <v>0</v>
      </c>
    </row>
    <row r="1491" spans="1:9" x14ac:dyDescent="0.2">
      <c r="A1491" s="1">
        <v>44225</v>
      </c>
      <c r="B1491">
        <v>32113</v>
      </c>
      <c r="C1491">
        <v>66109</v>
      </c>
      <c r="D1491">
        <v>34666</v>
      </c>
      <c r="E1491">
        <v>15562</v>
      </c>
      <c r="F1491">
        <v>93</v>
      </c>
      <c r="G1491" t="s">
        <v>20</v>
      </c>
      <c r="H1491" t="str">
        <f>IF(Grammys[[#This Row],[date]] &gt;= DATE(2022, 2, 1), "Grammys", "Grammys + TRA")</f>
        <v>Grammys + TRA</v>
      </c>
      <c r="I1491">
        <f>_xlfn.XLOOKUP(Grammys[[#This Row],[date]], mobile_visits[date], mobile_visits[mobile_visitors], 0)</f>
        <v>0</v>
      </c>
    </row>
    <row r="1492" spans="1:9" x14ac:dyDescent="0.2">
      <c r="A1492" s="1">
        <v>44226</v>
      </c>
      <c r="B1492">
        <v>39955</v>
      </c>
      <c r="C1492">
        <v>75401</v>
      </c>
      <c r="D1492">
        <v>42248</v>
      </c>
      <c r="E1492">
        <v>20516</v>
      </c>
      <c r="F1492">
        <v>83</v>
      </c>
      <c r="G1492" t="s">
        <v>20</v>
      </c>
      <c r="H1492" t="str">
        <f>IF(Grammys[[#This Row],[date]] &gt;= DATE(2022, 2, 1), "Grammys", "Grammys + TRA")</f>
        <v>Grammys + TRA</v>
      </c>
      <c r="I1492">
        <f>_xlfn.XLOOKUP(Grammys[[#This Row],[date]], mobile_visits[date], mobile_visits[mobile_visitors], 0)</f>
        <v>0</v>
      </c>
    </row>
    <row r="1493" spans="1:9" x14ac:dyDescent="0.2">
      <c r="A1493" s="1">
        <v>44227</v>
      </c>
      <c r="B1493">
        <v>45327</v>
      </c>
      <c r="C1493">
        <v>88713</v>
      </c>
      <c r="D1493">
        <v>49140</v>
      </c>
      <c r="E1493">
        <v>23632</v>
      </c>
      <c r="F1493">
        <v>83</v>
      </c>
      <c r="G1493" t="s">
        <v>20</v>
      </c>
      <c r="H1493" t="str">
        <f>IF(Grammys[[#This Row],[date]] &gt;= DATE(2022, 2, 1), "Grammys", "Grammys + TRA")</f>
        <v>Grammys + TRA</v>
      </c>
      <c r="I1493">
        <f>_xlfn.XLOOKUP(Grammys[[#This Row],[date]], mobile_visits[date], mobile_visits[mobile_visitors], 0)</f>
        <v>0</v>
      </c>
    </row>
    <row r="1494" spans="1:9" x14ac:dyDescent="0.2">
      <c r="A1494" s="1">
        <v>44228</v>
      </c>
      <c r="B1494">
        <v>36153</v>
      </c>
      <c r="C1494">
        <v>74128</v>
      </c>
      <c r="D1494">
        <v>38762</v>
      </c>
      <c r="E1494">
        <v>17273</v>
      </c>
      <c r="F1494">
        <v>89</v>
      </c>
      <c r="G1494" t="s">
        <v>20</v>
      </c>
      <c r="H1494" t="str">
        <f>IF(Grammys[[#This Row],[date]] &gt;= DATE(2022, 2, 1), "Grammys", "Grammys + TRA")</f>
        <v>Grammys + TRA</v>
      </c>
      <c r="I1494">
        <f>_xlfn.XLOOKUP(Grammys[[#This Row],[date]], mobile_visits[date], mobile_visits[mobile_visitors], 0)</f>
        <v>0</v>
      </c>
    </row>
    <row r="1495" spans="1:9" x14ac:dyDescent="0.2">
      <c r="A1495" s="1">
        <v>44229</v>
      </c>
      <c r="B1495">
        <v>32165</v>
      </c>
      <c r="C1495">
        <v>65706</v>
      </c>
      <c r="D1495">
        <v>34989</v>
      </c>
      <c r="E1495">
        <v>15735</v>
      </c>
      <c r="F1495">
        <v>90</v>
      </c>
      <c r="G1495" t="s">
        <v>20</v>
      </c>
      <c r="H1495" t="str">
        <f>IF(Grammys[[#This Row],[date]] &gt;= DATE(2022, 2, 1), "Grammys", "Grammys + TRA")</f>
        <v>Grammys + TRA</v>
      </c>
      <c r="I1495">
        <f>_xlfn.XLOOKUP(Grammys[[#This Row],[date]], mobile_visits[date], mobile_visits[mobile_visitors], 0)</f>
        <v>0</v>
      </c>
    </row>
    <row r="1496" spans="1:9" x14ac:dyDescent="0.2">
      <c r="A1496" s="1">
        <v>44230</v>
      </c>
      <c r="B1496">
        <v>37163</v>
      </c>
      <c r="C1496">
        <v>73039</v>
      </c>
      <c r="D1496">
        <v>39661</v>
      </c>
      <c r="E1496">
        <v>18114</v>
      </c>
      <c r="F1496">
        <v>88</v>
      </c>
      <c r="G1496" t="s">
        <v>20</v>
      </c>
      <c r="H1496" t="str">
        <f>IF(Grammys[[#This Row],[date]] &gt;= DATE(2022, 2, 1), "Grammys", "Grammys + TRA")</f>
        <v>Grammys + TRA</v>
      </c>
      <c r="I1496">
        <f>_xlfn.XLOOKUP(Grammys[[#This Row],[date]], mobile_visits[date], mobile_visits[mobile_visitors], 0)</f>
        <v>0</v>
      </c>
    </row>
    <row r="1497" spans="1:9" x14ac:dyDescent="0.2">
      <c r="A1497" s="1">
        <v>44231</v>
      </c>
      <c r="B1497">
        <v>32797</v>
      </c>
      <c r="C1497">
        <v>65509</v>
      </c>
      <c r="D1497">
        <v>35561</v>
      </c>
      <c r="E1497">
        <v>16202</v>
      </c>
      <c r="F1497">
        <v>95</v>
      </c>
      <c r="G1497" t="s">
        <v>20</v>
      </c>
      <c r="H1497" t="str">
        <f>IF(Grammys[[#This Row],[date]] &gt;= DATE(2022, 2, 1), "Grammys", "Grammys + TRA")</f>
        <v>Grammys + TRA</v>
      </c>
      <c r="I1497">
        <f>_xlfn.XLOOKUP(Grammys[[#This Row],[date]], mobile_visits[date], mobile_visits[mobile_visitors], 0)</f>
        <v>0</v>
      </c>
    </row>
    <row r="1498" spans="1:9" x14ac:dyDescent="0.2">
      <c r="A1498" s="1">
        <v>44232</v>
      </c>
      <c r="B1498">
        <v>33624</v>
      </c>
      <c r="C1498">
        <v>66410</v>
      </c>
      <c r="D1498">
        <v>36262</v>
      </c>
      <c r="E1498">
        <v>16532</v>
      </c>
      <c r="F1498">
        <v>92</v>
      </c>
      <c r="G1498" t="s">
        <v>20</v>
      </c>
      <c r="H1498" t="str">
        <f>IF(Grammys[[#This Row],[date]] &gt;= DATE(2022, 2, 1), "Grammys", "Grammys + TRA")</f>
        <v>Grammys + TRA</v>
      </c>
      <c r="I1498">
        <f>_xlfn.XLOOKUP(Grammys[[#This Row],[date]], mobile_visits[date], mobile_visits[mobile_visitors], 0)</f>
        <v>0</v>
      </c>
    </row>
    <row r="1499" spans="1:9" x14ac:dyDescent="0.2">
      <c r="A1499" s="1">
        <v>44233</v>
      </c>
      <c r="B1499">
        <v>33292</v>
      </c>
      <c r="C1499">
        <v>63643</v>
      </c>
      <c r="D1499">
        <v>35552</v>
      </c>
      <c r="E1499">
        <v>16248</v>
      </c>
      <c r="F1499">
        <v>88</v>
      </c>
      <c r="G1499" t="s">
        <v>20</v>
      </c>
      <c r="H1499" t="str">
        <f>IF(Grammys[[#This Row],[date]] &gt;= DATE(2022, 2, 1), "Grammys", "Grammys + TRA")</f>
        <v>Grammys + TRA</v>
      </c>
      <c r="I1499">
        <f>_xlfn.XLOOKUP(Grammys[[#This Row],[date]], mobile_visits[date], mobile_visits[mobile_visitors], 0)</f>
        <v>0</v>
      </c>
    </row>
    <row r="1500" spans="1:9" x14ac:dyDescent="0.2">
      <c r="A1500" s="1">
        <v>44234</v>
      </c>
      <c r="B1500">
        <v>46467</v>
      </c>
      <c r="C1500">
        <v>86636</v>
      </c>
      <c r="D1500">
        <v>49416</v>
      </c>
      <c r="E1500">
        <v>23241</v>
      </c>
      <c r="F1500">
        <v>91</v>
      </c>
      <c r="G1500" t="s">
        <v>20</v>
      </c>
      <c r="H1500" t="str">
        <f>IF(Grammys[[#This Row],[date]] &gt;= DATE(2022, 2, 1), "Grammys", "Grammys + TRA")</f>
        <v>Grammys + TRA</v>
      </c>
      <c r="I1500">
        <f>_xlfn.XLOOKUP(Grammys[[#This Row],[date]], mobile_visits[date], mobile_visits[mobile_visitors], 0)</f>
        <v>0</v>
      </c>
    </row>
    <row r="1501" spans="1:9" x14ac:dyDescent="0.2">
      <c r="A1501" s="1">
        <v>44235</v>
      </c>
      <c r="B1501">
        <v>36737</v>
      </c>
      <c r="C1501">
        <v>78679</v>
      </c>
      <c r="D1501">
        <v>40407</v>
      </c>
      <c r="E1501">
        <v>18075</v>
      </c>
      <c r="F1501">
        <v>92</v>
      </c>
      <c r="G1501" t="s">
        <v>20</v>
      </c>
      <c r="H1501" t="str">
        <f>IF(Grammys[[#This Row],[date]] &gt;= DATE(2022, 2, 1), "Grammys", "Grammys + TRA")</f>
        <v>Grammys + TRA</v>
      </c>
      <c r="I1501">
        <f>_xlfn.XLOOKUP(Grammys[[#This Row],[date]], mobile_visits[date], mobile_visits[mobile_visitors], 0)</f>
        <v>0</v>
      </c>
    </row>
    <row r="1502" spans="1:9" x14ac:dyDescent="0.2">
      <c r="A1502" s="1">
        <v>44236</v>
      </c>
      <c r="B1502">
        <v>33478</v>
      </c>
      <c r="C1502">
        <v>69823</v>
      </c>
      <c r="D1502">
        <v>36131</v>
      </c>
      <c r="E1502">
        <v>16476</v>
      </c>
      <c r="F1502">
        <v>91</v>
      </c>
      <c r="G1502" t="s">
        <v>20</v>
      </c>
      <c r="H1502" t="str">
        <f>IF(Grammys[[#This Row],[date]] &gt;= DATE(2022, 2, 1), "Grammys", "Grammys + TRA")</f>
        <v>Grammys + TRA</v>
      </c>
      <c r="I1502">
        <f>_xlfn.XLOOKUP(Grammys[[#This Row],[date]], mobile_visits[date], mobile_visits[mobile_visitors], 0)</f>
        <v>0</v>
      </c>
    </row>
    <row r="1503" spans="1:9" x14ac:dyDescent="0.2">
      <c r="A1503" s="1">
        <v>44237</v>
      </c>
      <c r="B1503">
        <v>36115</v>
      </c>
      <c r="C1503">
        <v>74597</v>
      </c>
      <c r="D1503">
        <v>39444</v>
      </c>
      <c r="E1503">
        <v>18086</v>
      </c>
      <c r="F1503">
        <v>80</v>
      </c>
      <c r="G1503" t="s">
        <v>20</v>
      </c>
      <c r="H1503" t="str">
        <f>IF(Grammys[[#This Row],[date]] &gt;= DATE(2022, 2, 1), "Grammys", "Grammys + TRA")</f>
        <v>Grammys + TRA</v>
      </c>
      <c r="I1503">
        <f>_xlfn.XLOOKUP(Grammys[[#This Row],[date]], mobile_visits[date], mobile_visits[mobile_visitors], 0)</f>
        <v>0</v>
      </c>
    </row>
    <row r="1504" spans="1:9" x14ac:dyDescent="0.2">
      <c r="A1504" s="1">
        <v>44238</v>
      </c>
      <c r="B1504">
        <v>35117</v>
      </c>
      <c r="C1504">
        <v>73269</v>
      </c>
      <c r="D1504">
        <v>38237</v>
      </c>
      <c r="E1504">
        <v>17345</v>
      </c>
      <c r="F1504">
        <v>88</v>
      </c>
      <c r="G1504" t="s">
        <v>20</v>
      </c>
      <c r="H1504" t="str">
        <f>IF(Grammys[[#This Row],[date]] &gt;= DATE(2022, 2, 1), "Grammys", "Grammys + TRA")</f>
        <v>Grammys + TRA</v>
      </c>
      <c r="I1504">
        <f>_xlfn.XLOOKUP(Grammys[[#This Row],[date]], mobile_visits[date], mobile_visits[mobile_visitors], 0)</f>
        <v>0</v>
      </c>
    </row>
    <row r="1505" spans="1:9" x14ac:dyDescent="0.2">
      <c r="A1505" s="1">
        <v>44239</v>
      </c>
      <c r="B1505">
        <v>31024</v>
      </c>
      <c r="C1505">
        <v>62657</v>
      </c>
      <c r="D1505">
        <v>33771</v>
      </c>
      <c r="E1505">
        <v>15457</v>
      </c>
      <c r="F1505">
        <v>94</v>
      </c>
      <c r="G1505" t="s">
        <v>20</v>
      </c>
      <c r="H1505" t="str">
        <f>IF(Grammys[[#This Row],[date]] &gt;= DATE(2022, 2, 1), "Grammys", "Grammys + TRA")</f>
        <v>Grammys + TRA</v>
      </c>
      <c r="I1505">
        <f>_xlfn.XLOOKUP(Grammys[[#This Row],[date]], mobile_visits[date], mobile_visits[mobile_visitors], 0)</f>
        <v>0</v>
      </c>
    </row>
    <row r="1506" spans="1:9" x14ac:dyDescent="0.2">
      <c r="A1506" s="1">
        <v>44240</v>
      </c>
      <c r="B1506">
        <v>43253</v>
      </c>
      <c r="C1506">
        <v>78489</v>
      </c>
      <c r="D1506">
        <v>47351</v>
      </c>
      <c r="E1506">
        <v>24850</v>
      </c>
      <c r="F1506">
        <v>66</v>
      </c>
      <c r="G1506" t="s">
        <v>20</v>
      </c>
      <c r="H1506" t="str">
        <f>IF(Grammys[[#This Row],[date]] &gt;= DATE(2022, 2, 1), "Grammys", "Grammys + TRA")</f>
        <v>Grammys + TRA</v>
      </c>
      <c r="I1506">
        <f>_xlfn.XLOOKUP(Grammys[[#This Row],[date]], mobile_visits[date], mobile_visits[mobile_visitors], 0)</f>
        <v>0</v>
      </c>
    </row>
    <row r="1507" spans="1:9" x14ac:dyDescent="0.2">
      <c r="A1507" s="1">
        <v>44241</v>
      </c>
      <c r="B1507">
        <v>27848</v>
      </c>
      <c r="C1507">
        <v>54855</v>
      </c>
      <c r="D1507">
        <v>30274</v>
      </c>
      <c r="E1507">
        <v>14029</v>
      </c>
      <c r="F1507">
        <v>88</v>
      </c>
      <c r="G1507" t="s">
        <v>20</v>
      </c>
      <c r="H1507" t="str">
        <f>IF(Grammys[[#This Row],[date]] &gt;= DATE(2022, 2, 1), "Grammys", "Grammys + TRA")</f>
        <v>Grammys + TRA</v>
      </c>
      <c r="I1507">
        <f>_xlfn.XLOOKUP(Grammys[[#This Row],[date]], mobile_visits[date], mobile_visits[mobile_visitors], 0)</f>
        <v>0</v>
      </c>
    </row>
    <row r="1508" spans="1:9" x14ac:dyDescent="0.2">
      <c r="A1508" s="1">
        <v>44242</v>
      </c>
      <c r="B1508">
        <v>30025</v>
      </c>
      <c r="C1508">
        <v>61121</v>
      </c>
      <c r="D1508">
        <v>32589</v>
      </c>
      <c r="E1508">
        <v>14734</v>
      </c>
      <c r="F1508">
        <v>89</v>
      </c>
      <c r="G1508" t="s">
        <v>20</v>
      </c>
      <c r="H1508" t="str">
        <f>IF(Grammys[[#This Row],[date]] &gt;= DATE(2022, 2, 1), "Grammys", "Grammys + TRA")</f>
        <v>Grammys + TRA</v>
      </c>
      <c r="I1508">
        <f>_xlfn.XLOOKUP(Grammys[[#This Row],[date]], mobile_visits[date], mobile_visits[mobile_visitors], 0)</f>
        <v>0</v>
      </c>
    </row>
    <row r="1509" spans="1:9" x14ac:dyDescent="0.2">
      <c r="A1509" s="1">
        <v>44243</v>
      </c>
      <c r="B1509">
        <v>40727</v>
      </c>
      <c r="C1509">
        <v>82037</v>
      </c>
      <c r="D1509">
        <v>44217</v>
      </c>
      <c r="E1509">
        <v>21180</v>
      </c>
      <c r="F1509">
        <v>87</v>
      </c>
      <c r="G1509" t="s">
        <v>20</v>
      </c>
      <c r="H1509" t="str">
        <f>IF(Grammys[[#This Row],[date]] &gt;= DATE(2022, 2, 1), "Grammys", "Grammys + TRA")</f>
        <v>Grammys + TRA</v>
      </c>
      <c r="I1509">
        <f>_xlfn.XLOOKUP(Grammys[[#This Row],[date]], mobile_visits[date], mobile_visits[mobile_visitors], 0)</f>
        <v>0</v>
      </c>
    </row>
    <row r="1510" spans="1:9" x14ac:dyDescent="0.2">
      <c r="A1510" s="1">
        <v>44244</v>
      </c>
      <c r="B1510">
        <v>36765</v>
      </c>
      <c r="C1510">
        <v>74326</v>
      </c>
      <c r="D1510">
        <v>39900</v>
      </c>
      <c r="E1510">
        <v>19579</v>
      </c>
      <c r="F1510">
        <v>88</v>
      </c>
      <c r="G1510" t="s">
        <v>20</v>
      </c>
      <c r="H1510" t="str">
        <f>IF(Grammys[[#This Row],[date]] &gt;= DATE(2022, 2, 1), "Grammys", "Grammys + TRA")</f>
        <v>Grammys + TRA</v>
      </c>
      <c r="I1510">
        <f>_xlfn.XLOOKUP(Grammys[[#This Row],[date]], mobile_visits[date], mobile_visits[mobile_visitors], 0)</f>
        <v>0</v>
      </c>
    </row>
    <row r="1511" spans="1:9" x14ac:dyDescent="0.2">
      <c r="A1511" s="1">
        <v>44245</v>
      </c>
      <c r="B1511">
        <v>41094</v>
      </c>
      <c r="C1511">
        <v>79060</v>
      </c>
      <c r="D1511">
        <v>44632</v>
      </c>
      <c r="E1511">
        <v>22062</v>
      </c>
      <c r="F1511">
        <v>90</v>
      </c>
      <c r="G1511" t="s">
        <v>20</v>
      </c>
      <c r="H1511" t="str">
        <f>IF(Grammys[[#This Row],[date]] &gt;= DATE(2022, 2, 1), "Grammys", "Grammys + TRA")</f>
        <v>Grammys + TRA</v>
      </c>
      <c r="I1511">
        <f>_xlfn.XLOOKUP(Grammys[[#This Row],[date]], mobile_visits[date], mobile_visits[mobile_visitors], 0)</f>
        <v>0</v>
      </c>
    </row>
    <row r="1512" spans="1:9" x14ac:dyDescent="0.2">
      <c r="A1512" s="1">
        <v>44246</v>
      </c>
      <c r="B1512">
        <v>40017</v>
      </c>
      <c r="C1512">
        <v>77273</v>
      </c>
      <c r="D1512">
        <v>43171</v>
      </c>
      <c r="E1512">
        <v>21409</v>
      </c>
      <c r="F1512">
        <v>81</v>
      </c>
      <c r="G1512" t="s">
        <v>20</v>
      </c>
      <c r="H1512" t="str">
        <f>IF(Grammys[[#This Row],[date]] &gt;= DATE(2022, 2, 1), "Grammys", "Grammys + TRA")</f>
        <v>Grammys + TRA</v>
      </c>
      <c r="I1512">
        <f>_xlfn.XLOOKUP(Grammys[[#This Row],[date]], mobile_visits[date], mobile_visits[mobile_visitors], 0)</f>
        <v>0</v>
      </c>
    </row>
    <row r="1513" spans="1:9" x14ac:dyDescent="0.2">
      <c r="A1513" s="1">
        <v>44247</v>
      </c>
      <c r="B1513">
        <v>39861</v>
      </c>
      <c r="C1513">
        <v>73759</v>
      </c>
      <c r="D1513">
        <v>43075</v>
      </c>
      <c r="E1513">
        <v>19173</v>
      </c>
      <c r="F1513">
        <v>86</v>
      </c>
      <c r="G1513" t="s">
        <v>20</v>
      </c>
      <c r="H1513" t="str">
        <f>IF(Grammys[[#This Row],[date]] &gt;= DATE(2022, 2, 1), "Grammys", "Grammys + TRA")</f>
        <v>Grammys + TRA</v>
      </c>
      <c r="I1513">
        <f>_xlfn.XLOOKUP(Grammys[[#This Row],[date]], mobile_visits[date], mobile_visits[mobile_visitors], 0)</f>
        <v>0</v>
      </c>
    </row>
    <row r="1514" spans="1:9" x14ac:dyDescent="0.2">
      <c r="A1514" s="1">
        <v>44248</v>
      </c>
      <c r="B1514">
        <v>39107</v>
      </c>
      <c r="C1514">
        <v>77081</v>
      </c>
      <c r="D1514">
        <v>42827</v>
      </c>
      <c r="E1514">
        <v>19662</v>
      </c>
      <c r="F1514">
        <v>86</v>
      </c>
      <c r="G1514" t="s">
        <v>20</v>
      </c>
      <c r="H1514" t="str">
        <f>IF(Grammys[[#This Row],[date]] &gt;= DATE(2022, 2, 1), "Grammys", "Grammys + TRA")</f>
        <v>Grammys + TRA</v>
      </c>
      <c r="I1514">
        <f>_xlfn.XLOOKUP(Grammys[[#This Row],[date]], mobile_visits[date], mobile_visits[mobile_visitors], 0)</f>
        <v>0</v>
      </c>
    </row>
    <row r="1515" spans="1:9" x14ac:dyDescent="0.2">
      <c r="A1515" s="1">
        <v>44249</v>
      </c>
      <c r="B1515">
        <v>44411</v>
      </c>
      <c r="C1515">
        <v>91137</v>
      </c>
      <c r="D1515">
        <v>48047</v>
      </c>
      <c r="E1515">
        <v>21708</v>
      </c>
      <c r="F1515">
        <v>90</v>
      </c>
      <c r="G1515" t="s">
        <v>20</v>
      </c>
      <c r="H1515" t="str">
        <f>IF(Grammys[[#This Row],[date]] &gt;= DATE(2022, 2, 1), "Grammys", "Grammys + TRA")</f>
        <v>Grammys + TRA</v>
      </c>
      <c r="I1515">
        <f>_xlfn.XLOOKUP(Grammys[[#This Row],[date]], mobile_visits[date], mobile_visits[mobile_visitors], 0)</f>
        <v>0</v>
      </c>
    </row>
    <row r="1516" spans="1:9" x14ac:dyDescent="0.2">
      <c r="A1516" s="1">
        <v>44250</v>
      </c>
      <c r="B1516">
        <v>40381</v>
      </c>
      <c r="C1516">
        <v>82465</v>
      </c>
      <c r="D1516">
        <v>43739</v>
      </c>
      <c r="E1516">
        <v>20584</v>
      </c>
      <c r="F1516">
        <v>89</v>
      </c>
      <c r="G1516" t="s">
        <v>20</v>
      </c>
      <c r="H1516" t="str">
        <f>IF(Grammys[[#This Row],[date]] &gt;= DATE(2022, 2, 1), "Grammys", "Grammys + TRA")</f>
        <v>Grammys + TRA</v>
      </c>
      <c r="I1516">
        <f>_xlfn.XLOOKUP(Grammys[[#This Row],[date]], mobile_visits[date], mobile_visits[mobile_visitors], 0)</f>
        <v>0</v>
      </c>
    </row>
    <row r="1517" spans="1:9" x14ac:dyDescent="0.2">
      <c r="A1517" s="1">
        <v>44251</v>
      </c>
      <c r="B1517">
        <v>41689</v>
      </c>
      <c r="C1517">
        <v>84093</v>
      </c>
      <c r="D1517">
        <v>45637</v>
      </c>
      <c r="E1517">
        <v>21929</v>
      </c>
      <c r="F1517">
        <v>89</v>
      </c>
      <c r="G1517" t="s">
        <v>20</v>
      </c>
      <c r="H1517" t="str">
        <f>IF(Grammys[[#This Row],[date]] &gt;= DATE(2022, 2, 1), "Grammys", "Grammys + TRA")</f>
        <v>Grammys + TRA</v>
      </c>
      <c r="I1517">
        <f>_xlfn.XLOOKUP(Grammys[[#This Row],[date]], mobile_visits[date], mobile_visits[mobile_visitors], 0)</f>
        <v>0</v>
      </c>
    </row>
    <row r="1518" spans="1:9" x14ac:dyDescent="0.2">
      <c r="A1518" s="1">
        <v>44252</v>
      </c>
      <c r="B1518">
        <v>44507</v>
      </c>
      <c r="C1518">
        <v>92221</v>
      </c>
      <c r="D1518">
        <v>49002</v>
      </c>
      <c r="E1518">
        <v>23815</v>
      </c>
      <c r="F1518">
        <v>89</v>
      </c>
      <c r="G1518" t="s">
        <v>20</v>
      </c>
      <c r="H1518" t="str">
        <f>IF(Grammys[[#This Row],[date]] &gt;= DATE(2022, 2, 1), "Grammys", "Grammys + TRA")</f>
        <v>Grammys + TRA</v>
      </c>
      <c r="I1518">
        <f>_xlfn.XLOOKUP(Grammys[[#This Row],[date]], mobile_visits[date], mobile_visits[mobile_visitors], 0)</f>
        <v>0</v>
      </c>
    </row>
    <row r="1519" spans="1:9" x14ac:dyDescent="0.2">
      <c r="A1519" s="1">
        <v>44253</v>
      </c>
      <c r="B1519">
        <v>50087</v>
      </c>
      <c r="C1519">
        <v>97920</v>
      </c>
      <c r="D1519">
        <v>53820</v>
      </c>
      <c r="E1519">
        <v>26082</v>
      </c>
      <c r="F1519">
        <v>82</v>
      </c>
      <c r="G1519" t="s">
        <v>20</v>
      </c>
      <c r="H1519" t="str">
        <f>IF(Grammys[[#This Row],[date]] &gt;= DATE(2022, 2, 1), "Grammys", "Grammys + TRA")</f>
        <v>Grammys + TRA</v>
      </c>
      <c r="I1519">
        <f>_xlfn.XLOOKUP(Grammys[[#This Row],[date]], mobile_visits[date], mobile_visits[mobile_visitors], 0)</f>
        <v>0</v>
      </c>
    </row>
    <row r="1520" spans="1:9" x14ac:dyDescent="0.2">
      <c r="A1520" s="1">
        <v>44254</v>
      </c>
      <c r="B1520">
        <v>41470</v>
      </c>
      <c r="C1520">
        <v>76732</v>
      </c>
      <c r="D1520">
        <v>44062</v>
      </c>
      <c r="E1520">
        <v>21463</v>
      </c>
      <c r="F1520">
        <v>87</v>
      </c>
      <c r="G1520" t="s">
        <v>20</v>
      </c>
      <c r="H1520" t="str">
        <f>IF(Grammys[[#This Row],[date]] &gt;= DATE(2022, 2, 1), "Grammys", "Grammys + TRA")</f>
        <v>Grammys + TRA</v>
      </c>
      <c r="I1520">
        <f>_xlfn.XLOOKUP(Grammys[[#This Row],[date]], mobile_visits[date], mobile_visits[mobile_visitors], 0)</f>
        <v>0</v>
      </c>
    </row>
    <row r="1521" spans="1:9" x14ac:dyDescent="0.2">
      <c r="A1521" s="1">
        <v>44255</v>
      </c>
      <c r="B1521">
        <v>57598</v>
      </c>
      <c r="C1521">
        <v>109205</v>
      </c>
      <c r="D1521">
        <v>62383</v>
      </c>
      <c r="E1521">
        <v>30549</v>
      </c>
      <c r="F1521">
        <v>87</v>
      </c>
      <c r="G1521" t="s">
        <v>20</v>
      </c>
      <c r="H1521" t="str">
        <f>IF(Grammys[[#This Row],[date]] &gt;= DATE(2022, 2, 1), "Grammys", "Grammys + TRA")</f>
        <v>Grammys + TRA</v>
      </c>
      <c r="I1521">
        <f>_xlfn.XLOOKUP(Grammys[[#This Row],[date]], mobile_visits[date], mobile_visits[mobile_visitors], 0)</f>
        <v>0</v>
      </c>
    </row>
    <row r="1522" spans="1:9" x14ac:dyDescent="0.2">
      <c r="A1522" s="1">
        <v>44256</v>
      </c>
      <c r="B1522">
        <v>60583</v>
      </c>
      <c r="C1522">
        <v>128453</v>
      </c>
      <c r="D1522">
        <v>66476</v>
      </c>
      <c r="E1522">
        <v>31145</v>
      </c>
      <c r="F1522">
        <v>92</v>
      </c>
      <c r="G1522" t="s">
        <v>20</v>
      </c>
      <c r="H1522" t="str">
        <f>IF(Grammys[[#This Row],[date]] &gt;= DATE(2022, 2, 1), "Grammys", "Grammys + TRA")</f>
        <v>Grammys + TRA</v>
      </c>
      <c r="I1522">
        <f>_xlfn.XLOOKUP(Grammys[[#This Row],[date]], mobile_visits[date], mobile_visits[mobile_visitors], 0)</f>
        <v>0</v>
      </c>
    </row>
    <row r="1523" spans="1:9" x14ac:dyDescent="0.2">
      <c r="A1523" s="1">
        <v>44257</v>
      </c>
      <c r="B1523">
        <v>72866</v>
      </c>
      <c r="C1523">
        <v>145950</v>
      </c>
      <c r="D1523">
        <v>79774</v>
      </c>
      <c r="E1523">
        <v>36090</v>
      </c>
      <c r="F1523">
        <v>91</v>
      </c>
      <c r="G1523" t="s">
        <v>20</v>
      </c>
      <c r="H1523" t="str">
        <f>IF(Grammys[[#This Row],[date]] &gt;= DATE(2022, 2, 1), "Grammys", "Grammys + TRA")</f>
        <v>Grammys + TRA</v>
      </c>
      <c r="I1523">
        <f>_xlfn.XLOOKUP(Grammys[[#This Row],[date]], mobile_visits[date], mobile_visits[mobile_visitors], 0)</f>
        <v>0</v>
      </c>
    </row>
    <row r="1524" spans="1:9" x14ac:dyDescent="0.2">
      <c r="A1524" s="1">
        <v>44258</v>
      </c>
      <c r="B1524">
        <v>81467</v>
      </c>
      <c r="C1524">
        <v>162861</v>
      </c>
      <c r="D1524">
        <v>87919</v>
      </c>
      <c r="E1524">
        <v>38650</v>
      </c>
      <c r="F1524">
        <v>88</v>
      </c>
      <c r="G1524" t="s">
        <v>20</v>
      </c>
      <c r="H1524" t="str">
        <f>IF(Grammys[[#This Row],[date]] &gt;= DATE(2022, 2, 1), "Grammys", "Grammys + TRA")</f>
        <v>Grammys + TRA</v>
      </c>
      <c r="I1524">
        <f>_xlfn.XLOOKUP(Grammys[[#This Row],[date]], mobile_visits[date], mobile_visits[mobile_visitors], 0)</f>
        <v>0</v>
      </c>
    </row>
    <row r="1525" spans="1:9" x14ac:dyDescent="0.2">
      <c r="A1525" s="1">
        <v>44259</v>
      </c>
      <c r="B1525">
        <v>94367</v>
      </c>
      <c r="C1525">
        <v>189496</v>
      </c>
      <c r="D1525">
        <v>103438</v>
      </c>
      <c r="E1525">
        <v>44106</v>
      </c>
      <c r="F1525">
        <v>88</v>
      </c>
      <c r="G1525" t="s">
        <v>20</v>
      </c>
      <c r="H1525" t="str">
        <f>IF(Grammys[[#This Row],[date]] &gt;= DATE(2022, 2, 1), "Grammys", "Grammys + TRA")</f>
        <v>Grammys + TRA</v>
      </c>
      <c r="I1525">
        <f>_xlfn.XLOOKUP(Grammys[[#This Row],[date]], mobile_visits[date], mobile_visits[mobile_visitors], 0)</f>
        <v>0</v>
      </c>
    </row>
    <row r="1526" spans="1:9" x14ac:dyDescent="0.2">
      <c r="A1526" s="1">
        <v>44260</v>
      </c>
      <c r="B1526">
        <v>92324</v>
      </c>
      <c r="C1526">
        <v>183052</v>
      </c>
      <c r="D1526">
        <v>102226</v>
      </c>
      <c r="E1526">
        <v>47996</v>
      </c>
      <c r="F1526">
        <v>88</v>
      </c>
      <c r="G1526" t="s">
        <v>20</v>
      </c>
      <c r="H1526" t="str">
        <f>IF(Grammys[[#This Row],[date]] &gt;= DATE(2022, 2, 1), "Grammys", "Grammys + TRA")</f>
        <v>Grammys + TRA</v>
      </c>
      <c r="I1526">
        <f>_xlfn.XLOOKUP(Grammys[[#This Row],[date]], mobile_visits[date], mobile_visits[mobile_visitors], 0)</f>
        <v>0</v>
      </c>
    </row>
    <row r="1527" spans="1:9" x14ac:dyDescent="0.2">
      <c r="A1527" s="1">
        <v>44261</v>
      </c>
      <c r="B1527">
        <v>97176</v>
      </c>
      <c r="C1527">
        <v>187155</v>
      </c>
      <c r="D1527">
        <v>109275</v>
      </c>
      <c r="E1527">
        <v>54179</v>
      </c>
      <c r="F1527">
        <v>85</v>
      </c>
      <c r="G1527" t="s">
        <v>20</v>
      </c>
      <c r="H1527" t="str">
        <f>IF(Grammys[[#This Row],[date]] &gt;= DATE(2022, 2, 1), "Grammys", "Grammys + TRA")</f>
        <v>Grammys + TRA</v>
      </c>
      <c r="I1527">
        <f>_xlfn.XLOOKUP(Grammys[[#This Row],[date]], mobile_visits[date], mobile_visits[mobile_visitors], 0)</f>
        <v>0</v>
      </c>
    </row>
    <row r="1528" spans="1:9" x14ac:dyDescent="0.2">
      <c r="A1528" s="1">
        <v>44262</v>
      </c>
      <c r="B1528">
        <v>582099</v>
      </c>
      <c r="C1528">
        <v>1115885</v>
      </c>
      <c r="D1528">
        <v>665492</v>
      </c>
      <c r="E1528">
        <v>285563</v>
      </c>
      <c r="F1528">
        <v>79</v>
      </c>
      <c r="G1528" t="s">
        <v>20</v>
      </c>
      <c r="H1528" t="str">
        <f>IF(Grammys[[#This Row],[date]] &gt;= DATE(2022, 2, 1), "Grammys", "Grammys + TRA")</f>
        <v>Grammys + TRA</v>
      </c>
      <c r="I1528">
        <f>_xlfn.XLOOKUP(Grammys[[#This Row],[date]], mobile_visits[date], mobile_visits[mobile_visitors], 0)</f>
        <v>0</v>
      </c>
    </row>
    <row r="1529" spans="1:9" x14ac:dyDescent="0.2">
      <c r="A1529" s="1">
        <v>44263</v>
      </c>
      <c r="B1529">
        <v>324136</v>
      </c>
      <c r="C1529">
        <v>652820</v>
      </c>
      <c r="D1529">
        <v>363088</v>
      </c>
      <c r="E1529">
        <v>147087</v>
      </c>
      <c r="F1529">
        <v>79</v>
      </c>
      <c r="G1529" t="s">
        <v>20</v>
      </c>
      <c r="H1529" t="str">
        <f>IF(Grammys[[#This Row],[date]] &gt;= DATE(2022, 2, 1), "Grammys", "Grammys + TRA")</f>
        <v>Grammys + TRA</v>
      </c>
      <c r="I1529">
        <f>_xlfn.XLOOKUP(Grammys[[#This Row],[date]], mobile_visits[date], mobile_visits[mobile_visitors], 0)</f>
        <v>0</v>
      </c>
    </row>
    <row r="1530" spans="1:9" x14ac:dyDescent="0.2">
      <c r="A1530" s="1">
        <v>44264</v>
      </c>
      <c r="B1530">
        <v>251019</v>
      </c>
      <c r="C1530">
        <v>524922</v>
      </c>
      <c r="D1530">
        <v>279366</v>
      </c>
      <c r="E1530">
        <v>116692</v>
      </c>
      <c r="F1530">
        <v>88</v>
      </c>
      <c r="G1530" t="s">
        <v>20</v>
      </c>
      <c r="H1530" t="str">
        <f>IF(Grammys[[#This Row],[date]] &gt;= DATE(2022, 2, 1), "Grammys", "Grammys + TRA")</f>
        <v>Grammys + TRA</v>
      </c>
      <c r="I1530">
        <f>_xlfn.XLOOKUP(Grammys[[#This Row],[date]], mobile_visits[date], mobile_visits[mobile_visitors], 0)</f>
        <v>0</v>
      </c>
    </row>
    <row r="1531" spans="1:9" x14ac:dyDescent="0.2">
      <c r="A1531" s="1">
        <v>44265</v>
      </c>
      <c r="B1531">
        <v>246802</v>
      </c>
      <c r="C1531">
        <v>507277</v>
      </c>
      <c r="D1531">
        <v>273740</v>
      </c>
      <c r="E1531">
        <v>109934</v>
      </c>
      <c r="F1531">
        <v>108</v>
      </c>
      <c r="G1531" t="s">
        <v>20</v>
      </c>
      <c r="H1531" t="str">
        <f>IF(Grammys[[#This Row],[date]] &gt;= DATE(2022, 2, 1), "Grammys", "Grammys + TRA")</f>
        <v>Grammys + TRA</v>
      </c>
      <c r="I1531">
        <f>_xlfn.XLOOKUP(Grammys[[#This Row],[date]], mobile_visits[date], mobile_visits[mobile_visitors], 0)</f>
        <v>0</v>
      </c>
    </row>
    <row r="1532" spans="1:9" x14ac:dyDescent="0.2">
      <c r="A1532" s="1">
        <v>44266</v>
      </c>
      <c r="B1532">
        <v>278768</v>
      </c>
      <c r="C1532">
        <v>607396</v>
      </c>
      <c r="D1532">
        <v>314160</v>
      </c>
      <c r="E1532">
        <v>129654</v>
      </c>
      <c r="F1532">
        <v>100</v>
      </c>
      <c r="G1532" t="s">
        <v>20</v>
      </c>
      <c r="H1532" t="str">
        <f>IF(Grammys[[#This Row],[date]] &gt;= DATE(2022, 2, 1), "Grammys", "Grammys + TRA")</f>
        <v>Grammys + TRA</v>
      </c>
      <c r="I1532">
        <f>_xlfn.XLOOKUP(Grammys[[#This Row],[date]], mobile_visits[date], mobile_visits[mobile_visitors], 0)</f>
        <v>0</v>
      </c>
    </row>
    <row r="1533" spans="1:9" x14ac:dyDescent="0.2">
      <c r="A1533" s="1">
        <v>44267</v>
      </c>
      <c r="B1533">
        <v>450745</v>
      </c>
      <c r="C1533">
        <v>958929</v>
      </c>
      <c r="D1533">
        <v>503666</v>
      </c>
      <c r="E1533">
        <v>187868</v>
      </c>
      <c r="F1533">
        <v>91</v>
      </c>
      <c r="G1533" t="s">
        <v>20</v>
      </c>
      <c r="H1533" t="str">
        <f>IF(Grammys[[#This Row],[date]] &gt;= DATE(2022, 2, 1), "Grammys", "Grammys + TRA")</f>
        <v>Grammys + TRA</v>
      </c>
      <c r="I1533">
        <f>_xlfn.XLOOKUP(Grammys[[#This Row],[date]], mobile_visits[date], mobile_visits[mobile_visitors], 0)</f>
        <v>0</v>
      </c>
    </row>
    <row r="1534" spans="1:9" x14ac:dyDescent="0.2">
      <c r="A1534" s="1">
        <v>44268</v>
      </c>
      <c r="B1534">
        <v>615568</v>
      </c>
      <c r="C1534">
        <v>1393434</v>
      </c>
      <c r="D1534">
        <v>713174</v>
      </c>
      <c r="E1534">
        <v>256173</v>
      </c>
      <c r="F1534">
        <v>98</v>
      </c>
      <c r="G1534" t="s">
        <v>20</v>
      </c>
      <c r="H1534" t="str">
        <f>IF(Grammys[[#This Row],[date]] &gt;= DATE(2022, 2, 1), "Grammys", "Grammys + TRA")</f>
        <v>Grammys + TRA</v>
      </c>
      <c r="I1534">
        <f>_xlfn.XLOOKUP(Grammys[[#This Row],[date]], mobile_visits[date], mobile_visits[mobile_visitors], 0)</f>
        <v>0</v>
      </c>
    </row>
    <row r="1535" spans="1:9" x14ac:dyDescent="0.2">
      <c r="A1535" s="1">
        <v>44269</v>
      </c>
      <c r="B1535">
        <v>3241751</v>
      </c>
      <c r="C1535">
        <v>8182910</v>
      </c>
      <c r="D1535">
        <v>4255163</v>
      </c>
      <c r="E1535">
        <v>1276549</v>
      </c>
      <c r="F1535">
        <v>246</v>
      </c>
      <c r="G1535" t="s">
        <v>21</v>
      </c>
      <c r="H1535" t="str">
        <f>IF(Grammys[[#This Row],[date]] &gt;= DATE(2022, 2, 1), "Grammys", "Grammys + TRA")</f>
        <v>Grammys + TRA</v>
      </c>
      <c r="I1535">
        <f>_xlfn.XLOOKUP(Grammys[[#This Row],[date]], mobile_visits[date], mobile_visits[mobile_visitors], 0)</f>
        <v>0</v>
      </c>
    </row>
    <row r="1536" spans="1:9" x14ac:dyDescent="0.2">
      <c r="A1536" s="1">
        <v>44270</v>
      </c>
      <c r="B1536">
        <v>642500</v>
      </c>
      <c r="C1536">
        <v>812061</v>
      </c>
      <c r="D1536">
        <v>693603</v>
      </c>
      <c r="E1536">
        <v>238392</v>
      </c>
      <c r="F1536">
        <v>112</v>
      </c>
      <c r="G1536" t="s">
        <v>20</v>
      </c>
      <c r="H1536" t="str">
        <f>IF(Grammys[[#This Row],[date]] &gt;= DATE(2022, 2, 1), "Grammys", "Grammys + TRA")</f>
        <v>Grammys + TRA</v>
      </c>
      <c r="I1536">
        <f>_xlfn.XLOOKUP(Grammys[[#This Row],[date]], mobile_visits[date], mobile_visits[mobile_visitors], 0)</f>
        <v>0</v>
      </c>
    </row>
    <row r="1537" spans="1:9" x14ac:dyDescent="0.2">
      <c r="A1537" s="1">
        <v>44271</v>
      </c>
      <c r="B1537">
        <v>613586</v>
      </c>
      <c r="C1537">
        <v>1077837</v>
      </c>
      <c r="D1537">
        <v>674664</v>
      </c>
      <c r="E1537">
        <v>208404</v>
      </c>
      <c r="F1537">
        <v>197</v>
      </c>
      <c r="G1537" t="s">
        <v>20</v>
      </c>
      <c r="H1537" t="str">
        <f>IF(Grammys[[#This Row],[date]] &gt;= DATE(2022, 2, 1), "Grammys", "Grammys + TRA")</f>
        <v>Grammys + TRA</v>
      </c>
      <c r="I1537">
        <f>_xlfn.XLOOKUP(Grammys[[#This Row],[date]], mobile_visits[date], mobile_visits[mobile_visitors], 0)</f>
        <v>0</v>
      </c>
    </row>
    <row r="1538" spans="1:9" x14ac:dyDescent="0.2">
      <c r="A1538" s="1">
        <v>44272</v>
      </c>
      <c r="B1538">
        <v>441504</v>
      </c>
      <c r="C1538">
        <v>767342</v>
      </c>
      <c r="D1538">
        <v>480114</v>
      </c>
      <c r="E1538">
        <v>159302</v>
      </c>
      <c r="F1538">
        <v>177</v>
      </c>
      <c r="G1538" t="s">
        <v>20</v>
      </c>
      <c r="H1538" t="str">
        <f>IF(Grammys[[#This Row],[date]] &gt;= DATE(2022, 2, 1), "Grammys", "Grammys + TRA")</f>
        <v>Grammys + TRA</v>
      </c>
      <c r="I1538">
        <f>_xlfn.XLOOKUP(Grammys[[#This Row],[date]], mobile_visits[date], mobile_visits[mobile_visitors], 0)</f>
        <v>0</v>
      </c>
    </row>
    <row r="1539" spans="1:9" x14ac:dyDescent="0.2">
      <c r="A1539" s="1">
        <v>44273</v>
      </c>
      <c r="B1539">
        <v>272107</v>
      </c>
      <c r="C1539">
        <v>497278</v>
      </c>
      <c r="D1539">
        <v>296177</v>
      </c>
      <c r="E1539">
        <v>113703</v>
      </c>
      <c r="F1539">
        <v>148</v>
      </c>
      <c r="G1539" t="s">
        <v>20</v>
      </c>
      <c r="H1539" t="str">
        <f>IF(Grammys[[#This Row],[date]] &gt;= DATE(2022, 2, 1), "Grammys", "Grammys + TRA")</f>
        <v>Grammys + TRA</v>
      </c>
      <c r="I1539">
        <f>_xlfn.XLOOKUP(Grammys[[#This Row],[date]], mobile_visits[date], mobile_visits[mobile_visitors], 0)</f>
        <v>0</v>
      </c>
    </row>
    <row r="1540" spans="1:9" x14ac:dyDescent="0.2">
      <c r="A1540" s="1">
        <v>44274</v>
      </c>
      <c r="B1540">
        <v>226618</v>
      </c>
      <c r="C1540">
        <v>394333</v>
      </c>
      <c r="D1540">
        <v>240710</v>
      </c>
      <c r="E1540">
        <v>109933</v>
      </c>
      <c r="F1540">
        <v>125</v>
      </c>
      <c r="G1540" t="s">
        <v>20</v>
      </c>
      <c r="H1540" t="str">
        <f>IF(Grammys[[#This Row],[date]] &gt;= DATE(2022, 2, 1), "Grammys", "Grammys + TRA")</f>
        <v>Grammys + TRA</v>
      </c>
      <c r="I1540">
        <f>_xlfn.XLOOKUP(Grammys[[#This Row],[date]], mobile_visits[date], mobile_visits[mobile_visitors], 0)</f>
        <v>0</v>
      </c>
    </row>
    <row r="1541" spans="1:9" x14ac:dyDescent="0.2">
      <c r="A1541" s="1">
        <v>44275</v>
      </c>
      <c r="B1541">
        <v>152729</v>
      </c>
      <c r="C1541">
        <v>273866</v>
      </c>
      <c r="D1541">
        <v>166331</v>
      </c>
      <c r="E1541">
        <v>73070</v>
      </c>
      <c r="F1541">
        <v>128</v>
      </c>
      <c r="G1541" t="s">
        <v>20</v>
      </c>
      <c r="H1541" t="str">
        <f>IF(Grammys[[#This Row],[date]] &gt;= DATE(2022, 2, 1), "Grammys", "Grammys + TRA")</f>
        <v>Grammys + TRA</v>
      </c>
      <c r="I1541">
        <f>_xlfn.XLOOKUP(Grammys[[#This Row],[date]], mobile_visits[date], mobile_visits[mobile_visitors], 0)</f>
        <v>0</v>
      </c>
    </row>
    <row r="1542" spans="1:9" x14ac:dyDescent="0.2">
      <c r="A1542" s="1">
        <v>44276</v>
      </c>
      <c r="B1542">
        <v>104240</v>
      </c>
      <c r="C1542">
        <v>195150</v>
      </c>
      <c r="D1542">
        <v>113248</v>
      </c>
      <c r="E1542">
        <v>48788</v>
      </c>
      <c r="F1542">
        <v>128</v>
      </c>
      <c r="G1542" t="s">
        <v>20</v>
      </c>
      <c r="H1542" t="str">
        <f>IF(Grammys[[#This Row],[date]] &gt;= DATE(2022, 2, 1), "Grammys", "Grammys + TRA")</f>
        <v>Grammys + TRA</v>
      </c>
      <c r="I1542">
        <f>_xlfn.XLOOKUP(Grammys[[#This Row],[date]], mobile_visits[date], mobile_visits[mobile_visitors], 0)</f>
        <v>0</v>
      </c>
    </row>
    <row r="1543" spans="1:9" x14ac:dyDescent="0.2">
      <c r="A1543" s="1">
        <v>44277</v>
      </c>
      <c r="B1543">
        <v>80498</v>
      </c>
      <c r="C1543">
        <v>155519</v>
      </c>
      <c r="D1543">
        <v>86778</v>
      </c>
      <c r="E1543">
        <v>37445</v>
      </c>
      <c r="F1543">
        <v>121</v>
      </c>
      <c r="G1543" t="s">
        <v>20</v>
      </c>
      <c r="H1543" t="str">
        <f>IF(Grammys[[#This Row],[date]] &gt;= DATE(2022, 2, 1), "Grammys", "Grammys + TRA")</f>
        <v>Grammys + TRA</v>
      </c>
      <c r="I1543">
        <f>_xlfn.XLOOKUP(Grammys[[#This Row],[date]], mobile_visits[date], mobile_visits[mobile_visitors], 0)</f>
        <v>0</v>
      </c>
    </row>
    <row r="1544" spans="1:9" x14ac:dyDescent="0.2">
      <c r="A1544" s="1">
        <v>44278</v>
      </c>
      <c r="B1544">
        <v>64607</v>
      </c>
      <c r="C1544">
        <v>126309</v>
      </c>
      <c r="D1544">
        <v>70251</v>
      </c>
      <c r="E1544">
        <v>32211</v>
      </c>
      <c r="F1544">
        <v>113</v>
      </c>
      <c r="G1544" t="s">
        <v>20</v>
      </c>
      <c r="H1544" t="str">
        <f>IF(Grammys[[#This Row],[date]] &gt;= DATE(2022, 2, 1), "Grammys", "Grammys + TRA")</f>
        <v>Grammys + TRA</v>
      </c>
      <c r="I1544">
        <f>_xlfn.XLOOKUP(Grammys[[#This Row],[date]], mobile_visits[date], mobile_visits[mobile_visitors], 0)</f>
        <v>0</v>
      </c>
    </row>
    <row r="1545" spans="1:9" x14ac:dyDescent="0.2">
      <c r="A1545" s="1">
        <v>44279</v>
      </c>
      <c r="B1545">
        <v>58285</v>
      </c>
      <c r="C1545">
        <v>112012</v>
      </c>
      <c r="D1545">
        <v>62957</v>
      </c>
      <c r="E1545">
        <v>29131</v>
      </c>
      <c r="F1545">
        <v>103</v>
      </c>
      <c r="G1545" t="s">
        <v>20</v>
      </c>
      <c r="H1545" t="str">
        <f>IF(Grammys[[#This Row],[date]] &gt;= DATE(2022, 2, 1), "Grammys", "Grammys + TRA")</f>
        <v>Grammys + TRA</v>
      </c>
      <c r="I1545">
        <f>_xlfn.XLOOKUP(Grammys[[#This Row],[date]], mobile_visits[date], mobile_visits[mobile_visitors], 0)</f>
        <v>0</v>
      </c>
    </row>
    <row r="1546" spans="1:9" x14ac:dyDescent="0.2">
      <c r="A1546" s="1">
        <v>44280</v>
      </c>
      <c r="B1546">
        <v>62862</v>
      </c>
      <c r="C1546">
        <v>110626</v>
      </c>
      <c r="D1546">
        <v>67395</v>
      </c>
      <c r="E1546">
        <v>29951</v>
      </c>
      <c r="F1546">
        <v>111</v>
      </c>
      <c r="G1546" t="s">
        <v>20</v>
      </c>
      <c r="H1546" t="str">
        <f>IF(Grammys[[#This Row],[date]] &gt;= DATE(2022, 2, 1), "Grammys", "Grammys + TRA")</f>
        <v>Grammys + TRA</v>
      </c>
      <c r="I1546">
        <f>_xlfn.XLOOKUP(Grammys[[#This Row],[date]], mobile_visits[date], mobile_visits[mobile_visitors], 0)</f>
        <v>0</v>
      </c>
    </row>
    <row r="1547" spans="1:9" x14ac:dyDescent="0.2">
      <c r="A1547" s="1">
        <v>44281</v>
      </c>
      <c r="B1547">
        <v>64985</v>
      </c>
      <c r="C1547">
        <v>103938</v>
      </c>
      <c r="D1547">
        <v>69565</v>
      </c>
      <c r="E1547">
        <v>30922</v>
      </c>
      <c r="F1547">
        <v>105</v>
      </c>
      <c r="G1547" t="s">
        <v>20</v>
      </c>
      <c r="H1547" t="str">
        <f>IF(Grammys[[#This Row],[date]] &gt;= DATE(2022, 2, 1), "Grammys", "Grammys + TRA")</f>
        <v>Grammys + TRA</v>
      </c>
      <c r="I1547">
        <f>_xlfn.XLOOKUP(Grammys[[#This Row],[date]], mobile_visits[date], mobile_visits[mobile_visitors], 0)</f>
        <v>0</v>
      </c>
    </row>
    <row r="1548" spans="1:9" x14ac:dyDescent="0.2">
      <c r="A1548" s="1">
        <v>44282</v>
      </c>
      <c r="B1548">
        <v>47201</v>
      </c>
      <c r="C1548">
        <v>79078</v>
      </c>
      <c r="D1548">
        <v>50797</v>
      </c>
      <c r="E1548">
        <v>24429</v>
      </c>
      <c r="F1548">
        <v>101</v>
      </c>
      <c r="G1548" t="s">
        <v>20</v>
      </c>
      <c r="H1548" t="str">
        <f>IF(Grammys[[#This Row],[date]] &gt;= DATE(2022, 2, 1), "Grammys", "Grammys + TRA")</f>
        <v>Grammys + TRA</v>
      </c>
      <c r="I1548">
        <f>_xlfn.XLOOKUP(Grammys[[#This Row],[date]], mobile_visits[date], mobile_visits[mobile_visitors], 0)</f>
        <v>0</v>
      </c>
    </row>
    <row r="1549" spans="1:9" x14ac:dyDescent="0.2">
      <c r="A1549" s="1">
        <v>44283</v>
      </c>
      <c r="B1549">
        <v>42852</v>
      </c>
      <c r="C1549">
        <v>76808</v>
      </c>
      <c r="D1549">
        <v>46500</v>
      </c>
      <c r="E1549">
        <v>22093</v>
      </c>
      <c r="F1549">
        <v>101</v>
      </c>
      <c r="G1549" t="s">
        <v>20</v>
      </c>
      <c r="H1549" t="str">
        <f>IF(Grammys[[#This Row],[date]] &gt;= DATE(2022, 2, 1), "Grammys", "Grammys + TRA")</f>
        <v>Grammys + TRA</v>
      </c>
      <c r="I1549">
        <f>_xlfn.XLOOKUP(Grammys[[#This Row],[date]], mobile_visits[date], mobile_visits[mobile_visitors], 0)</f>
        <v>0</v>
      </c>
    </row>
    <row r="1550" spans="1:9" x14ac:dyDescent="0.2">
      <c r="A1550" s="1">
        <v>44284</v>
      </c>
      <c r="B1550">
        <v>40352</v>
      </c>
      <c r="C1550">
        <v>73935</v>
      </c>
      <c r="D1550">
        <v>43221</v>
      </c>
      <c r="E1550">
        <v>20193</v>
      </c>
      <c r="F1550">
        <v>106</v>
      </c>
      <c r="G1550" t="s">
        <v>20</v>
      </c>
      <c r="H1550" t="str">
        <f>IF(Grammys[[#This Row],[date]] &gt;= DATE(2022, 2, 1), "Grammys", "Grammys + TRA")</f>
        <v>Grammys + TRA</v>
      </c>
      <c r="I1550">
        <f>_xlfn.XLOOKUP(Grammys[[#This Row],[date]], mobile_visits[date], mobile_visits[mobile_visitors], 0)</f>
        <v>0</v>
      </c>
    </row>
    <row r="1551" spans="1:9" x14ac:dyDescent="0.2">
      <c r="A1551" s="1">
        <v>44285</v>
      </c>
      <c r="B1551">
        <v>40188</v>
      </c>
      <c r="C1551">
        <v>72635</v>
      </c>
      <c r="D1551">
        <v>43001</v>
      </c>
      <c r="E1551">
        <v>19630</v>
      </c>
      <c r="F1551">
        <v>107</v>
      </c>
      <c r="G1551" t="s">
        <v>20</v>
      </c>
      <c r="H1551" t="str">
        <f>IF(Grammys[[#This Row],[date]] &gt;= DATE(2022, 2, 1), "Grammys", "Grammys + TRA")</f>
        <v>Grammys + TRA</v>
      </c>
      <c r="I1551">
        <f>_xlfn.XLOOKUP(Grammys[[#This Row],[date]], mobile_visits[date], mobile_visits[mobile_visitors], 0)</f>
        <v>0</v>
      </c>
    </row>
    <row r="1552" spans="1:9" x14ac:dyDescent="0.2">
      <c r="A1552" s="1">
        <v>44286</v>
      </c>
      <c r="B1552">
        <v>45491</v>
      </c>
      <c r="C1552">
        <v>77430</v>
      </c>
      <c r="D1552">
        <v>48744</v>
      </c>
      <c r="E1552">
        <v>23383</v>
      </c>
      <c r="F1552">
        <v>96</v>
      </c>
      <c r="G1552" t="s">
        <v>20</v>
      </c>
      <c r="H1552" t="str">
        <f>IF(Grammys[[#This Row],[date]] &gt;= DATE(2022, 2, 1), "Grammys", "Grammys + TRA")</f>
        <v>Grammys + TRA</v>
      </c>
      <c r="I1552">
        <f>_xlfn.XLOOKUP(Grammys[[#This Row],[date]], mobile_visits[date], mobile_visits[mobile_visitors], 0)</f>
        <v>0</v>
      </c>
    </row>
    <row r="1553" spans="1:9" x14ac:dyDescent="0.2">
      <c r="A1553" s="1">
        <v>44287</v>
      </c>
      <c r="B1553">
        <v>45032</v>
      </c>
      <c r="C1553">
        <v>75574</v>
      </c>
      <c r="D1553">
        <v>48641</v>
      </c>
      <c r="E1553">
        <v>23475</v>
      </c>
      <c r="F1553">
        <v>103</v>
      </c>
      <c r="G1553" t="s">
        <v>20</v>
      </c>
      <c r="H1553" t="str">
        <f>IF(Grammys[[#This Row],[date]] &gt;= DATE(2022, 2, 1), "Grammys", "Grammys + TRA")</f>
        <v>Grammys + TRA</v>
      </c>
      <c r="I1553">
        <f>_xlfn.XLOOKUP(Grammys[[#This Row],[date]], mobile_visits[date], mobile_visits[mobile_visitors], 0)</f>
        <v>0</v>
      </c>
    </row>
    <row r="1554" spans="1:9" x14ac:dyDescent="0.2">
      <c r="A1554" s="1">
        <v>44288</v>
      </c>
      <c r="B1554">
        <v>39160</v>
      </c>
      <c r="C1554">
        <v>65835</v>
      </c>
      <c r="D1554">
        <v>42204</v>
      </c>
      <c r="E1554">
        <v>20377</v>
      </c>
      <c r="F1554">
        <v>96</v>
      </c>
      <c r="G1554" t="s">
        <v>20</v>
      </c>
      <c r="H1554" t="str">
        <f>IF(Grammys[[#This Row],[date]] &gt;= DATE(2022, 2, 1), "Grammys", "Grammys + TRA")</f>
        <v>Grammys + TRA</v>
      </c>
      <c r="I1554">
        <f>_xlfn.XLOOKUP(Grammys[[#This Row],[date]], mobile_visits[date], mobile_visits[mobile_visitors], 0)</f>
        <v>0</v>
      </c>
    </row>
    <row r="1555" spans="1:9" x14ac:dyDescent="0.2">
      <c r="A1555" s="1">
        <v>44289</v>
      </c>
      <c r="B1555">
        <v>36510</v>
      </c>
      <c r="C1555">
        <v>60600</v>
      </c>
      <c r="D1555">
        <v>38740</v>
      </c>
      <c r="E1555">
        <v>18487</v>
      </c>
      <c r="F1555">
        <v>94</v>
      </c>
      <c r="G1555" t="s">
        <v>20</v>
      </c>
      <c r="H1555" t="str">
        <f>IF(Grammys[[#This Row],[date]] &gt;= DATE(2022, 2, 1), "Grammys", "Grammys + TRA")</f>
        <v>Grammys + TRA</v>
      </c>
      <c r="I1555">
        <f>_xlfn.XLOOKUP(Grammys[[#This Row],[date]], mobile_visits[date], mobile_visits[mobile_visitors], 0)</f>
        <v>0</v>
      </c>
    </row>
    <row r="1556" spans="1:9" x14ac:dyDescent="0.2">
      <c r="A1556" s="1">
        <v>44290</v>
      </c>
      <c r="B1556">
        <v>32923</v>
      </c>
      <c r="C1556">
        <v>55530</v>
      </c>
      <c r="D1556">
        <v>35243</v>
      </c>
      <c r="E1556">
        <v>17270</v>
      </c>
      <c r="F1556">
        <v>91</v>
      </c>
      <c r="G1556" t="s">
        <v>20</v>
      </c>
      <c r="H1556" t="str">
        <f>IF(Grammys[[#This Row],[date]] &gt;= DATE(2022, 2, 1), "Grammys", "Grammys + TRA")</f>
        <v>Grammys + TRA</v>
      </c>
      <c r="I1556">
        <f>_xlfn.XLOOKUP(Grammys[[#This Row],[date]], mobile_visits[date], mobile_visits[mobile_visitors], 0)</f>
        <v>0</v>
      </c>
    </row>
    <row r="1557" spans="1:9" x14ac:dyDescent="0.2">
      <c r="A1557" s="1">
        <v>44291</v>
      </c>
      <c r="B1557">
        <v>29312</v>
      </c>
      <c r="C1557">
        <v>53494</v>
      </c>
      <c r="D1557">
        <v>31728</v>
      </c>
      <c r="E1557">
        <v>15411</v>
      </c>
      <c r="F1557">
        <v>97</v>
      </c>
      <c r="G1557" t="s">
        <v>20</v>
      </c>
      <c r="H1557" t="str">
        <f>IF(Grammys[[#This Row],[date]] &gt;= DATE(2022, 2, 1), "Grammys", "Grammys + TRA")</f>
        <v>Grammys + TRA</v>
      </c>
      <c r="I1557">
        <f>_xlfn.XLOOKUP(Grammys[[#This Row],[date]], mobile_visits[date], mobile_visits[mobile_visitors], 0)</f>
        <v>0</v>
      </c>
    </row>
    <row r="1558" spans="1:9" x14ac:dyDescent="0.2">
      <c r="A1558" s="1">
        <v>44292</v>
      </c>
      <c r="B1558">
        <v>29227</v>
      </c>
      <c r="C1558">
        <v>53140</v>
      </c>
      <c r="D1558">
        <v>31497</v>
      </c>
      <c r="E1558">
        <v>14949</v>
      </c>
      <c r="F1558">
        <v>104</v>
      </c>
      <c r="G1558" t="s">
        <v>20</v>
      </c>
      <c r="H1558" t="str">
        <f>IF(Grammys[[#This Row],[date]] &gt;= DATE(2022, 2, 1), "Grammys", "Grammys + TRA")</f>
        <v>Grammys + TRA</v>
      </c>
      <c r="I1558">
        <f>_xlfn.XLOOKUP(Grammys[[#This Row],[date]], mobile_visits[date], mobile_visits[mobile_visitors], 0)</f>
        <v>0</v>
      </c>
    </row>
    <row r="1559" spans="1:9" x14ac:dyDescent="0.2">
      <c r="A1559" s="1">
        <v>44293</v>
      </c>
      <c r="B1559">
        <v>27971</v>
      </c>
      <c r="C1559">
        <v>50761</v>
      </c>
      <c r="D1559">
        <v>30287</v>
      </c>
      <c r="E1559">
        <v>14771</v>
      </c>
      <c r="F1559">
        <v>95</v>
      </c>
      <c r="G1559" t="s">
        <v>20</v>
      </c>
      <c r="H1559" t="str">
        <f>IF(Grammys[[#This Row],[date]] &gt;= DATE(2022, 2, 1), "Grammys", "Grammys + TRA")</f>
        <v>Grammys + TRA</v>
      </c>
      <c r="I1559">
        <f>_xlfn.XLOOKUP(Grammys[[#This Row],[date]], mobile_visits[date], mobile_visits[mobile_visitors], 0)</f>
        <v>0</v>
      </c>
    </row>
    <row r="1560" spans="1:9" x14ac:dyDescent="0.2">
      <c r="A1560" s="1">
        <v>44294</v>
      </c>
      <c r="B1560">
        <v>29506</v>
      </c>
      <c r="C1560">
        <v>52622</v>
      </c>
      <c r="D1560">
        <v>31627</v>
      </c>
      <c r="E1560">
        <v>14941</v>
      </c>
      <c r="F1560">
        <v>88</v>
      </c>
      <c r="G1560" t="s">
        <v>20</v>
      </c>
      <c r="H1560" t="str">
        <f>IF(Grammys[[#This Row],[date]] &gt;= DATE(2022, 2, 1), "Grammys", "Grammys + TRA")</f>
        <v>Grammys + TRA</v>
      </c>
      <c r="I1560">
        <f>_xlfn.XLOOKUP(Grammys[[#This Row],[date]], mobile_visits[date], mobile_visits[mobile_visitors], 0)</f>
        <v>0</v>
      </c>
    </row>
    <row r="1561" spans="1:9" x14ac:dyDescent="0.2">
      <c r="A1561" s="1">
        <v>44295</v>
      </c>
      <c r="B1561">
        <v>29088</v>
      </c>
      <c r="C1561">
        <v>50349</v>
      </c>
      <c r="D1561">
        <v>30865</v>
      </c>
      <c r="E1561">
        <v>14822</v>
      </c>
      <c r="F1561">
        <v>83</v>
      </c>
      <c r="G1561" t="s">
        <v>20</v>
      </c>
      <c r="H1561" t="str">
        <f>IF(Grammys[[#This Row],[date]] &gt;= DATE(2022, 2, 1), "Grammys", "Grammys + TRA")</f>
        <v>Grammys + TRA</v>
      </c>
      <c r="I1561">
        <f>_xlfn.XLOOKUP(Grammys[[#This Row],[date]], mobile_visits[date], mobile_visits[mobile_visitors], 0)</f>
        <v>0</v>
      </c>
    </row>
    <row r="1562" spans="1:9" x14ac:dyDescent="0.2">
      <c r="A1562" s="1">
        <v>44296</v>
      </c>
      <c r="B1562">
        <v>23738</v>
      </c>
      <c r="C1562">
        <v>41628</v>
      </c>
      <c r="D1562">
        <v>25574</v>
      </c>
      <c r="E1562">
        <v>12629</v>
      </c>
      <c r="F1562">
        <v>85</v>
      </c>
      <c r="G1562" t="s">
        <v>20</v>
      </c>
      <c r="H1562" t="str">
        <f>IF(Grammys[[#This Row],[date]] &gt;= DATE(2022, 2, 1), "Grammys", "Grammys + TRA")</f>
        <v>Grammys + TRA</v>
      </c>
      <c r="I1562">
        <f>_xlfn.XLOOKUP(Grammys[[#This Row],[date]], mobile_visits[date], mobile_visits[mobile_visitors], 0)</f>
        <v>0</v>
      </c>
    </row>
    <row r="1563" spans="1:9" x14ac:dyDescent="0.2">
      <c r="A1563" s="1">
        <v>44297</v>
      </c>
      <c r="B1563">
        <v>22651</v>
      </c>
      <c r="C1563">
        <v>40486</v>
      </c>
      <c r="D1563">
        <v>24187</v>
      </c>
      <c r="E1563">
        <v>12092</v>
      </c>
      <c r="F1563">
        <v>89</v>
      </c>
      <c r="G1563" t="s">
        <v>20</v>
      </c>
      <c r="H1563" t="str">
        <f>IF(Grammys[[#This Row],[date]] &gt;= DATE(2022, 2, 1), "Grammys", "Grammys + TRA")</f>
        <v>Grammys + TRA</v>
      </c>
      <c r="I1563">
        <f>_xlfn.XLOOKUP(Grammys[[#This Row],[date]], mobile_visits[date], mobile_visits[mobile_visitors], 0)</f>
        <v>0</v>
      </c>
    </row>
    <row r="1564" spans="1:9" x14ac:dyDescent="0.2">
      <c r="A1564" s="1">
        <v>44298</v>
      </c>
      <c r="B1564">
        <v>25217</v>
      </c>
      <c r="C1564">
        <v>45187</v>
      </c>
      <c r="D1564">
        <v>26958</v>
      </c>
      <c r="E1564">
        <v>13684</v>
      </c>
      <c r="F1564">
        <v>86</v>
      </c>
      <c r="G1564" t="s">
        <v>20</v>
      </c>
      <c r="H1564" t="str">
        <f>IF(Grammys[[#This Row],[date]] &gt;= DATE(2022, 2, 1), "Grammys", "Grammys + TRA")</f>
        <v>Grammys + TRA</v>
      </c>
      <c r="I1564">
        <f>_xlfn.XLOOKUP(Grammys[[#This Row],[date]], mobile_visits[date], mobile_visits[mobile_visitors], 0)</f>
        <v>0</v>
      </c>
    </row>
    <row r="1565" spans="1:9" x14ac:dyDescent="0.2">
      <c r="A1565" s="1">
        <v>44299</v>
      </c>
      <c r="B1565">
        <v>24729</v>
      </c>
      <c r="C1565">
        <v>44086</v>
      </c>
      <c r="D1565">
        <v>26468</v>
      </c>
      <c r="E1565">
        <v>13849</v>
      </c>
      <c r="F1565">
        <v>87</v>
      </c>
      <c r="G1565" t="s">
        <v>20</v>
      </c>
      <c r="H1565" t="str">
        <f>IF(Grammys[[#This Row],[date]] &gt;= DATE(2022, 2, 1), "Grammys", "Grammys + TRA")</f>
        <v>Grammys + TRA</v>
      </c>
      <c r="I1565">
        <f>_xlfn.XLOOKUP(Grammys[[#This Row],[date]], mobile_visits[date], mobile_visits[mobile_visitors], 0)</f>
        <v>0</v>
      </c>
    </row>
    <row r="1566" spans="1:9" x14ac:dyDescent="0.2">
      <c r="A1566" s="1">
        <v>44300</v>
      </c>
      <c r="B1566">
        <v>22644</v>
      </c>
      <c r="C1566">
        <v>41598</v>
      </c>
      <c r="D1566">
        <v>24550</v>
      </c>
      <c r="E1566">
        <v>12671</v>
      </c>
      <c r="F1566">
        <v>95</v>
      </c>
      <c r="G1566" t="s">
        <v>20</v>
      </c>
      <c r="H1566" t="str">
        <f>IF(Grammys[[#This Row],[date]] &gt;= DATE(2022, 2, 1), "Grammys", "Grammys + TRA")</f>
        <v>Grammys + TRA</v>
      </c>
      <c r="I1566">
        <f>_xlfn.XLOOKUP(Grammys[[#This Row],[date]], mobile_visits[date], mobile_visits[mobile_visitors], 0)</f>
        <v>0</v>
      </c>
    </row>
    <row r="1567" spans="1:9" x14ac:dyDescent="0.2">
      <c r="A1567" s="1">
        <v>44301</v>
      </c>
      <c r="B1567">
        <v>24493</v>
      </c>
      <c r="C1567">
        <v>43446</v>
      </c>
      <c r="D1567">
        <v>26273</v>
      </c>
      <c r="E1567">
        <v>13313</v>
      </c>
      <c r="F1567">
        <v>94</v>
      </c>
      <c r="G1567" t="s">
        <v>20</v>
      </c>
      <c r="H1567" t="str">
        <f>IF(Grammys[[#This Row],[date]] &gt;= DATE(2022, 2, 1), "Grammys", "Grammys + TRA")</f>
        <v>Grammys + TRA</v>
      </c>
      <c r="I1567">
        <f>_xlfn.XLOOKUP(Grammys[[#This Row],[date]], mobile_visits[date], mobile_visits[mobile_visitors], 0)</f>
        <v>0</v>
      </c>
    </row>
    <row r="1568" spans="1:9" x14ac:dyDescent="0.2">
      <c r="A1568" s="1">
        <v>44302</v>
      </c>
      <c r="B1568">
        <v>23283</v>
      </c>
      <c r="C1568">
        <v>41595</v>
      </c>
      <c r="D1568">
        <v>24807</v>
      </c>
      <c r="E1568">
        <v>12379</v>
      </c>
      <c r="F1568">
        <v>92</v>
      </c>
      <c r="G1568" t="s">
        <v>20</v>
      </c>
      <c r="H1568" t="str">
        <f>IF(Grammys[[#This Row],[date]] &gt;= DATE(2022, 2, 1), "Grammys", "Grammys + TRA")</f>
        <v>Grammys + TRA</v>
      </c>
      <c r="I1568">
        <f>_xlfn.XLOOKUP(Grammys[[#This Row],[date]], mobile_visits[date], mobile_visits[mobile_visitors], 0)</f>
        <v>0</v>
      </c>
    </row>
    <row r="1569" spans="1:9" x14ac:dyDescent="0.2">
      <c r="A1569" s="1">
        <v>44303</v>
      </c>
      <c r="B1569">
        <v>22982</v>
      </c>
      <c r="C1569">
        <v>38317</v>
      </c>
      <c r="D1569">
        <v>24274</v>
      </c>
      <c r="E1569">
        <v>11198</v>
      </c>
      <c r="F1569">
        <v>78</v>
      </c>
      <c r="G1569" t="s">
        <v>20</v>
      </c>
      <c r="H1569" t="str">
        <f>IF(Grammys[[#This Row],[date]] &gt;= DATE(2022, 2, 1), "Grammys", "Grammys + TRA")</f>
        <v>Grammys + TRA</v>
      </c>
      <c r="I1569">
        <f>_xlfn.XLOOKUP(Grammys[[#This Row],[date]], mobile_visits[date], mobile_visits[mobile_visitors], 0)</f>
        <v>0</v>
      </c>
    </row>
    <row r="1570" spans="1:9" x14ac:dyDescent="0.2">
      <c r="A1570" s="1">
        <v>44304</v>
      </c>
      <c r="B1570">
        <v>20971</v>
      </c>
      <c r="C1570">
        <v>36750</v>
      </c>
      <c r="D1570">
        <v>22295</v>
      </c>
      <c r="E1570">
        <v>11181</v>
      </c>
      <c r="F1570">
        <v>85</v>
      </c>
      <c r="G1570" t="s">
        <v>20</v>
      </c>
      <c r="H1570" t="str">
        <f>IF(Grammys[[#This Row],[date]] &gt;= DATE(2022, 2, 1), "Grammys", "Grammys + TRA")</f>
        <v>Grammys + TRA</v>
      </c>
      <c r="I1570">
        <f>_xlfn.XLOOKUP(Grammys[[#This Row],[date]], mobile_visits[date], mobile_visits[mobile_visitors], 0)</f>
        <v>0</v>
      </c>
    </row>
    <row r="1571" spans="1:9" x14ac:dyDescent="0.2">
      <c r="A1571" s="1">
        <v>44305</v>
      </c>
      <c r="B1571">
        <v>25846</v>
      </c>
      <c r="C1571">
        <v>44808</v>
      </c>
      <c r="D1571">
        <v>27556</v>
      </c>
      <c r="E1571">
        <v>15699</v>
      </c>
      <c r="F1571">
        <v>77</v>
      </c>
      <c r="G1571" t="s">
        <v>20</v>
      </c>
      <c r="H1571" t="str">
        <f>IF(Grammys[[#This Row],[date]] &gt;= DATE(2022, 2, 1), "Grammys", "Grammys + TRA")</f>
        <v>Grammys + TRA</v>
      </c>
      <c r="I1571">
        <f>_xlfn.XLOOKUP(Grammys[[#This Row],[date]], mobile_visits[date], mobile_visits[mobile_visitors], 0)</f>
        <v>0</v>
      </c>
    </row>
    <row r="1572" spans="1:9" x14ac:dyDescent="0.2">
      <c r="A1572" s="1">
        <v>44306</v>
      </c>
      <c r="B1572">
        <v>26076</v>
      </c>
      <c r="C1572">
        <v>44591</v>
      </c>
      <c r="D1572">
        <v>27668</v>
      </c>
      <c r="E1572">
        <v>15802</v>
      </c>
      <c r="F1572">
        <v>77</v>
      </c>
      <c r="G1572" t="s">
        <v>20</v>
      </c>
      <c r="H1572" t="str">
        <f>IF(Grammys[[#This Row],[date]] &gt;= DATE(2022, 2, 1), "Grammys", "Grammys + TRA")</f>
        <v>Grammys + TRA</v>
      </c>
      <c r="I1572">
        <f>_xlfn.XLOOKUP(Grammys[[#This Row],[date]], mobile_visits[date], mobile_visits[mobile_visitors], 0)</f>
        <v>0</v>
      </c>
    </row>
    <row r="1573" spans="1:9" x14ac:dyDescent="0.2">
      <c r="A1573" s="1">
        <v>44307</v>
      </c>
      <c r="B1573">
        <v>22104</v>
      </c>
      <c r="C1573">
        <v>40237</v>
      </c>
      <c r="D1573">
        <v>23719</v>
      </c>
      <c r="E1573">
        <v>11661</v>
      </c>
      <c r="F1573">
        <v>88</v>
      </c>
      <c r="G1573" t="s">
        <v>20</v>
      </c>
      <c r="H1573" t="str">
        <f>IF(Grammys[[#This Row],[date]] &gt;= DATE(2022, 2, 1), "Grammys", "Grammys + TRA")</f>
        <v>Grammys + TRA</v>
      </c>
      <c r="I1573">
        <f>_xlfn.XLOOKUP(Grammys[[#This Row],[date]], mobile_visits[date], mobile_visits[mobile_visitors], 0)</f>
        <v>0</v>
      </c>
    </row>
    <row r="1574" spans="1:9" x14ac:dyDescent="0.2">
      <c r="A1574" s="1">
        <v>44308</v>
      </c>
      <c r="B1574">
        <v>21250</v>
      </c>
      <c r="C1574">
        <v>39483</v>
      </c>
      <c r="D1574">
        <v>23004</v>
      </c>
      <c r="E1574">
        <v>11169</v>
      </c>
      <c r="F1574">
        <v>96</v>
      </c>
      <c r="G1574" t="s">
        <v>20</v>
      </c>
      <c r="H1574" t="str">
        <f>IF(Grammys[[#This Row],[date]] &gt;= DATE(2022, 2, 1), "Grammys", "Grammys + TRA")</f>
        <v>Grammys + TRA</v>
      </c>
      <c r="I1574">
        <f>_xlfn.XLOOKUP(Grammys[[#This Row],[date]], mobile_visits[date], mobile_visits[mobile_visitors], 0)</f>
        <v>0</v>
      </c>
    </row>
    <row r="1575" spans="1:9" x14ac:dyDescent="0.2">
      <c r="A1575" s="1">
        <v>44309</v>
      </c>
      <c r="B1575">
        <v>27086</v>
      </c>
      <c r="C1575">
        <v>48969</v>
      </c>
      <c r="D1575">
        <v>29119</v>
      </c>
      <c r="E1575">
        <v>15579</v>
      </c>
      <c r="F1575">
        <v>85</v>
      </c>
      <c r="G1575" t="s">
        <v>20</v>
      </c>
      <c r="H1575" t="str">
        <f>IF(Grammys[[#This Row],[date]] &gt;= DATE(2022, 2, 1), "Grammys", "Grammys + TRA")</f>
        <v>Grammys + TRA</v>
      </c>
      <c r="I1575">
        <f>_xlfn.XLOOKUP(Grammys[[#This Row],[date]], mobile_visits[date], mobile_visits[mobile_visitors], 0)</f>
        <v>0</v>
      </c>
    </row>
    <row r="1576" spans="1:9" x14ac:dyDescent="0.2">
      <c r="A1576" s="1">
        <v>44310</v>
      </c>
      <c r="B1576">
        <v>29414</v>
      </c>
      <c r="C1576">
        <v>50866</v>
      </c>
      <c r="D1576">
        <v>31838</v>
      </c>
      <c r="E1576">
        <v>16333</v>
      </c>
      <c r="F1576">
        <v>91</v>
      </c>
      <c r="G1576" t="s">
        <v>20</v>
      </c>
      <c r="H1576" t="str">
        <f>IF(Grammys[[#This Row],[date]] &gt;= DATE(2022, 2, 1), "Grammys", "Grammys + TRA")</f>
        <v>Grammys + TRA</v>
      </c>
      <c r="I1576">
        <f>_xlfn.XLOOKUP(Grammys[[#This Row],[date]], mobile_visits[date], mobile_visits[mobile_visitors], 0)</f>
        <v>0</v>
      </c>
    </row>
    <row r="1577" spans="1:9" x14ac:dyDescent="0.2">
      <c r="A1577" s="1">
        <v>44311</v>
      </c>
      <c r="B1577">
        <v>33957</v>
      </c>
      <c r="C1577">
        <v>59096</v>
      </c>
      <c r="D1577">
        <v>36257</v>
      </c>
      <c r="E1577">
        <v>18745</v>
      </c>
      <c r="F1577">
        <v>80</v>
      </c>
      <c r="G1577" t="s">
        <v>20</v>
      </c>
      <c r="H1577" t="str">
        <f>IF(Grammys[[#This Row],[date]] &gt;= DATE(2022, 2, 1), "Grammys", "Grammys + TRA")</f>
        <v>Grammys + TRA</v>
      </c>
      <c r="I1577">
        <f>_xlfn.XLOOKUP(Grammys[[#This Row],[date]], mobile_visits[date], mobile_visits[mobile_visitors], 0)</f>
        <v>0</v>
      </c>
    </row>
    <row r="1578" spans="1:9" x14ac:dyDescent="0.2">
      <c r="A1578" s="1">
        <v>44312</v>
      </c>
      <c r="B1578">
        <v>36892</v>
      </c>
      <c r="C1578">
        <v>66310</v>
      </c>
      <c r="D1578">
        <v>38977</v>
      </c>
      <c r="E1578">
        <v>18807</v>
      </c>
      <c r="F1578">
        <v>83</v>
      </c>
      <c r="G1578" t="s">
        <v>20</v>
      </c>
      <c r="H1578" t="str">
        <f>IF(Grammys[[#This Row],[date]] &gt;= DATE(2022, 2, 1), "Grammys", "Grammys + TRA")</f>
        <v>Grammys + TRA</v>
      </c>
      <c r="I1578">
        <f>_xlfn.XLOOKUP(Grammys[[#This Row],[date]], mobile_visits[date], mobile_visits[mobile_visitors], 0)</f>
        <v>0</v>
      </c>
    </row>
    <row r="1579" spans="1:9" x14ac:dyDescent="0.2">
      <c r="A1579" s="1">
        <v>44313</v>
      </c>
      <c r="B1579">
        <v>25989</v>
      </c>
      <c r="C1579">
        <v>47810</v>
      </c>
      <c r="D1579">
        <v>27922</v>
      </c>
      <c r="E1579">
        <v>13869</v>
      </c>
      <c r="F1579">
        <v>90</v>
      </c>
      <c r="G1579" t="s">
        <v>20</v>
      </c>
      <c r="H1579" t="str">
        <f>IF(Grammys[[#This Row],[date]] &gt;= DATE(2022, 2, 1), "Grammys", "Grammys + TRA")</f>
        <v>Grammys + TRA</v>
      </c>
      <c r="I1579">
        <f>_xlfn.XLOOKUP(Grammys[[#This Row],[date]], mobile_visits[date], mobile_visits[mobile_visitors], 0)</f>
        <v>0</v>
      </c>
    </row>
    <row r="1580" spans="1:9" x14ac:dyDescent="0.2">
      <c r="A1580" s="1">
        <v>44314</v>
      </c>
      <c r="B1580">
        <v>25358</v>
      </c>
      <c r="C1580">
        <v>46269</v>
      </c>
      <c r="D1580">
        <v>27380</v>
      </c>
      <c r="E1580">
        <v>13474</v>
      </c>
      <c r="F1580">
        <v>95</v>
      </c>
      <c r="G1580" t="s">
        <v>20</v>
      </c>
      <c r="H1580" t="str">
        <f>IF(Grammys[[#This Row],[date]] &gt;= DATE(2022, 2, 1), "Grammys", "Grammys + TRA")</f>
        <v>Grammys + TRA</v>
      </c>
      <c r="I1580">
        <f>_xlfn.XLOOKUP(Grammys[[#This Row],[date]], mobile_visits[date], mobile_visits[mobile_visitors], 0)</f>
        <v>0</v>
      </c>
    </row>
    <row r="1581" spans="1:9" x14ac:dyDescent="0.2">
      <c r="A1581" s="1">
        <v>44315</v>
      </c>
      <c r="B1581">
        <v>21759</v>
      </c>
      <c r="C1581">
        <v>40180</v>
      </c>
      <c r="D1581">
        <v>23695</v>
      </c>
      <c r="E1581">
        <v>11639</v>
      </c>
      <c r="F1581">
        <v>93</v>
      </c>
      <c r="G1581" t="s">
        <v>20</v>
      </c>
      <c r="H1581" t="str">
        <f>IF(Grammys[[#This Row],[date]] &gt;= DATE(2022, 2, 1), "Grammys", "Grammys + TRA")</f>
        <v>Grammys + TRA</v>
      </c>
      <c r="I1581">
        <f>_xlfn.XLOOKUP(Grammys[[#This Row],[date]], mobile_visits[date], mobile_visits[mobile_visitors], 0)</f>
        <v>0</v>
      </c>
    </row>
    <row r="1582" spans="1:9" x14ac:dyDescent="0.2">
      <c r="A1582" s="1">
        <v>44316</v>
      </c>
      <c r="B1582">
        <v>25030</v>
      </c>
      <c r="C1582">
        <v>44062</v>
      </c>
      <c r="D1582">
        <v>26698</v>
      </c>
      <c r="E1582">
        <v>13010</v>
      </c>
      <c r="F1582">
        <v>93</v>
      </c>
      <c r="G1582" t="s">
        <v>20</v>
      </c>
      <c r="H1582" t="str">
        <f>IF(Grammys[[#This Row],[date]] &gt;= DATE(2022, 2, 1), "Grammys", "Grammys + TRA")</f>
        <v>Grammys + TRA</v>
      </c>
      <c r="I1582">
        <f>_xlfn.XLOOKUP(Grammys[[#This Row],[date]], mobile_visits[date], mobile_visits[mobile_visitors], 0)</f>
        <v>0</v>
      </c>
    </row>
    <row r="1583" spans="1:9" x14ac:dyDescent="0.2">
      <c r="A1583" s="1">
        <v>44317</v>
      </c>
      <c r="B1583">
        <v>22972</v>
      </c>
      <c r="C1583">
        <v>39628</v>
      </c>
      <c r="D1583">
        <v>24539</v>
      </c>
      <c r="E1583">
        <v>11519</v>
      </c>
      <c r="F1583">
        <v>87</v>
      </c>
      <c r="G1583" t="s">
        <v>20</v>
      </c>
      <c r="H1583" t="str">
        <f>IF(Grammys[[#This Row],[date]] &gt;= DATE(2022, 2, 1), "Grammys", "Grammys + TRA")</f>
        <v>Grammys + TRA</v>
      </c>
      <c r="I1583">
        <f>_xlfn.XLOOKUP(Grammys[[#This Row],[date]], mobile_visits[date], mobile_visits[mobile_visitors], 0)</f>
        <v>0</v>
      </c>
    </row>
    <row r="1584" spans="1:9" x14ac:dyDescent="0.2">
      <c r="A1584" s="1">
        <v>44318</v>
      </c>
      <c r="B1584">
        <v>21619</v>
      </c>
      <c r="C1584">
        <v>37451</v>
      </c>
      <c r="D1584">
        <v>22833</v>
      </c>
      <c r="E1584">
        <v>10801</v>
      </c>
      <c r="F1584">
        <v>89</v>
      </c>
      <c r="G1584" t="s">
        <v>20</v>
      </c>
      <c r="H1584" t="str">
        <f>IF(Grammys[[#This Row],[date]] &gt;= DATE(2022, 2, 1), "Grammys", "Grammys + TRA")</f>
        <v>Grammys + TRA</v>
      </c>
      <c r="I1584">
        <f>_xlfn.XLOOKUP(Grammys[[#This Row],[date]], mobile_visits[date], mobile_visits[mobile_visitors], 0)</f>
        <v>0</v>
      </c>
    </row>
    <row r="1585" spans="1:9" x14ac:dyDescent="0.2">
      <c r="A1585" s="1">
        <v>44319</v>
      </c>
      <c r="B1585">
        <v>22124</v>
      </c>
      <c r="C1585">
        <v>40817</v>
      </c>
      <c r="D1585">
        <v>23727</v>
      </c>
      <c r="E1585">
        <v>11537</v>
      </c>
      <c r="F1585">
        <v>92</v>
      </c>
      <c r="G1585" t="s">
        <v>20</v>
      </c>
      <c r="H1585" t="str">
        <f>IF(Grammys[[#This Row],[date]] &gt;= DATE(2022, 2, 1), "Grammys", "Grammys + TRA")</f>
        <v>Grammys + TRA</v>
      </c>
      <c r="I1585">
        <f>_xlfn.XLOOKUP(Grammys[[#This Row],[date]], mobile_visits[date], mobile_visits[mobile_visitors], 0)</f>
        <v>0</v>
      </c>
    </row>
    <row r="1586" spans="1:9" x14ac:dyDescent="0.2">
      <c r="A1586" s="1">
        <v>44320</v>
      </c>
      <c r="B1586">
        <v>21448</v>
      </c>
      <c r="C1586">
        <v>39030</v>
      </c>
      <c r="D1586">
        <v>23172</v>
      </c>
      <c r="E1586">
        <v>11452</v>
      </c>
      <c r="F1586">
        <v>86</v>
      </c>
      <c r="G1586" t="s">
        <v>20</v>
      </c>
      <c r="H1586" t="str">
        <f>IF(Grammys[[#This Row],[date]] &gt;= DATE(2022, 2, 1), "Grammys", "Grammys + TRA")</f>
        <v>Grammys + TRA</v>
      </c>
      <c r="I1586">
        <f>_xlfn.XLOOKUP(Grammys[[#This Row],[date]], mobile_visits[date], mobile_visits[mobile_visitors], 0)</f>
        <v>0</v>
      </c>
    </row>
    <row r="1587" spans="1:9" x14ac:dyDescent="0.2">
      <c r="A1587" s="1">
        <v>44321</v>
      </c>
      <c r="B1587">
        <v>20466</v>
      </c>
      <c r="C1587">
        <v>36675</v>
      </c>
      <c r="D1587">
        <v>22102</v>
      </c>
      <c r="E1587">
        <v>10556</v>
      </c>
      <c r="F1587">
        <v>85</v>
      </c>
      <c r="G1587" t="s">
        <v>20</v>
      </c>
      <c r="H1587" t="str">
        <f>IF(Grammys[[#This Row],[date]] &gt;= DATE(2022, 2, 1), "Grammys", "Grammys + TRA")</f>
        <v>Grammys + TRA</v>
      </c>
      <c r="I1587">
        <f>_xlfn.XLOOKUP(Grammys[[#This Row],[date]], mobile_visits[date], mobile_visits[mobile_visitors], 0)</f>
        <v>0</v>
      </c>
    </row>
    <row r="1588" spans="1:9" x14ac:dyDescent="0.2">
      <c r="A1588" s="1">
        <v>44322</v>
      </c>
      <c r="B1588">
        <v>20035</v>
      </c>
      <c r="C1588">
        <v>35707</v>
      </c>
      <c r="D1588">
        <v>21535</v>
      </c>
      <c r="E1588">
        <v>10066</v>
      </c>
      <c r="F1588">
        <v>89</v>
      </c>
      <c r="G1588" t="s">
        <v>20</v>
      </c>
      <c r="H1588" t="str">
        <f>IF(Grammys[[#This Row],[date]] &gt;= DATE(2022, 2, 1), "Grammys", "Grammys + TRA")</f>
        <v>Grammys + TRA</v>
      </c>
      <c r="I1588">
        <f>_xlfn.XLOOKUP(Grammys[[#This Row],[date]], mobile_visits[date], mobile_visits[mobile_visitors], 0)</f>
        <v>0</v>
      </c>
    </row>
    <row r="1589" spans="1:9" x14ac:dyDescent="0.2">
      <c r="A1589" s="1">
        <v>44323</v>
      </c>
      <c r="B1589">
        <v>19315</v>
      </c>
      <c r="C1589">
        <v>34128</v>
      </c>
      <c r="D1589">
        <v>20661</v>
      </c>
      <c r="E1589">
        <v>9790</v>
      </c>
      <c r="F1589">
        <v>85</v>
      </c>
      <c r="G1589" t="s">
        <v>20</v>
      </c>
      <c r="H1589" t="str">
        <f>IF(Grammys[[#This Row],[date]] &gt;= DATE(2022, 2, 1), "Grammys", "Grammys + TRA")</f>
        <v>Grammys + TRA</v>
      </c>
      <c r="I1589">
        <f>_xlfn.XLOOKUP(Grammys[[#This Row],[date]], mobile_visits[date], mobile_visits[mobile_visitors], 0)</f>
        <v>0</v>
      </c>
    </row>
    <row r="1590" spans="1:9" x14ac:dyDescent="0.2">
      <c r="A1590" s="1">
        <v>44324</v>
      </c>
      <c r="B1590">
        <v>18516</v>
      </c>
      <c r="C1590">
        <v>31694</v>
      </c>
      <c r="D1590">
        <v>19520</v>
      </c>
      <c r="E1590">
        <v>9138</v>
      </c>
      <c r="F1590">
        <v>84</v>
      </c>
      <c r="G1590" t="s">
        <v>20</v>
      </c>
      <c r="H1590" t="str">
        <f>IF(Grammys[[#This Row],[date]] &gt;= DATE(2022, 2, 1), "Grammys", "Grammys + TRA")</f>
        <v>Grammys + TRA</v>
      </c>
      <c r="I1590">
        <f>_xlfn.XLOOKUP(Grammys[[#This Row],[date]], mobile_visits[date], mobile_visits[mobile_visitors], 0)</f>
        <v>0</v>
      </c>
    </row>
    <row r="1591" spans="1:9" x14ac:dyDescent="0.2">
      <c r="A1591" s="1">
        <v>44325</v>
      </c>
      <c r="B1591">
        <v>20668</v>
      </c>
      <c r="C1591">
        <v>35942</v>
      </c>
      <c r="D1591">
        <v>22195</v>
      </c>
      <c r="E1591">
        <v>10308</v>
      </c>
      <c r="F1591">
        <v>86</v>
      </c>
      <c r="G1591" t="s">
        <v>20</v>
      </c>
      <c r="H1591" t="str">
        <f>IF(Grammys[[#This Row],[date]] &gt;= DATE(2022, 2, 1), "Grammys", "Grammys + TRA")</f>
        <v>Grammys + TRA</v>
      </c>
      <c r="I1591">
        <f>_xlfn.XLOOKUP(Grammys[[#This Row],[date]], mobile_visits[date], mobile_visits[mobile_visitors], 0)</f>
        <v>0</v>
      </c>
    </row>
    <row r="1592" spans="1:9" x14ac:dyDescent="0.2">
      <c r="A1592" s="1">
        <v>44326</v>
      </c>
      <c r="B1592">
        <v>22768</v>
      </c>
      <c r="C1592">
        <v>40232</v>
      </c>
      <c r="D1592">
        <v>24365</v>
      </c>
      <c r="E1592">
        <v>10909</v>
      </c>
      <c r="F1592">
        <v>91</v>
      </c>
      <c r="G1592" t="s">
        <v>20</v>
      </c>
      <c r="H1592" t="str">
        <f>IF(Grammys[[#This Row],[date]] &gt;= DATE(2022, 2, 1), "Grammys", "Grammys + TRA")</f>
        <v>Grammys + TRA</v>
      </c>
      <c r="I1592">
        <f>_xlfn.XLOOKUP(Grammys[[#This Row],[date]], mobile_visits[date], mobile_visits[mobile_visitors], 0)</f>
        <v>0</v>
      </c>
    </row>
    <row r="1593" spans="1:9" x14ac:dyDescent="0.2">
      <c r="A1593" s="1">
        <v>44327</v>
      </c>
      <c r="B1593">
        <v>23819</v>
      </c>
      <c r="C1593">
        <v>41665</v>
      </c>
      <c r="D1593">
        <v>25206</v>
      </c>
      <c r="E1593">
        <v>11631</v>
      </c>
      <c r="F1593">
        <v>87</v>
      </c>
      <c r="G1593" t="s">
        <v>20</v>
      </c>
      <c r="H1593" t="str">
        <f>IF(Grammys[[#This Row],[date]] &gt;= DATE(2022, 2, 1), "Grammys", "Grammys + TRA")</f>
        <v>Grammys + TRA</v>
      </c>
      <c r="I1593">
        <f>_xlfn.XLOOKUP(Grammys[[#This Row],[date]], mobile_visits[date], mobile_visits[mobile_visitors], 0)</f>
        <v>0</v>
      </c>
    </row>
    <row r="1594" spans="1:9" x14ac:dyDescent="0.2">
      <c r="A1594" s="1">
        <v>44328</v>
      </c>
      <c r="B1594">
        <v>20173</v>
      </c>
      <c r="C1594">
        <v>36872</v>
      </c>
      <c r="D1594">
        <v>21761</v>
      </c>
      <c r="E1594">
        <v>10524</v>
      </c>
      <c r="F1594">
        <v>87</v>
      </c>
      <c r="G1594" t="s">
        <v>20</v>
      </c>
      <c r="H1594" t="str">
        <f>IF(Grammys[[#This Row],[date]] &gt;= DATE(2022, 2, 1), "Grammys", "Grammys + TRA")</f>
        <v>Grammys + TRA</v>
      </c>
      <c r="I1594">
        <f>_xlfn.XLOOKUP(Grammys[[#This Row],[date]], mobile_visits[date], mobile_visits[mobile_visitors], 0)</f>
        <v>0</v>
      </c>
    </row>
    <row r="1595" spans="1:9" x14ac:dyDescent="0.2">
      <c r="A1595" s="1">
        <v>44329</v>
      </c>
      <c r="B1595">
        <v>18788</v>
      </c>
      <c r="C1595">
        <v>33973</v>
      </c>
      <c r="D1595">
        <v>20233</v>
      </c>
      <c r="E1595">
        <v>9872</v>
      </c>
      <c r="F1595">
        <v>93</v>
      </c>
      <c r="G1595" t="s">
        <v>20</v>
      </c>
      <c r="H1595" t="str">
        <f>IF(Grammys[[#This Row],[date]] &gt;= DATE(2022, 2, 1), "Grammys", "Grammys + TRA")</f>
        <v>Grammys + TRA</v>
      </c>
      <c r="I1595">
        <f>_xlfn.XLOOKUP(Grammys[[#This Row],[date]], mobile_visits[date], mobile_visits[mobile_visitors], 0)</f>
        <v>0</v>
      </c>
    </row>
    <row r="1596" spans="1:9" x14ac:dyDescent="0.2">
      <c r="A1596" s="1">
        <v>44330</v>
      </c>
      <c r="B1596">
        <v>18778</v>
      </c>
      <c r="C1596">
        <v>33005</v>
      </c>
      <c r="D1596">
        <v>20082</v>
      </c>
      <c r="E1596">
        <v>9849</v>
      </c>
      <c r="F1596">
        <v>87</v>
      </c>
      <c r="G1596" t="s">
        <v>20</v>
      </c>
      <c r="H1596" t="str">
        <f>IF(Grammys[[#This Row],[date]] &gt;= DATE(2022, 2, 1), "Grammys", "Grammys + TRA")</f>
        <v>Grammys + TRA</v>
      </c>
      <c r="I1596">
        <f>_xlfn.XLOOKUP(Grammys[[#This Row],[date]], mobile_visits[date], mobile_visits[mobile_visitors], 0)</f>
        <v>0</v>
      </c>
    </row>
    <row r="1597" spans="1:9" x14ac:dyDescent="0.2">
      <c r="A1597" s="1">
        <v>44331</v>
      </c>
      <c r="B1597">
        <v>16338</v>
      </c>
      <c r="C1597">
        <v>27774</v>
      </c>
      <c r="D1597">
        <v>17358</v>
      </c>
      <c r="E1597">
        <v>8320</v>
      </c>
      <c r="F1597">
        <v>80</v>
      </c>
      <c r="G1597" t="s">
        <v>20</v>
      </c>
      <c r="H1597" t="str">
        <f>IF(Grammys[[#This Row],[date]] &gt;= DATE(2022, 2, 1), "Grammys", "Grammys + TRA")</f>
        <v>Grammys + TRA</v>
      </c>
      <c r="I1597">
        <f>_xlfn.XLOOKUP(Grammys[[#This Row],[date]], mobile_visits[date], mobile_visits[mobile_visitors], 0)</f>
        <v>0</v>
      </c>
    </row>
    <row r="1598" spans="1:9" x14ac:dyDescent="0.2">
      <c r="A1598" s="1">
        <v>44332</v>
      </c>
      <c r="B1598">
        <v>16910</v>
      </c>
      <c r="C1598">
        <v>29617</v>
      </c>
      <c r="D1598">
        <v>17988</v>
      </c>
      <c r="E1598">
        <v>8699</v>
      </c>
      <c r="F1598">
        <v>85</v>
      </c>
      <c r="G1598" t="s">
        <v>20</v>
      </c>
      <c r="H1598" t="str">
        <f>IF(Grammys[[#This Row],[date]] &gt;= DATE(2022, 2, 1), "Grammys", "Grammys + TRA")</f>
        <v>Grammys + TRA</v>
      </c>
      <c r="I1598">
        <f>_xlfn.XLOOKUP(Grammys[[#This Row],[date]], mobile_visits[date], mobile_visits[mobile_visitors], 0)</f>
        <v>0</v>
      </c>
    </row>
    <row r="1599" spans="1:9" x14ac:dyDescent="0.2">
      <c r="A1599" s="1">
        <v>44333</v>
      </c>
      <c r="B1599">
        <v>16762</v>
      </c>
      <c r="C1599">
        <v>31251</v>
      </c>
      <c r="D1599">
        <v>18179</v>
      </c>
      <c r="E1599">
        <v>9048</v>
      </c>
      <c r="F1599">
        <v>91</v>
      </c>
      <c r="G1599" t="s">
        <v>20</v>
      </c>
      <c r="H1599" t="str">
        <f>IF(Grammys[[#This Row],[date]] &gt;= DATE(2022, 2, 1), "Grammys", "Grammys + TRA")</f>
        <v>Grammys + TRA</v>
      </c>
      <c r="I1599">
        <f>_xlfn.XLOOKUP(Grammys[[#This Row],[date]], mobile_visits[date], mobile_visits[mobile_visitors], 0)</f>
        <v>0</v>
      </c>
    </row>
    <row r="1600" spans="1:9" x14ac:dyDescent="0.2">
      <c r="A1600" s="1">
        <v>44334</v>
      </c>
      <c r="B1600">
        <v>18661</v>
      </c>
      <c r="C1600">
        <v>33123</v>
      </c>
      <c r="D1600">
        <v>19866</v>
      </c>
      <c r="E1600">
        <v>9508</v>
      </c>
      <c r="F1600">
        <v>95</v>
      </c>
      <c r="G1600" t="s">
        <v>20</v>
      </c>
      <c r="H1600" t="str">
        <f>IF(Grammys[[#This Row],[date]] &gt;= DATE(2022, 2, 1), "Grammys", "Grammys + TRA")</f>
        <v>Grammys + TRA</v>
      </c>
      <c r="I1600">
        <f>_xlfn.XLOOKUP(Grammys[[#This Row],[date]], mobile_visits[date], mobile_visits[mobile_visitors], 0)</f>
        <v>0</v>
      </c>
    </row>
    <row r="1601" spans="1:9" x14ac:dyDescent="0.2">
      <c r="A1601" s="1">
        <v>44335</v>
      </c>
      <c r="B1601">
        <v>17979</v>
      </c>
      <c r="C1601">
        <v>31983</v>
      </c>
      <c r="D1601">
        <v>19099</v>
      </c>
      <c r="E1601">
        <v>9573</v>
      </c>
      <c r="F1601">
        <v>90</v>
      </c>
      <c r="G1601" t="s">
        <v>20</v>
      </c>
      <c r="H1601" t="str">
        <f>IF(Grammys[[#This Row],[date]] &gt;= DATE(2022, 2, 1), "Grammys", "Grammys + TRA")</f>
        <v>Grammys + TRA</v>
      </c>
      <c r="I1601">
        <f>_xlfn.XLOOKUP(Grammys[[#This Row],[date]], mobile_visits[date], mobile_visits[mobile_visitors], 0)</f>
        <v>0</v>
      </c>
    </row>
    <row r="1602" spans="1:9" x14ac:dyDescent="0.2">
      <c r="A1602" s="1">
        <v>44336</v>
      </c>
      <c r="B1602">
        <v>18174</v>
      </c>
      <c r="C1602">
        <v>32219</v>
      </c>
      <c r="D1602">
        <v>19518</v>
      </c>
      <c r="E1602">
        <v>9902</v>
      </c>
      <c r="F1602">
        <v>84</v>
      </c>
      <c r="G1602" t="s">
        <v>20</v>
      </c>
      <c r="H1602" t="str">
        <f>IF(Grammys[[#This Row],[date]] &gt;= DATE(2022, 2, 1), "Grammys", "Grammys + TRA")</f>
        <v>Grammys + TRA</v>
      </c>
      <c r="I1602">
        <f>_xlfn.XLOOKUP(Grammys[[#This Row],[date]], mobile_visits[date], mobile_visits[mobile_visitors], 0)</f>
        <v>0</v>
      </c>
    </row>
    <row r="1603" spans="1:9" x14ac:dyDescent="0.2">
      <c r="A1603" s="1">
        <v>44337</v>
      </c>
      <c r="B1603">
        <v>18530</v>
      </c>
      <c r="C1603">
        <v>32337</v>
      </c>
      <c r="D1603">
        <v>19690</v>
      </c>
      <c r="E1603">
        <v>9676</v>
      </c>
      <c r="F1603">
        <v>82</v>
      </c>
      <c r="G1603" t="s">
        <v>20</v>
      </c>
      <c r="H1603" t="str">
        <f>IF(Grammys[[#This Row],[date]] &gt;= DATE(2022, 2, 1), "Grammys", "Grammys + TRA")</f>
        <v>Grammys + TRA</v>
      </c>
      <c r="I1603">
        <f>_xlfn.XLOOKUP(Grammys[[#This Row],[date]], mobile_visits[date], mobile_visits[mobile_visitors], 0)</f>
        <v>0</v>
      </c>
    </row>
    <row r="1604" spans="1:9" x14ac:dyDescent="0.2">
      <c r="A1604" s="1">
        <v>44338</v>
      </c>
      <c r="B1604">
        <v>16691</v>
      </c>
      <c r="C1604">
        <v>28378</v>
      </c>
      <c r="D1604">
        <v>17546</v>
      </c>
      <c r="E1604">
        <v>8573</v>
      </c>
      <c r="F1604">
        <v>82</v>
      </c>
      <c r="G1604" t="s">
        <v>20</v>
      </c>
      <c r="H1604" t="str">
        <f>IF(Grammys[[#This Row],[date]] &gt;= DATE(2022, 2, 1), "Grammys", "Grammys + TRA")</f>
        <v>Grammys + TRA</v>
      </c>
      <c r="I1604">
        <f>_xlfn.XLOOKUP(Grammys[[#This Row],[date]], mobile_visits[date], mobile_visits[mobile_visitors], 0)</f>
        <v>0</v>
      </c>
    </row>
    <row r="1605" spans="1:9" x14ac:dyDescent="0.2">
      <c r="A1605" s="1">
        <v>44339</v>
      </c>
      <c r="B1605">
        <v>19341</v>
      </c>
      <c r="C1605">
        <v>33611</v>
      </c>
      <c r="D1605">
        <v>20525</v>
      </c>
      <c r="E1605">
        <v>10146</v>
      </c>
      <c r="F1605">
        <v>82</v>
      </c>
      <c r="G1605" t="s">
        <v>20</v>
      </c>
      <c r="H1605" t="str">
        <f>IF(Grammys[[#This Row],[date]] &gt;= DATE(2022, 2, 1), "Grammys", "Grammys + TRA")</f>
        <v>Grammys + TRA</v>
      </c>
      <c r="I1605">
        <f>_xlfn.XLOOKUP(Grammys[[#This Row],[date]], mobile_visits[date], mobile_visits[mobile_visitors], 0)</f>
        <v>0</v>
      </c>
    </row>
    <row r="1606" spans="1:9" x14ac:dyDescent="0.2">
      <c r="A1606" s="1">
        <v>44340</v>
      </c>
      <c r="B1606">
        <v>19598</v>
      </c>
      <c r="C1606">
        <v>34816</v>
      </c>
      <c r="D1606">
        <v>20857</v>
      </c>
      <c r="E1606">
        <v>10702</v>
      </c>
      <c r="F1606">
        <v>79</v>
      </c>
      <c r="G1606" t="s">
        <v>20</v>
      </c>
      <c r="H1606" t="str">
        <f>IF(Grammys[[#This Row],[date]] &gt;= DATE(2022, 2, 1), "Grammys", "Grammys + TRA")</f>
        <v>Grammys + TRA</v>
      </c>
      <c r="I1606">
        <f>_xlfn.XLOOKUP(Grammys[[#This Row],[date]], mobile_visits[date], mobile_visits[mobile_visitors], 0)</f>
        <v>0</v>
      </c>
    </row>
    <row r="1607" spans="1:9" x14ac:dyDescent="0.2">
      <c r="A1607" s="1">
        <v>44341</v>
      </c>
      <c r="B1607">
        <v>16854</v>
      </c>
      <c r="C1607">
        <v>30591</v>
      </c>
      <c r="D1607">
        <v>18145</v>
      </c>
      <c r="E1607">
        <v>9173</v>
      </c>
      <c r="F1607">
        <v>87</v>
      </c>
      <c r="G1607" t="s">
        <v>20</v>
      </c>
      <c r="H1607" t="str">
        <f>IF(Grammys[[#This Row],[date]] &gt;= DATE(2022, 2, 1), "Grammys", "Grammys + TRA")</f>
        <v>Grammys + TRA</v>
      </c>
      <c r="I1607">
        <f>_xlfn.XLOOKUP(Grammys[[#This Row],[date]], mobile_visits[date], mobile_visits[mobile_visitors], 0)</f>
        <v>0</v>
      </c>
    </row>
    <row r="1608" spans="1:9" x14ac:dyDescent="0.2">
      <c r="A1608" s="1">
        <v>44342</v>
      </c>
      <c r="B1608">
        <v>38717</v>
      </c>
      <c r="C1608">
        <v>65080</v>
      </c>
      <c r="D1608">
        <v>41699</v>
      </c>
      <c r="E1608">
        <v>19178</v>
      </c>
      <c r="F1608">
        <v>72</v>
      </c>
      <c r="G1608" t="s">
        <v>20</v>
      </c>
      <c r="H1608" t="str">
        <f>IF(Grammys[[#This Row],[date]] &gt;= DATE(2022, 2, 1), "Grammys", "Grammys + TRA")</f>
        <v>Grammys + TRA</v>
      </c>
      <c r="I1608">
        <f>_xlfn.XLOOKUP(Grammys[[#This Row],[date]], mobile_visits[date], mobile_visits[mobile_visitors], 0)</f>
        <v>0</v>
      </c>
    </row>
    <row r="1609" spans="1:9" x14ac:dyDescent="0.2">
      <c r="A1609" s="1">
        <v>44343</v>
      </c>
      <c r="B1609">
        <v>24019</v>
      </c>
      <c r="C1609">
        <v>42916</v>
      </c>
      <c r="D1609">
        <v>25833</v>
      </c>
      <c r="E1609">
        <v>12845</v>
      </c>
      <c r="F1609">
        <v>80</v>
      </c>
      <c r="G1609" t="s">
        <v>20</v>
      </c>
      <c r="H1609" t="str">
        <f>IF(Grammys[[#This Row],[date]] &gt;= DATE(2022, 2, 1), "Grammys", "Grammys + TRA")</f>
        <v>Grammys + TRA</v>
      </c>
      <c r="I1609">
        <f>_xlfn.XLOOKUP(Grammys[[#This Row],[date]], mobile_visits[date], mobile_visits[mobile_visitors], 0)</f>
        <v>0</v>
      </c>
    </row>
    <row r="1610" spans="1:9" x14ac:dyDescent="0.2">
      <c r="A1610" s="1">
        <v>44344</v>
      </c>
      <c r="B1610">
        <v>20149</v>
      </c>
      <c r="C1610">
        <v>35235</v>
      </c>
      <c r="D1610">
        <v>21362</v>
      </c>
      <c r="E1610">
        <v>10718</v>
      </c>
      <c r="F1610">
        <v>84</v>
      </c>
      <c r="G1610" t="s">
        <v>20</v>
      </c>
      <c r="H1610" t="str">
        <f>IF(Grammys[[#This Row],[date]] &gt;= DATE(2022, 2, 1), "Grammys", "Grammys + TRA")</f>
        <v>Grammys + TRA</v>
      </c>
      <c r="I1610">
        <f>_xlfn.XLOOKUP(Grammys[[#This Row],[date]], mobile_visits[date], mobile_visits[mobile_visitors], 0)</f>
        <v>0</v>
      </c>
    </row>
    <row r="1611" spans="1:9" x14ac:dyDescent="0.2">
      <c r="A1611" s="1">
        <v>44345</v>
      </c>
      <c r="B1611">
        <v>16924</v>
      </c>
      <c r="C1611">
        <v>29265</v>
      </c>
      <c r="D1611">
        <v>17905</v>
      </c>
      <c r="E1611">
        <v>9288</v>
      </c>
      <c r="F1611">
        <v>83</v>
      </c>
      <c r="G1611" t="s">
        <v>20</v>
      </c>
      <c r="H1611" t="str">
        <f>IF(Grammys[[#This Row],[date]] &gt;= DATE(2022, 2, 1), "Grammys", "Grammys + TRA")</f>
        <v>Grammys + TRA</v>
      </c>
      <c r="I1611">
        <f>_xlfn.XLOOKUP(Grammys[[#This Row],[date]], mobile_visits[date], mobile_visits[mobile_visitors], 0)</f>
        <v>0</v>
      </c>
    </row>
    <row r="1612" spans="1:9" x14ac:dyDescent="0.2">
      <c r="A1612" s="1">
        <v>44346</v>
      </c>
      <c r="B1612">
        <v>34487</v>
      </c>
      <c r="C1612">
        <v>58234</v>
      </c>
      <c r="D1612">
        <v>36626</v>
      </c>
      <c r="E1612">
        <v>13849</v>
      </c>
      <c r="F1612">
        <v>90</v>
      </c>
      <c r="G1612" t="s">
        <v>20</v>
      </c>
      <c r="H1612" t="str">
        <f>IF(Grammys[[#This Row],[date]] &gt;= DATE(2022, 2, 1), "Grammys", "Grammys + TRA")</f>
        <v>Grammys + TRA</v>
      </c>
      <c r="I1612">
        <f>_xlfn.XLOOKUP(Grammys[[#This Row],[date]], mobile_visits[date], mobile_visits[mobile_visitors], 0)</f>
        <v>0</v>
      </c>
    </row>
    <row r="1613" spans="1:9" x14ac:dyDescent="0.2">
      <c r="A1613" s="1">
        <v>44347</v>
      </c>
      <c r="B1613">
        <v>24687</v>
      </c>
      <c r="C1613">
        <v>42693</v>
      </c>
      <c r="D1613">
        <v>25674</v>
      </c>
      <c r="E1613">
        <v>10771</v>
      </c>
      <c r="F1613">
        <v>89</v>
      </c>
      <c r="G1613" t="s">
        <v>20</v>
      </c>
      <c r="H1613" t="str">
        <f>IF(Grammys[[#This Row],[date]] &gt;= DATE(2022, 2, 1), "Grammys", "Grammys + TRA")</f>
        <v>Grammys + TRA</v>
      </c>
      <c r="I1613">
        <f>_xlfn.XLOOKUP(Grammys[[#This Row],[date]], mobile_visits[date], mobile_visits[mobile_visitors], 0)</f>
        <v>0</v>
      </c>
    </row>
    <row r="1614" spans="1:9" x14ac:dyDescent="0.2">
      <c r="A1614" s="1">
        <v>44348</v>
      </c>
      <c r="B1614">
        <v>25628</v>
      </c>
      <c r="C1614">
        <v>46403</v>
      </c>
      <c r="D1614">
        <v>27420</v>
      </c>
      <c r="E1614">
        <v>11160</v>
      </c>
      <c r="F1614">
        <v>84</v>
      </c>
      <c r="G1614" t="s">
        <v>20</v>
      </c>
      <c r="H1614" t="str">
        <f>IF(Grammys[[#This Row],[date]] &gt;= DATE(2022, 2, 1), "Grammys", "Grammys + TRA")</f>
        <v>Grammys + TRA</v>
      </c>
      <c r="I1614">
        <f>_xlfn.XLOOKUP(Grammys[[#This Row],[date]], mobile_visits[date], mobile_visits[mobile_visitors], 0)</f>
        <v>0</v>
      </c>
    </row>
    <row r="1615" spans="1:9" x14ac:dyDescent="0.2">
      <c r="A1615" s="1">
        <v>44349</v>
      </c>
      <c r="B1615">
        <v>25640</v>
      </c>
      <c r="C1615">
        <v>49256</v>
      </c>
      <c r="D1615">
        <v>28061</v>
      </c>
      <c r="E1615">
        <v>11144</v>
      </c>
      <c r="F1615">
        <v>76</v>
      </c>
      <c r="G1615" t="s">
        <v>20</v>
      </c>
      <c r="H1615" t="str">
        <f>IF(Grammys[[#This Row],[date]] &gt;= DATE(2022, 2, 1), "Grammys", "Grammys + TRA")</f>
        <v>Grammys + TRA</v>
      </c>
      <c r="I1615">
        <f>_xlfn.XLOOKUP(Grammys[[#This Row],[date]], mobile_visits[date], mobile_visits[mobile_visitors], 0)</f>
        <v>0</v>
      </c>
    </row>
    <row r="1616" spans="1:9" x14ac:dyDescent="0.2">
      <c r="A1616" s="1">
        <v>44350</v>
      </c>
      <c r="B1616">
        <v>20496</v>
      </c>
      <c r="C1616">
        <v>38476</v>
      </c>
      <c r="D1616">
        <v>21876</v>
      </c>
      <c r="E1616">
        <v>9326</v>
      </c>
      <c r="F1616">
        <v>79</v>
      </c>
      <c r="G1616" t="s">
        <v>20</v>
      </c>
      <c r="H1616" t="str">
        <f>IF(Grammys[[#This Row],[date]] &gt;= DATE(2022, 2, 1), "Grammys", "Grammys + TRA")</f>
        <v>Grammys + TRA</v>
      </c>
      <c r="I1616">
        <f>_xlfn.XLOOKUP(Grammys[[#This Row],[date]], mobile_visits[date], mobile_visits[mobile_visitors], 0)</f>
        <v>0</v>
      </c>
    </row>
    <row r="1617" spans="1:9" x14ac:dyDescent="0.2">
      <c r="A1617" s="1">
        <v>44351</v>
      </c>
      <c r="B1617">
        <v>19591</v>
      </c>
      <c r="C1617">
        <v>35236</v>
      </c>
      <c r="D1617">
        <v>20845</v>
      </c>
      <c r="E1617">
        <v>9447</v>
      </c>
      <c r="F1617">
        <v>82</v>
      </c>
      <c r="G1617" t="s">
        <v>20</v>
      </c>
      <c r="H1617" t="str">
        <f>IF(Grammys[[#This Row],[date]] &gt;= DATE(2022, 2, 1), "Grammys", "Grammys + TRA")</f>
        <v>Grammys + TRA</v>
      </c>
      <c r="I1617">
        <f>_xlfn.XLOOKUP(Grammys[[#This Row],[date]], mobile_visits[date], mobile_visits[mobile_visitors], 0)</f>
        <v>0</v>
      </c>
    </row>
    <row r="1618" spans="1:9" x14ac:dyDescent="0.2">
      <c r="A1618" s="1">
        <v>44352</v>
      </c>
      <c r="B1618">
        <v>19252</v>
      </c>
      <c r="C1618">
        <v>32828</v>
      </c>
      <c r="D1618">
        <v>20618</v>
      </c>
      <c r="E1618">
        <v>10489</v>
      </c>
      <c r="F1618">
        <v>77</v>
      </c>
      <c r="G1618" t="s">
        <v>20</v>
      </c>
      <c r="H1618" t="str">
        <f>IF(Grammys[[#This Row],[date]] &gt;= DATE(2022, 2, 1), "Grammys", "Grammys + TRA")</f>
        <v>Grammys + TRA</v>
      </c>
      <c r="I1618">
        <f>_xlfn.XLOOKUP(Grammys[[#This Row],[date]], mobile_visits[date], mobile_visits[mobile_visitors], 0)</f>
        <v>0</v>
      </c>
    </row>
    <row r="1619" spans="1:9" x14ac:dyDescent="0.2">
      <c r="A1619" s="1">
        <v>44353</v>
      </c>
      <c r="B1619">
        <v>17668</v>
      </c>
      <c r="C1619">
        <v>30073</v>
      </c>
      <c r="D1619">
        <v>19000</v>
      </c>
      <c r="E1619">
        <v>9265</v>
      </c>
      <c r="F1619">
        <v>91</v>
      </c>
      <c r="G1619" t="s">
        <v>20</v>
      </c>
      <c r="H1619" t="str">
        <f>IF(Grammys[[#This Row],[date]] &gt;= DATE(2022, 2, 1), "Grammys", "Grammys + TRA")</f>
        <v>Grammys + TRA</v>
      </c>
      <c r="I1619">
        <f>_xlfn.XLOOKUP(Grammys[[#This Row],[date]], mobile_visits[date], mobile_visits[mobile_visitors], 0)</f>
        <v>0</v>
      </c>
    </row>
    <row r="1620" spans="1:9" x14ac:dyDescent="0.2">
      <c r="A1620" s="1">
        <v>44354</v>
      </c>
      <c r="B1620">
        <v>18146</v>
      </c>
      <c r="C1620">
        <v>32246</v>
      </c>
      <c r="D1620">
        <v>19561</v>
      </c>
      <c r="E1620">
        <v>9785</v>
      </c>
      <c r="F1620">
        <v>89</v>
      </c>
      <c r="G1620" t="s">
        <v>20</v>
      </c>
      <c r="H1620" t="str">
        <f>IF(Grammys[[#This Row],[date]] &gt;= DATE(2022, 2, 1), "Grammys", "Grammys + TRA")</f>
        <v>Grammys + TRA</v>
      </c>
      <c r="I1620">
        <f>_xlfn.XLOOKUP(Grammys[[#This Row],[date]], mobile_visits[date], mobile_visits[mobile_visitors], 0)</f>
        <v>0</v>
      </c>
    </row>
    <row r="1621" spans="1:9" x14ac:dyDescent="0.2">
      <c r="A1621" s="1">
        <v>44355</v>
      </c>
      <c r="B1621">
        <v>23362</v>
      </c>
      <c r="C1621">
        <v>41135</v>
      </c>
      <c r="D1621">
        <v>25255</v>
      </c>
      <c r="E1621">
        <v>10956</v>
      </c>
      <c r="F1621">
        <v>129</v>
      </c>
      <c r="G1621" t="s">
        <v>20</v>
      </c>
      <c r="H1621" t="str">
        <f>IF(Grammys[[#This Row],[date]] &gt;= DATE(2022, 2, 1), "Grammys", "Grammys + TRA")</f>
        <v>Grammys + TRA</v>
      </c>
      <c r="I1621">
        <f>_xlfn.XLOOKUP(Grammys[[#This Row],[date]], mobile_visits[date], mobile_visits[mobile_visitors], 0)</f>
        <v>0</v>
      </c>
    </row>
    <row r="1622" spans="1:9" x14ac:dyDescent="0.2">
      <c r="A1622" s="1">
        <v>44356</v>
      </c>
      <c r="B1622">
        <v>19686</v>
      </c>
      <c r="C1622">
        <v>34375</v>
      </c>
      <c r="D1622">
        <v>21182</v>
      </c>
      <c r="E1622">
        <v>10045</v>
      </c>
      <c r="F1622">
        <v>102</v>
      </c>
      <c r="G1622" t="s">
        <v>20</v>
      </c>
      <c r="H1622" t="str">
        <f>IF(Grammys[[#This Row],[date]] &gt;= DATE(2022, 2, 1), "Grammys", "Grammys + TRA")</f>
        <v>Grammys + TRA</v>
      </c>
      <c r="I1622">
        <f>_xlfn.XLOOKUP(Grammys[[#This Row],[date]], mobile_visits[date], mobile_visits[mobile_visitors], 0)</f>
        <v>0</v>
      </c>
    </row>
    <row r="1623" spans="1:9" x14ac:dyDescent="0.2">
      <c r="A1623" s="1">
        <v>44357</v>
      </c>
      <c r="B1623">
        <v>19228</v>
      </c>
      <c r="C1623">
        <v>33348</v>
      </c>
      <c r="D1623">
        <v>20648</v>
      </c>
      <c r="E1623">
        <v>10097</v>
      </c>
      <c r="F1623">
        <v>95</v>
      </c>
      <c r="G1623" t="s">
        <v>20</v>
      </c>
      <c r="H1623" t="str">
        <f>IF(Grammys[[#This Row],[date]] &gt;= DATE(2022, 2, 1), "Grammys", "Grammys + TRA")</f>
        <v>Grammys + TRA</v>
      </c>
      <c r="I1623">
        <f>_xlfn.XLOOKUP(Grammys[[#This Row],[date]], mobile_visits[date], mobile_visits[mobile_visitors], 0)</f>
        <v>0</v>
      </c>
    </row>
    <row r="1624" spans="1:9" x14ac:dyDescent="0.2">
      <c r="A1624" s="1">
        <v>44358</v>
      </c>
      <c r="B1624">
        <v>16768</v>
      </c>
      <c r="C1624">
        <v>29449</v>
      </c>
      <c r="D1624">
        <v>17886</v>
      </c>
      <c r="E1624">
        <v>8815</v>
      </c>
      <c r="F1624">
        <v>89</v>
      </c>
      <c r="G1624" t="s">
        <v>20</v>
      </c>
      <c r="H1624" t="str">
        <f>IF(Grammys[[#This Row],[date]] &gt;= DATE(2022, 2, 1), "Grammys", "Grammys + TRA")</f>
        <v>Grammys + TRA</v>
      </c>
      <c r="I1624">
        <f>_xlfn.XLOOKUP(Grammys[[#This Row],[date]], mobile_visits[date], mobile_visits[mobile_visitors], 0)</f>
        <v>0</v>
      </c>
    </row>
    <row r="1625" spans="1:9" x14ac:dyDescent="0.2">
      <c r="A1625" s="1">
        <v>44359</v>
      </c>
      <c r="B1625">
        <v>14471</v>
      </c>
      <c r="C1625">
        <v>25328</v>
      </c>
      <c r="D1625">
        <v>15560</v>
      </c>
      <c r="E1625">
        <v>7675</v>
      </c>
      <c r="F1625">
        <v>86</v>
      </c>
      <c r="G1625" t="s">
        <v>20</v>
      </c>
      <c r="H1625" t="str">
        <f>IF(Grammys[[#This Row],[date]] &gt;= DATE(2022, 2, 1), "Grammys", "Grammys + TRA")</f>
        <v>Grammys + TRA</v>
      </c>
      <c r="I1625">
        <f>_xlfn.XLOOKUP(Grammys[[#This Row],[date]], mobile_visits[date], mobile_visits[mobile_visitors], 0)</f>
        <v>0</v>
      </c>
    </row>
    <row r="1626" spans="1:9" x14ac:dyDescent="0.2">
      <c r="A1626" s="1">
        <v>44360</v>
      </c>
      <c r="B1626">
        <v>14403</v>
      </c>
      <c r="C1626">
        <v>25142</v>
      </c>
      <c r="D1626">
        <v>15408</v>
      </c>
      <c r="E1626">
        <v>7732</v>
      </c>
      <c r="F1626">
        <v>83</v>
      </c>
      <c r="G1626" t="s">
        <v>20</v>
      </c>
      <c r="H1626" t="str">
        <f>IF(Grammys[[#This Row],[date]] &gt;= DATE(2022, 2, 1), "Grammys", "Grammys + TRA")</f>
        <v>Grammys + TRA</v>
      </c>
      <c r="I1626">
        <f>_xlfn.XLOOKUP(Grammys[[#This Row],[date]], mobile_visits[date], mobile_visits[mobile_visitors], 0)</f>
        <v>0</v>
      </c>
    </row>
    <row r="1627" spans="1:9" x14ac:dyDescent="0.2">
      <c r="A1627" s="1">
        <v>44361</v>
      </c>
      <c r="B1627">
        <v>14362</v>
      </c>
      <c r="C1627">
        <v>26251</v>
      </c>
      <c r="D1627">
        <v>15566</v>
      </c>
      <c r="E1627">
        <v>7967</v>
      </c>
      <c r="F1627">
        <v>90</v>
      </c>
      <c r="G1627" t="s">
        <v>20</v>
      </c>
      <c r="H1627" t="str">
        <f>IF(Grammys[[#This Row],[date]] &gt;= DATE(2022, 2, 1), "Grammys", "Grammys + TRA")</f>
        <v>Grammys + TRA</v>
      </c>
      <c r="I1627">
        <f>_xlfn.XLOOKUP(Grammys[[#This Row],[date]], mobile_visits[date], mobile_visits[mobile_visitors], 0)</f>
        <v>0</v>
      </c>
    </row>
    <row r="1628" spans="1:9" x14ac:dyDescent="0.2">
      <c r="A1628" s="1">
        <v>44362</v>
      </c>
      <c r="B1628">
        <v>14553</v>
      </c>
      <c r="C1628">
        <v>26364</v>
      </c>
      <c r="D1628">
        <v>15693</v>
      </c>
      <c r="E1628">
        <v>8084</v>
      </c>
      <c r="F1628">
        <v>89</v>
      </c>
      <c r="G1628" t="s">
        <v>20</v>
      </c>
      <c r="H1628" t="str">
        <f>IF(Grammys[[#This Row],[date]] &gt;= DATE(2022, 2, 1), "Grammys", "Grammys + TRA")</f>
        <v>Grammys + TRA</v>
      </c>
      <c r="I1628">
        <f>_xlfn.XLOOKUP(Grammys[[#This Row],[date]], mobile_visits[date], mobile_visits[mobile_visitors], 0)</f>
        <v>0</v>
      </c>
    </row>
    <row r="1629" spans="1:9" x14ac:dyDescent="0.2">
      <c r="A1629" s="1">
        <v>44363</v>
      </c>
      <c r="B1629">
        <v>14255</v>
      </c>
      <c r="C1629">
        <v>25801</v>
      </c>
      <c r="D1629">
        <v>15423</v>
      </c>
      <c r="E1629">
        <v>7928</v>
      </c>
      <c r="F1629">
        <v>86</v>
      </c>
      <c r="G1629" t="s">
        <v>20</v>
      </c>
      <c r="H1629" t="str">
        <f>IF(Grammys[[#This Row],[date]] &gt;= DATE(2022, 2, 1), "Grammys", "Grammys + TRA")</f>
        <v>Grammys + TRA</v>
      </c>
      <c r="I1629">
        <f>_xlfn.XLOOKUP(Grammys[[#This Row],[date]], mobile_visits[date], mobile_visits[mobile_visitors], 0)</f>
        <v>0</v>
      </c>
    </row>
    <row r="1630" spans="1:9" x14ac:dyDescent="0.2">
      <c r="A1630" s="1">
        <v>44364</v>
      </c>
      <c r="B1630">
        <v>14559</v>
      </c>
      <c r="C1630">
        <v>26380</v>
      </c>
      <c r="D1630">
        <v>15696</v>
      </c>
      <c r="E1630">
        <v>8178</v>
      </c>
      <c r="F1630">
        <v>88</v>
      </c>
      <c r="G1630" t="s">
        <v>20</v>
      </c>
      <c r="H1630" t="str">
        <f>IF(Grammys[[#This Row],[date]] &gt;= DATE(2022, 2, 1), "Grammys", "Grammys + TRA")</f>
        <v>Grammys + TRA</v>
      </c>
      <c r="I1630">
        <f>_xlfn.XLOOKUP(Grammys[[#This Row],[date]], mobile_visits[date], mobile_visits[mobile_visitors], 0)</f>
        <v>0</v>
      </c>
    </row>
    <row r="1631" spans="1:9" x14ac:dyDescent="0.2">
      <c r="A1631" s="1">
        <v>44365</v>
      </c>
      <c r="B1631">
        <v>14286</v>
      </c>
      <c r="C1631">
        <v>25481</v>
      </c>
      <c r="D1631">
        <v>15272</v>
      </c>
      <c r="E1631">
        <v>7858</v>
      </c>
      <c r="F1631">
        <v>82</v>
      </c>
      <c r="G1631" t="s">
        <v>20</v>
      </c>
      <c r="H1631" t="str">
        <f>IF(Grammys[[#This Row],[date]] &gt;= DATE(2022, 2, 1), "Grammys", "Grammys + TRA")</f>
        <v>Grammys + TRA</v>
      </c>
      <c r="I1631">
        <f>_xlfn.XLOOKUP(Grammys[[#This Row],[date]], mobile_visits[date], mobile_visits[mobile_visitors], 0)</f>
        <v>0</v>
      </c>
    </row>
    <row r="1632" spans="1:9" x14ac:dyDescent="0.2">
      <c r="A1632" s="1">
        <v>44366</v>
      </c>
      <c r="B1632">
        <v>14125</v>
      </c>
      <c r="C1632">
        <v>23833</v>
      </c>
      <c r="D1632">
        <v>14860</v>
      </c>
      <c r="E1632">
        <v>7344</v>
      </c>
      <c r="F1632">
        <v>85</v>
      </c>
      <c r="G1632" t="s">
        <v>20</v>
      </c>
      <c r="H1632" t="str">
        <f>IF(Grammys[[#This Row],[date]] &gt;= DATE(2022, 2, 1), "Grammys", "Grammys + TRA")</f>
        <v>Grammys + TRA</v>
      </c>
      <c r="I1632">
        <f>_xlfn.XLOOKUP(Grammys[[#This Row],[date]], mobile_visits[date], mobile_visits[mobile_visitors], 0)</f>
        <v>0</v>
      </c>
    </row>
    <row r="1633" spans="1:9" x14ac:dyDescent="0.2">
      <c r="A1633" s="1">
        <v>44367</v>
      </c>
      <c r="B1633">
        <v>13136</v>
      </c>
      <c r="C1633">
        <v>23148</v>
      </c>
      <c r="D1633">
        <v>14049</v>
      </c>
      <c r="E1633">
        <v>7105</v>
      </c>
      <c r="F1633">
        <v>81</v>
      </c>
      <c r="G1633" t="s">
        <v>20</v>
      </c>
      <c r="H1633" t="str">
        <f>IF(Grammys[[#This Row],[date]] &gt;= DATE(2022, 2, 1), "Grammys", "Grammys + TRA")</f>
        <v>Grammys + TRA</v>
      </c>
      <c r="I1633">
        <f>_xlfn.XLOOKUP(Grammys[[#This Row],[date]], mobile_visits[date], mobile_visits[mobile_visitors], 0)</f>
        <v>0</v>
      </c>
    </row>
    <row r="1634" spans="1:9" x14ac:dyDescent="0.2">
      <c r="A1634" s="1">
        <v>44368</v>
      </c>
      <c r="B1634">
        <v>14472</v>
      </c>
      <c r="C1634">
        <v>26057</v>
      </c>
      <c r="D1634">
        <v>15594</v>
      </c>
      <c r="E1634">
        <v>8109</v>
      </c>
      <c r="F1634">
        <v>82</v>
      </c>
      <c r="G1634" t="s">
        <v>20</v>
      </c>
      <c r="H1634" t="str">
        <f>IF(Grammys[[#This Row],[date]] &gt;= DATE(2022, 2, 1), "Grammys", "Grammys + TRA")</f>
        <v>Grammys + TRA</v>
      </c>
      <c r="I1634">
        <f>_xlfn.XLOOKUP(Grammys[[#This Row],[date]], mobile_visits[date], mobile_visits[mobile_visitors], 0)</f>
        <v>0</v>
      </c>
    </row>
    <row r="1635" spans="1:9" x14ac:dyDescent="0.2">
      <c r="A1635" s="1">
        <v>44369</v>
      </c>
      <c r="B1635">
        <v>15193</v>
      </c>
      <c r="C1635">
        <v>26440</v>
      </c>
      <c r="D1635">
        <v>16282</v>
      </c>
      <c r="E1635">
        <v>8311</v>
      </c>
      <c r="F1635">
        <v>90</v>
      </c>
      <c r="G1635" t="s">
        <v>20</v>
      </c>
      <c r="H1635" t="str">
        <f>IF(Grammys[[#This Row],[date]] &gt;= DATE(2022, 2, 1), "Grammys", "Grammys + TRA")</f>
        <v>Grammys + TRA</v>
      </c>
      <c r="I1635">
        <f>_xlfn.XLOOKUP(Grammys[[#This Row],[date]], mobile_visits[date], mobile_visits[mobile_visitors], 0)</f>
        <v>0</v>
      </c>
    </row>
    <row r="1636" spans="1:9" x14ac:dyDescent="0.2">
      <c r="A1636" s="1">
        <v>44370</v>
      </c>
      <c r="B1636">
        <v>18428</v>
      </c>
      <c r="C1636">
        <v>31614</v>
      </c>
      <c r="D1636">
        <v>19705</v>
      </c>
      <c r="E1636">
        <v>8988</v>
      </c>
      <c r="F1636">
        <v>94</v>
      </c>
      <c r="G1636" t="s">
        <v>20</v>
      </c>
      <c r="H1636" t="str">
        <f>IF(Grammys[[#This Row],[date]] &gt;= DATE(2022, 2, 1), "Grammys", "Grammys + TRA")</f>
        <v>Grammys + TRA</v>
      </c>
      <c r="I1636">
        <f>_xlfn.XLOOKUP(Grammys[[#This Row],[date]], mobile_visits[date], mobile_visits[mobile_visitors], 0)</f>
        <v>0</v>
      </c>
    </row>
    <row r="1637" spans="1:9" x14ac:dyDescent="0.2">
      <c r="A1637" s="1">
        <v>44371</v>
      </c>
      <c r="B1637">
        <v>16562</v>
      </c>
      <c r="C1637">
        <v>28605</v>
      </c>
      <c r="D1637">
        <v>17871</v>
      </c>
      <c r="E1637">
        <v>8877</v>
      </c>
      <c r="F1637">
        <v>83</v>
      </c>
      <c r="G1637" t="s">
        <v>20</v>
      </c>
      <c r="H1637" t="str">
        <f>IF(Grammys[[#This Row],[date]] &gt;= DATE(2022, 2, 1), "Grammys", "Grammys + TRA")</f>
        <v>Grammys + TRA</v>
      </c>
      <c r="I1637">
        <f>_xlfn.XLOOKUP(Grammys[[#This Row],[date]], mobile_visits[date], mobile_visits[mobile_visitors], 0)</f>
        <v>0</v>
      </c>
    </row>
    <row r="1638" spans="1:9" x14ac:dyDescent="0.2">
      <c r="A1638" s="1">
        <v>44372</v>
      </c>
      <c r="B1638">
        <v>14926</v>
      </c>
      <c r="C1638">
        <v>25275</v>
      </c>
      <c r="D1638">
        <v>15801</v>
      </c>
      <c r="E1638">
        <v>8184</v>
      </c>
      <c r="F1638">
        <v>84</v>
      </c>
      <c r="G1638" t="s">
        <v>20</v>
      </c>
      <c r="H1638" t="str">
        <f>IF(Grammys[[#This Row],[date]] &gt;= DATE(2022, 2, 1), "Grammys", "Grammys + TRA")</f>
        <v>Grammys + TRA</v>
      </c>
      <c r="I1638">
        <f>_xlfn.XLOOKUP(Grammys[[#This Row],[date]], mobile_visits[date], mobile_visits[mobile_visitors], 0)</f>
        <v>0</v>
      </c>
    </row>
    <row r="1639" spans="1:9" x14ac:dyDescent="0.2">
      <c r="A1639" s="1">
        <v>44373</v>
      </c>
      <c r="B1639">
        <v>13754</v>
      </c>
      <c r="C1639">
        <v>23432</v>
      </c>
      <c r="D1639">
        <v>14689</v>
      </c>
      <c r="E1639">
        <v>7530</v>
      </c>
      <c r="F1639">
        <v>80</v>
      </c>
      <c r="G1639" t="s">
        <v>20</v>
      </c>
      <c r="H1639" t="str">
        <f>IF(Grammys[[#This Row],[date]] &gt;= DATE(2022, 2, 1), "Grammys", "Grammys + TRA")</f>
        <v>Grammys + TRA</v>
      </c>
      <c r="I1639">
        <f>_xlfn.XLOOKUP(Grammys[[#This Row],[date]], mobile_visits[date], mobile_visits[mobile_visitors], 0)</f>
        <v>0</v>
      </c>
    </row>
    <row r="1640" spans="1:9" x14ac:dyDescent="0.2">
      <c r="A1640" s="1">
        <v>44374</v>
      </c>
      <c r="B1640">
        <v>15375</v>
      </c>
      <c r="C1640">
        <v>25513</v>
      </c>
      <c r="D1640">
        <v>16274</v>
      </c>
      <c r="E1640">
        <v>8396</v>
      </c>
      <c r="F1640">
        <v>83</v>
      </c>
      <c r="G1640" t="s">
        <v>20</v>
      </c>
      <c r="H1640" t="str">
        <f>IF(Grammys[[#This Row],[date]] &gt;= DATE(2022, 2, 1), "Grammys", "Grammys + TRA")</f>
        <v>Grammys + TRA</v>
      </c>
      <c r="I1640">
        <f>_xlfn.XLOOKUP(Grammys[[#This Row],[date]], mobile_visits[date], mobile_visits[mobile_visitors], 0)</f>
        <v>0</v>
      </c>
    </row>
    <row r="1641" spans="1:9" x14ac:dyDescent="0.2">
      <c r="A1641" s="1">
        <v>44375</v>
      </c>
      <c r="B1641">
        <v>16073</v>
      </c>
      <c r="C1641">
        <v>27499</v>
      </c>
      <c r="D1641">
        <v>17202</v>
      </c>
      <c r="E1641">
        <v>8837</v>
      </c>
      <c r="F1641">
        <v>91</v>
      </c>
      <c r="G1641" t="s">
        <v>20</v>
      </c>
      <c r="H1641" t="str">
        <f>IF(Grammys[[#This Row],[date]] &gt;= DATE(2022, 2, 1), "Grammys", "Grammys + TRA")</f>
        <v>Grammys + TRA</v>
      </c>
      <c r="I1641">
        <f>_xlfn.XLOOKUP(Grammys[[#This Row],[date]], mobile_visits[date], mobile_visits[mobile_visitors], 0)</f>
        <v>0</v>
      </c>
    </row>
    <row r="1642" spans="1:9" x14ac:dyDescent="0.2">
      <c r="A1642" s="1">
        <v>44376</v>
      </c>
      <c r="B1642">
        <v>14471</v>
      </c>
      <c r="C1642">
        <v>25271</v>
      </c>
      <c r="D1642">
        <v>15498</v>
      </c>
      <c r="E1642">
        <v>7949</v>
      </c>
      <c r="F1642">
        <v>85</v>
      </c>
      <c r="G1642" t="s">
        <v>20</v>
      </c>
      <c r="H1642" t="str">
        <f>IF(Grammys[[#This Row],[date]] &gt;= DATE(2022, 2, 1), "Grammys", "Grammys + TRA")</f>
        <v>Grammys + TRA</v>
      </c>
      <c r="I1642">
        <f>_xlfn.XLOOKUP(Grammys[[#This Row],[date]], mobile_visits[date], mobile_visits[mobile_visitors], 0)</f>
        <v>0</v>
      </c>
    </row>
    <row r="1643" spans="1:9" x14ac:dyDescent="0.2">
      <c r="A1643" s="1">
        <v>44377</v>
      </c>
      <c r="B1643">
        <v>13610</v>
      </c>
      <c r="C1643">
        <v>24530</v>
      </c>
      <c r="D1643">
        <v>14674</v>
      </c>
      <c r="E1643">
        <v>7597</v>
      </c>
      <c r="F1643">
        <v>93</v>
      </c>
      <c r="G1643" t="s">
        <v>20</v>
      </c>
      <c r="H1643" t="str">
        <f>IF(Grammys[[#This Row],[date]] &gt;= DATE(2022, 2, 1), "Grammys", "Grammys + TRA")</f>
        <v>Grammys + TRA</v>
      </c>
      <c r="I1643">
        <f>_xlfn.XLOOKUP(Grammys[[#This Row],[date]], mobile_visits[date], mobile_visits[mobile_visitors], 0)</f>
        <v>0</v>
      </c>
    </row>
    <row r="1644" spans="1:9" x14ac:dyDescent="0.2">
      <c r="A1644" s="1">
        <v>44378</v>
      </c>
      <c r="B1644">
        <v>17393</v>
      </c>
      <c r="C1644">
        <v>30956</v>
      </c>
      <c r="D1644">
        <v>18503</v>
      </c>
      <c r="E1644">
        <v>7920</v>
      </c>
      <c r="F1644">
        <v>99</v>
      </c>
      <c r="G1644" t="s">
        <v>20</v>
      </c>
      <c r="H1644" t="str">
        <f>IF(Grammys[[#This Row],[date]] &gt;= DATE(2022, 2, 1), "Grammys", "Grammys + TRA")</f>
        <v>Grammys + TRA</v>
      </c>
      <c r="I1644">
        <f>_xlfn.XLOOKUP(Grammys[[#This Row],[date]], mobile_visits[date], mobile_visits[mobile_visitors], 0)</f>
        <v>0</v>
      </c>
    </row>
    <row r="1645" spans="1:9" x14ac:dyDescent="0.2">
      <c r="A1645" s="1">
        <v>44379</v>
      </c>
      <c r="B1645">
        <v>20503</v>
      </c>
      <c r="C1645">
        <v>36769</v>
      </c>
      <c r="D1645">
        <v>21642</v>
      </c>
      <c r="E1645">
        <v>8028</v>
      </c>
      <c r="F1645">
        <v>107</v>
      </c>
      <c r="G1645" t="s">
        <v>20</v>
      </c>
      <c r="H1645" t="str">
        <f>IF(Grammys[[#This Row],[date]] &gt;= DATE(2022, 2, 1), "Grammys", "Grammys + TRA")</f>
        <v>Grammys + TRA</v>
      </c>
      <c r="I1645">
        <f>_xlfn.XLOOKUP(Grammys[[#This Row],[date]], mobile_visits[date], mobile_visits[mobile_visitors], 0)</f>
        <v>0</v>
      </c>
    </row>
    <row r="1646" spans="1:9" x14ac:dyDescent="0.2">
      <c r="A1646" s="1">
        <v>44380</v>
      </c>
      <c r="B1646">
        <v>15617</v>
      </c>
      <c r="C1646">
        <v>26980</v>
      </c>
      <c r="D1646">
        <v>16544</v>
      </c>
      <c r="E1646">
        <v>7359</v>
      </c>
      <c r="F1646">
        <v>88</v>
      </c>
      <c r="G1646" t="s">
        <v>20</v>
      </c>
      <c r="H1646" t="str">
        <f>IF(Grammys[[#This Row],[date]] &gt;= DATE(2022, 2, 1), "Grammys", "Grammys + TRA")</f>
        <v>Grammys + TRA</v>
      </c>
      <c r="I1646">
        <f>_xlfn.XLOOKUP(Grammys[[#This Row],[date]], mobile_visits[date], mobile_visits[mobile_visitors], 0)</f>
        <v>0</v>
      </c>
    </row>
    <row r="1647" spans="1:9" x14ac:dyDescent="0.2">
      <c r="A1647" s="1">
        <v>44381</v>
      </c>
      <c r="B1647">
        <v>18600</v>
      </c>
      <c r="C1647">
        <v>31629</v>
      </c>
      <c r="D1647">
        <v>19481</v>
      </c>
      <c r="E1647">
        <v>9090</v>
      </c>
      <c r="F1647">
        <v>76</v>
      </c>
      <c r="G1647" t="s">
        <v>20</v>
      </c>
      <c r="H1647" t="str">
        <f>IF(Grammys[[#This Row],[date]] &gt;= DATE(2022, 2, 1), "Grammys", "Grammys + TRA")</f>
        <v>Grammys + TRA</v>
      </c>
      <c r="I1647">
        <f>_xlfn.XLOOKUP(Grammys[[#This Row],[date]], mobile_visits[date], mobile_visits[mobile_visitors], 0)</f>
        <v>0</v>
      </c>
    </row>
    <row r="1648" spans="1:9" x14ac:dyDescent="0.2">
      <c r="A1648" s="1">
        <v>44382</v>
      </c>
      <c r="B1648">
        <v>14498</v>
      </c>
      <c r="C1648">
        <v>25966</v>
      </c>
      <c r="D1648">
        <v>15267</v>
      </c>
      <c r="E1648">
        <v>7506</v>
      </c>
      <c r="F1648">
        <v>79</v>
      </c>
      <c r="G1648" t="s">
        <v>20</v>
      </c>
      <c r="H1648" t="str">
        <f>IF(Grammys[[#This Row],[date]] &gt;= DATE(2022, 2, 1), "Grammys", "Grammys + TRA")</f>
        <v>Grammys + TRA</v>
      </c>
      <c r="I1648">
        <f>_xlfn.XLOOKUP(Grammys[[#This Row],[date]], mobile_visits[date], mobile_visits[mobile_visitors], 0)</f>
        <v>0</v>
      </c>
    </row>
    <row r="1649" spans="1:9" x14ac:dyDescent="0.2">
      <c r="A1649" s="1">
        <v>44383</v>
      </c>
      <c r="B1649">
        <v>15966</v>
      </c>
      <c r="C1649">
        <v>28142</v>
      </c>
      <c r="D1649">
        <v>17313</v>
      </c>
      <c r="E1649">
        <v>7823</v>
      </c>
      <c r="F1649">
        <v>97</v>
      </c>
      <c r="G1649" t="s">
        <v>20</v>
      </c>
      <c r="H1649" t="str">
        <f>IF(Grammys[[#This Row],[date]] &gt;= DATE(2022, 2, 1), "Grammys", "Grammys + TRA")</f>
        <v>Grammys + TRA</v>
      </c>
      <c r="I1649">
        <f>_xlfn.XLOOKUP(Grammys[[#This Row],[date]], mobile_visits[date], mobile_visits[mobile_visitors], 0)</f>
        <v>0</v>
      </c>
    </row>
    <row r="1650" spans="1:9" x14ac:dyDescent="0.2">
      <c r="A1650" s="1">
        <v>44384</v>
      </c>
      <c r="B1650">
        <v>14022</v>
      </c>
      <c r="C1650">
        <v>25828</v>
      </c>
      <c r="D1650">
        <v>15194</v>
      </c>
      <c r="E1650">
        <v>7291</v>
      </c>
      <c r="F1650">
        <v>97</v>
      </c>
      <c r="G1650" t="s">
        <v>20</v>
      </c>
      <c r="H1650" t="str">
        <f>IF(Grammys[[#This Row],[date]] &gt;= DATE(2022, 2, 1), "Grammys", "Grammys + TRA")</f>
        <v>Grammys + TRA</v>
      </c>
      <c r="I1650">
        <f>_xlfn.XLOOKUP(Grammys[[#This Row],[date]], mobile_visits[date], mobile_visits[mobile_visitors], 0)</f>
        <v>0</v>
      </c>
    </row>
    <row r="1651" spans="1:9" x14ac:dyDescent="0.2">
      <c r="A1651" s="1">
        <v>44385</v>
      </c>
      <c r="B1651">
        <v>13689</v>
      </c>
      <c r="C1651">
        <v>24186</v>
      </c>
      <c r="D1651">
        <v>14554</v>
      </c>
      <c r="E1651">
        <v>7378</v>
      </c>
      <c r="F1651">
        <v>88</v>
      </c>
      <c r="G1651" t="s">
        <v>20</v>
      </c>
      <c r="H1651" t="str">
        <f>IF(Grammys[[#This Row],[date]] &gt;= DATE(2022, 2, 1), "Grammys", "Grammys + TRA")</f>
        <v>Grammys + TRA</v>
      </c>
      <c r="I1651">
        <f>_xlfn.XLOOKUP(Grammys[[#This Row],[date]], mobile_visits[date], mobile_visits[mobile_visitors], 0)</f>
        <v>0</v>
      </c>
    </row>
    <row r="1652" spans="1:9" x14ac:dyDescent="0.2">
      <c r="A1652" s="1">
        <v>44386</v>
      </c>
      <c r="B1652">
        <v>13497</v>
      </c>
      <c r="C1652">
        <v>25739</v>
      </c>
      <c r="D1652">
        <v>14450</v>
      </c>
      <c r="E1652">
        <v>7353</v>
      </c>
      <c r="F1652">
        <v>90</v>
      </c>
      <c r="G1652" t="s">
        <v>20</v>
      </c>
      <c r="H1652" t="str">
        <f>IF(Grammys[[#This Row],[date]] &gt;= DATE(2022, 2, 1), "Grammys", "Grammys + TRA")</f>
        <v>Grammys + TRA</v>
      </c>
      <c r="I1652">
        <f>_xlfn.XLOOKUP(Grammys[[#This Row],[date]], mobile_visits[date], mobile_visits[mobile_visitors], 0)</f>
        <v>0</v>
      </c>
    </row>
    <row r="1653" spans="1:9" x14ac:dyDescent="0.2">
      <c r="A1653" s="1">
        <v>44387</v>
      </c>
      <c r="B1653">
        <v>12577</v>
      </c>
      <c r="C1653">
        <v>22005</v>
      </c>
      <c r="D1653">
        <v>13577</v>
      </c>
      <c r="E1653">
        <v>6824</v>
      </c>
      <c r="F1653">
        <v>81</v>
      </c>
      <c r="G1653" t="s">
        <v>20</v>
      </c>
      <c r="H1653" t="str">
        <f>IF(Grammys[[#This Row],[date]] &gt;= DATE(2022, 2, 1), "Grammys", "Grammys + TRA")</f>
        <v>Grammys + TRA</v>
      </c>
      <c r="I1653">
        <f>_xlfn.XLOOKUP(Grammys[[#This Row],[date]], mobile_visits[date], mobile_visits[mobile_visitors], 0)</f>
        <v>0</v>
      </c>
    </row>
    <row r="1654" spans="1:9" x14ac:dyDescent="0.2">
      <c r="A1654" s="1">
        <v>44388</v>
      </c>
      <c r="B1654">
        <v>12435</v>
      </c>
      <c r="C1654">
        <v>21877</v>
      </c>
      <c r="D1654">
        <v>13279</v>
      </c>
      <c r="E1654">
        <v>6709</v>
      </c>
      <c r="F1654">
        <v>92</v>
      </c>
      <c r="G1654" t="s">
        <v>20</v>
      </c>
      <c r="H1654" t="str">
        <f>IF(Grammys[[#This Row],[date]] &gt;= DATE(2022, 2, 1), "Grammys", "Grammys + TRA")</f>
        <v>Grammys + TRA</v>
      </c>
      <c r="I1654">
        <f>_xlfn.XLOOKUP(Grammys[[#This Row],[date]], mobile_visits[date], mobile_visits[mobile_visitors], 0)</f>
        <v>0</v>
      </c>
    </row>
    <row r="1655" spans="1:9" x14ac:dyDescent="0.2">
      <c r="A1655" s="1">
        <v>44389</v>
      </c>
      <c r="B1655">
        <v>14487</v>
      </c>
      <c r="C1655">
        <v>25176</v>
      </c>
      <c r="D1655">
        <v>15416</v>
      </c>
      <c r="E1655">
        <v>7775</v>
      </c>
      <c r="F1655">
        <v>84</v>
      </c>
      <c r="G1655" t="s">
        <v>20</v>
      </c>
      <c r="H1655" t="str">
        <f>IF(Grammys[[#This Row],[date]] &gt;= DATE(2022, 2, 1), "Grammys", "Grammys + TRA")</f>
        <v>Grammys + TRA</v>
      </c>
      <c r="I1655">
        <f>_xlfn.XLOOKUP(Grammys[[#This Row],[date]], mobile_visits[date], mobile_visits[mobile_visitors], 0)</f>
        <v>0</v>
      </c>
    </row>
    <row r="1656" spans="1:9" x14ac:dyDescent="0.2">
      <c r="A1656" s="1">
        <v>44390</v>
      </c>
      <c r="B1656">
        <v>18377</v>
      </c>
      <c r="C1656">
        <v>33679</v>
      </c>
      <c r="D1656">
        <v>19801</v>
      </c>
      <c r="E1656">
        <v>9281</v>
      </c>
      <c r="F1656">
        <v>87</v>
      </c>
      <c r="G1656" t="s">
        <v>20</v>
      </c>
      <c r="H1656" t="str">
        <f>IF(Grammys[[#This Row],[date]] &gt;= DATE(2022, 2, 1), "Grammys", "Grammys + TRA")</f>
        <v>Grammys + TRA</v>
      </c>
      <c r="I1656">
        <f>_xlfn.XLOOKUP(Grammys[[#This Row],[date]], mobile_visits[date], mobile_visits[mobile_visitors], 0)</f>
        <v>0</v>
      </c>
    </row>
    <row r="1657" spans="1:9" x14ac:dyDescent="0.2">
      <c r="A1657" s="1">
        <v>44391</v>
      </c>
      <c r="B1657">
        <v>18062</v>
      </c>
      <c r="C1657">
        <v>32961</v>
      </c>
      <c r="D1657">
        <v>19721</v>
      </c>
      <c r="E1657">
        <v>9672</v>
      </c>
      <c r="F1657">
        <v>88</v>
      </c>
      <c r="G1657" t="s">
        <v>20</v>
      </c>
      <c r="H1657" t="str">
        <f>IF(Grammys[[#This Row],[date]] &gt;= DATE(2022, 2, 1), "Grammys", "Grammys + TRA")</f>
        <v>Grammys + TRA</v>
      </c>
      <c r="I1657">
        <f>_xlfn.XLOOKUP(Grammys[[#This Row],[date]], mobile_visits[date], mobile_visits[mobile_visitors], 0)</f>
        <v>0</v>
      </c>
    </row>
    <row r="1658" spans="1:9" x14ac:dyDescent="0.2">
      <c r="A1658" s="1">
        <v>44392</v>
      </c>
      <c r="B1658">
        <v>17168</v>
      </c>
      <c r="C1658">
        <v>30250</v>
      </c>
      <c r="D1658">
        <v>18431</v>
      </c>
      <c r="E1658">
        <v>9146</v>
      </c>
      <c r="F1658">
        <v>84</v>
      </c>
      <c r="G1658" t="s">
        <v>20</v>
      </c>
      <c r="H1658" t="str">
        <f>IF(Grammys[[#This Row],[date]] &gt;= DATE(2022, 2, 1), "Grammys", "Grammys + TRA")</f>
        <v>Grammys + TRA</v>
      </c>
      <c r="I1658">
        <f>_xlfn.XLOOKUP(Grammys[[#This Row],[date]], mobile_visits[date], mobile_visits[mobile_visitors], 0)</f>
        <v>0</v>
      </c>
    </row>
    <row r="1659" spans="1:9" x14ac:dyDescent="0.2">
      <c r="A1659" s="1">
        <v>44393</v>
      </c>
      <c r="B1659">
        <v>18518</v>
      </c>
      <c r="C1659">
        <v>32725</v>
      </c>
      <c r="D1659">
        <v>19691</v>
      </c>
      <c r="E1659">
        <v>10069</v>
      </c>
      <c r="F1659">
        <v>89</v>
      </c>
      <c r="G1659" t="s">
        <v>20</v>
      </c>
      <c r="H1659" t="str">
        <f>IF(Grammys[[#This Row],[date]] &gt;= DATE(2022, 2, 1), "Grammys", "Grammys + TRA")</f>
        <v>Grammys + TRA</v>
      </c>
      <c r="I1659">
        <f>_xlfn.XLOOKUP(Grammys[[#This Row],[date]], mobile_visits[date], mobile_visits[mobile_visitors], 0)</f>
        <v>0</v>
      </c>
    </row>
    <row r="1660" spans="1:9" x14ac:dyDescent="0.2">
      <c r="A1660" s="1">
        <v>44394</v>
      </c>
      <c r="B1660">
        <v>17243</v>
      </c>
      <c r="C1660">
        <v>30213</v>
      </c>
      <c r="D1660">
        <v>18260</v>
      </c>
      <c r="E1660">
        <v>9244</v>
      </c>
      <c r="F1660">
        <v>85</v>
      </c>
      <c r="G1660" t="s">
        <v>20</v>
      </c>
      <c r="H1660" t="str">
        <f>IF(Grammys[[#This Row],[date]] &gt;= DATE(2022, 2, 1), "Grammys", "Grammys + TRA")</f>
        <v>Grammys + TRA</v>
      </c>
      <c r="I1660">
        <f>_xlfn.XLOOKUP(Grammys[[#This Row],[date]], mobile_visits[date], mobile_visits[mobile_visitors], 0)</f>
        <v>0</v>
      </c>
    </row>
    <row r="1661" spans="1:9" x14ac:dyDescent="0.2">
      <c r="A1661" s="1">
        <v>44395</v>
      </c>
      <c r="B1661">
        <v>15484</v>
      </c>
      <c r="C1661">
        <v>27277</v>
      </c>
      <c r="D1661">
        <v>16367</v>
      </c>
      <c r="E1661">
        <v>8385</v>
      </c>
      <c r="F1661">
        <v>84</v>
      </c>
      <c r="G1661" t="s">
        <v>20</v>
      </c>
      <c r="H1661" t="str">
        <f>IF(Grammys[[#This Row],[date]] &gt;= DATE(2022, 2, 1), "Grammys", "Grammys + TRA")</f>
        <v>Grammys + TRA</v>
      </c>
      <c r="I1661">
        <f>_xlfn.XLOOKUP(Grammys[[#This Row],[date]], mobile_visits[date], mobile_visits[mobile_visitors], 0)</f>
        <v>0</v>
      </c>
    </row>
    <row r="1662" spans="1:9" x14ac:dyDescent="0.2">
      <c r="A1662" s="1">
        <v>44396</v>
      </c>
      <c r="B1662">
        <v>19044</v>
      </c>
      <c r="C1662">
        <v>35532</v>
      </c>
      <c r="D1662">
        <v>20570</v>
      </c>
      <c r="E1662">
        <v>9582</v>
      </c>
      <c r="F1662">
        <v>107</v>
      </c>
      <c r="G1662" t="s">
        <v>20</v>
      </c>
      <c r="H1662" t="str">
        <f>IF(Grammys[[#This Row],[date]] &gt;= DATE(2022, 2, 1), "Grammys", "Grammys + TRA")</f>
        <v>Grammys + TRA</v>
      </c>
      <c r="I1662">
        <f>_xlfn.XLOOKUP(Grammys[[#This Row],[date]], mobile_visits[date], mobile_visits[mobile_visitors], 0)</f>
        <v>0</v>
      </c>
    </row>
    <row r="1663" spans="1:9" x14ac:dyDescent="0.2">
      <c r="A1663" s="1">
        <v>44397</v>
      </c>
      <c r="B1663">
        <v>18707</v>
      </c>
      <c r="C1663">
        <v>33719</v>
      </c>
      <c r="D1663">
        <v>20190</v>
      </c>
      <c r="E1663">
        <v>9318</v>
      </c>
      <c r="F1663">
        <v>105</v>
      </c>
      <c r="G1663" t="s">
        <v>20</v>
      </c>
      <c r="H1663" t="str">
        <f>IF(Grammys[[#This Row],[date]] &gt;= DATE(2022, 2, 1), "Grammys", "Grammys + TRA")</f>
        <v>Grammys + TRA</v>
      </c>
      <c r="I1663">
        <f>_xlfn.XLOOKUP(Grammys[[#This Row],[date]], mobile_visits[date], mobile_visits[mobile_visitors], 0)</f>
        <v>0</v>
      </c>
    </row>
    <row r="1664" spans="1:9" x14ac:dyDescent="0.2">
      <c r="A1664" s="1">
        <v>44398</v>
      </c>
      <c r="B1664">
        <v>10969</v>
      </c>
      <c r="C1664">
        <v>18603</v>
      </c>
      <c r="D1664">
        <v>11851</v>
      </c>
      <c r="E1664">
        <v>5906</v>
      </c>
      <c r="F1664">
        <v>90</v>
      </c>
      <c r="G1664" t="s">
        <v>20</v>
      </c>
      <c r="H1664" t="str">
        <f>IF(Grammys[[#This Row],[date]] &gt;= DATE(2022, 2, 1), "Grammys", "Grammys + TRA")</f>
        <v>Grammys + TRA</v>
      </c>
      <c r="I1664">
        <f>_xlfn.XLOOKUP(Grammys[[#This Row],[date]], mobile_visits[date], mobile_visits[mobile_visitors], 0)</f>
        <v>0</v>
      </c>
    </row>
    <row r="1665" spans="1:9" x14ac:dyDescent="0.2">
      <c r="A1665" s="1">
        <v>44399</v>
      </c>
      <c r="B1665">
        <v>16948</v>
      </c>
      <c r="C1665">
        <v>30600</v>
      </c>
      <c r="D1665">
        <v>18244</v>
      </c>
      <c r="E1665">
        <v>9340</v>
      </c>
      <c r="F1665">
        <v>97</v>
      </c>
      <c r="G1665" t="s">
        <v>20</v>
      </c>
      <c r="H1665" t="str">
        <f>IF(Grammys[[#This Row],[date]] &gt;= DATE(2022, 2, 1), "Grammys", "Grammys + TRA")</f>
        <v>Grammys + TRA</v>
      </c>
      <c r="I1665">
        <f>_xlfn.XLOOKUP(Grammys[[#This Row],[date]], mobile_visits[date], mobile_visits[mobile_visitors], 0)</f>
        <v>0</v>
      </c>
    </row>
    <row r="1666" spans="1:9" x14ac:dyDescent="0.2">
      <c r="A1666" s="1">
        <v>44400</v>
      </c>
      <c r="B1666">
        <v>16681</v>
      </c>
      <c r="C1666">
        <v>28253</v>
      </c>
      <c r="D1666">
        <v>17745</v>
      </c>
      <c r="E1666">
        <v>9013</v>
      </c>
      <c r="F1666">
        <v>93</v>
      </c>
      <c r="G1666" t="s">
        <v>20</v>
      </c>
      <c r="H1666" t="str">
        <f>IF(Grammys[[#This Row],[date]] &gt;= DATE(2022, 2, 1), "Grammys", "Grammys + TRA")</f>
        <v>Grammys + TRA</v>
      </c>
      <c r="I1666">
        <f>_xlfn.XLOOKUP(Grammys[[#This Row],[date]], mobile_visits[date], mobile_visits[mobile_visitors], 0)</f>
        <v>0</v>
      </c>
    </row>
    <row r="1667" spans="1:9" x14ac:dyDescent="0.2">
      <c r="A1667" s="1">
        <v>44401</v>
      </c>
      <c r="B1667">
        <v>14609</v>
      </c>
      <c r="C1667">
        <v>24739</v>
      </c>
      <c r="D1667">
        <v>15704</v>
      </c>
      <c r="E1667">
        <v>8016</v>
      </c>
      <c r="F1667">
        <v>87</v>
      </c>
      <c r="G1667" t="s">
        <v>20</v>
      </c>
      <c r="H1667" t="str">
        <f>IF(Grammys[[#This Row],[date]] &gt;= DATE(2022, 2, 1), "Grammys", "Grammys + TRA")</f>
        <v>Grammys + TRA</v>
      </c>
      <c r="I1667">
        <f>_xlfn.XLOOKUP(Grammys[[#This Row],[date]], mobile_visits[date], mobile_visits[mobile_visitors], 0)</f>
        <v>0</v>
      </c>
    </row>
    <row r="1668" spans="1:9" x14ac:dyDescent="0.2">
      <c r="A1668" s="1">
        <v>44402</v>
      </c>
      <c r="B1668">
        <v>14828</v>
      </c>
      <c r="C1668">
        <v>25969</v>
      </c>
      <c r="D1668">
        <v>15880</v>
      </c>
      <c r="E1668">
        <v>7615</v>
      </c>
      <c r="F1668">
        <v>88</v>
      </c>
      <c r="G1668" t="s">
        <v>20</v>
      </c>
      <c r="H1668" t="str">
        <f>IF(Grammys[[#This Row],[date]] &gt;= DATE(2022, 2, 1), "Grammys", "Grammys + TRA")</f>
        <v>Grammys + TRA</v>
      </c>
      <c r="I1668">
        <f>_xlfn.XLOOKUP(Grammys[[#This Row],[date]], mobile_visits[date], mobile_visits[mobile_visitors], 0)</f>
        <v>0</v>
      </c>
    </row>
    <row r="1669" spans="1:9" x14ac:dyDescent="0.2">
      <c r="A1669" s="1">
        <v>44403</v>
      </c>
      <c r="B1669">
        <v>16757</v>
      </c>
      <c r="C1669">
        <v>31585</v>
      </c>
      <c r="D1669">
        <v>19604</v>
      </c>
      <c r="E1669">
        <v>9430</v>
      </c>
      <c r="F1669">
        <v>91</v>
      </c>
      <c r="G1669" t="s">
        <v>20</v>
      </c>
      <c r="H1669" t="str">
        <f>IF(Grammys[[#This Row],[date]] &gt;= DATE(2022, 2, 1), "Grammys", "Grammys + TRA")</f>
        <v>Grammys + TRA</v>
      </c>
      <c r="I1669">
        <f>_xlfn.XLOOKUP(Grammys[[#This Row],[date]], mobile_visits[date], mobile_visits[mobile_visitors], 0)</f>
        <v>0</v>
      </c>
    </row>
    <row r="1670" spans="1:9" x14ac:dyDescent="0.2">
      <c r="A1670" s="1">
        <v>44404</v>
      </c>
      <c r="B1670">
        <v>19312</v>
      </c>
      <c r="C1670">
        <v>36888</v>
      </c>
      <c r="D1670">
        <v>23161</v>
      </c>
      <c r="E1670">
        <v>10882</v>
      </c>
      <c r="F1670">
        <v>88</v>
      </c>
      <c r="G1670" t="s">
        <v>20</v>
      </c>
      <c r="H1670" t="str">
        <f>IF(Grammys[[#This Row],[date]] &gt;= DATE(2022, 2, 1), "Grammys", "Grammys + TRA")</f>
        <v>Grammys + TRA</v>
      </c>
      <c r="I1670">
        <f>_xlfn.XLOOKUP(Grammys[[#This Row],[date]], mobile_visits[date], mobile_visits[mobile_visitors], 0)</f>
        <v>0</v>
      </c>
    </row>
    <row r="1671" spans="1:9" x14ac:dyDescent="0.2">
      <c r="A1671" s="1">
        <v>44405</v>
      </c>
      <c r="B1671">
        <v>23775</v>
      </c>
      <c r="C1671">
        <v>42911</v>
      </c>
      <c r="D1671">
        <v>27884</v>
      </c>
      <c r="E1671">
        <v>12955</v>
      </c>
      <c r="F1671">
        <v>91</v>
      </c>
      <c r="G1671" t="s">
        <v>20</v>
      </c>
      <c r="H1671" t="str">
        <f>IF(Grammys[[#This Row],[date]] &gt;= DATE(2022, 2, 1), "Grammys", "Grammys + TRA")</f>
        <v>Grammys + TRA</v>
      </c>
      <c r="I1671">
        <f>_xlfn.XLOOKUP(Grammys[[#This Row],[date]], mobile_visits[date], mobile_visits[mobile_visitors], 0)</f>
        <v>0</v>
      </c>
    </row>
    <row r="1672" spans="1:9" x14ac:dyDescent="0.2">
      <c r="A1672" s="1">
        <v>44406</v>
      </c>
      <c r="B1672">
        <v>21540</v>
      </c>
      <c r="C1672">
        <v>39597</v>
      </c>
      <c r="D1672">
        <v>25496</v>
      </c>
      <c r="E1672">
        <v>12007</v>
      </c>
      <c r="F1672">
        <v>89</v>
      </c>
      <c r="G1672" t="s">
        <v>20</v>
      </c>
      <c r="H1672" t="str">
        <f>IF(Grammys[[#This Row],[date]] &gt;= DATE(2022, 2, 1), "Grammys", "Grammys + TRA")</f>
        <v>Grammys + TRA</v>
      </c>
      <c r="I1672">
        <f>_xlfn.XLOOKUP(Grammys[[#This Row],[date]], mobile_visits[date], mobile_visits[mobile_visitors], 0)</f>
        <v>0</v>
      </c>
    </row>
    <row r="1673" spans="1:9" x14ac:dyDescent="0.2">
      <c r="A1673" s="1">
        <v>44407</v>
      </c>
      <c r="B1673">
        <v>18069</v>
      </c>
      <c r="C1673">
        <v>34359</v>
      </c>
      <c r="D1673">
        <v>21997</v>
      </c>
      <c r="E1673">
        <v>10627</v>
      </c>
      <c r="F1673">
        <v>79</v>
      </c>
      <c r="G1673" t="s">
        <v>20</v>
      </c>
      <c r="H1673" t="str">
        <f>IF(Grammys[[#This Row],[date]] &gt;= DATE(2022, 2, 1), "Grammys", "Grammys + TRA")</f>
        <v>Grammys + TRA</v>
      </c>
      <c r="I1673">
        <f>_xlfn.XLOOKUP(Grammys[[#This Row],[date]], mobile_visits[date], mobile_visits[mobile_visitors], 0)</f>
        <v>0</v>
      </c>
    </row>
    <row r="1674" spans="1:9" x14ac:dyDescent="0.2">
      <c r="A1674" s="1">
        <v>44408</v>
      </c>
      <c r="B1674">
        <v>16834</v>
      </c>
      <c r="C1674">
        <v>31618</v>
      </c>
      <c r="D1674">
        <v>20501</v>
      </c>
      <c r="E1674">
        <v>9925</v>
      </c>
      <c r="F1674">
        <v>73</v>
      </c>
      <c r="G1674" t="s">
        <v>20</v>
      </c>
      <c r="H1674" t="str">
        <f>IF(Grammys[[#This Row],[date]] &gt;= DATE(2022, 2, 1), "Grammys", "Grammys + TRA")</f>
        <v>Grammys + TRA</v>
      </c>
      <c r="I1674">
        <f>_xlfn.XLOOKUP(Grammys[[#This Row],[date]], mobile_visits[date], mobile_visits[mobile_visitors], 0)</f>
        <v>0</v>
      </c>
    </row>
    <row r="1675" spans="1:9" x14ac:dyDescent="0.2">
      <c r="A1675" s="1">
        <v>44409</v>
      </c>
      <c r="B1675">
        <v>16418</v>
      </c>
      <c r="C1675">
        <v>30929</v>
      </c>
      <c r="D1675">
        <v>19925</v>
      </c>
      <c r="E1675">
        <v>9465</v>
      </c>
      <c r="F1675">
        <v>73</v>
      </c>
      <c r="G1675" t="s">
        <v>20</v>
      </c>
      <c r="H1675" t="str">
        <f>IF(Grammys[[#This Row],[date]] &gt;= DATE(2022, 2, 1), "Grammys", "Grammys + TRA")</f>
        <v>Grammys + TRA</v>
      </c>
      <c r="I1675">
        <f>_xlfn.XLOOKUP(Grammys[[#This Row],[date]], mobile_visits[date], mobile_visits[mobile_visitors], 0)</f>
        <v>0</v>
      </c>
    </row>
    <row r="1676" spans="1:9" x14ac:dyDescent="0.2">
      <c r="A1676" s="1">
        <v>44410</v>
      </c>
      <c r="B1676">
        <v>16442</v>
      </c>
      <c r="C1676">
        <v>31250</v>
      </c>
      <c r="D1676">
        <v>20004</v>
      </c>
      <c r="E1676">
        <v>9826</v>
      </c>
      <c r="F1676">
        <v>72</v>
      </c>
      <c r="G1676" t="s">
        <v>20</v>
      </c>
      <c r="H1676" t="str">
        <f>IF(Grammys[[#This Row],[date]] &gt;= DATE(2022, 2, 1), "Grammys", "Grammys + TRA")</f>
        <v>Grammys + TRA</v>
      </c>
      <c r="I1676">
        <f>_xlfn.XLOOKUP(Grammys[[#This Row],[date]], mobile_visits[date], mobile_visits[mobile_visitors], 0)</f>
        <v>0</v>
      </c>
    </row>
    <row r="1677" spans="1:9" x14ac:dyDescent="0.2">
      <c r="A1677" s="1">
        <v>44411</v>
      </c>
      <c r="B1677">
        <v>20982</v>
      </c>
      <c r="C1677">
        <v>39430</v>
      </c>
      <c r="D1677">
        <v>25036</v>
      </c>
      <c r="E1677">
        <v>12311</v>
      </c>
      <c r="F1677">
        <v>87</v>
      </c>
      <c r="G1677" t="s">
        <v>20</v>
      </c>
      <c r="H1677" t="str">
        <f>IF(Grammys[[#This Row],[date]] &gt;= DATE(2022, 2, 1), "Grammys", "Grammys + TRA")</f>
        <v>Grammys + TRA</v>
      </c>
      <c r="I1677">
        <f>_xlfn.XLOOKUP(Grammys[[#This Row],[date]], mobile_visits[date], mobile_visits[mobile_visitors], 0)</f>
        <v>0</v>
      </c>
    </row>
    <row r="1678" spans="1:9" x14ac:dyDescent="0.2">
      <c r="A1678" s="1">
        <v>44412</v>
      </c>
      <c r="B1678">
        <v>19295</v>
      </c>
      <c r="C1678">
        <v>34044</v>
      </c>
      <c r="D1678">
        <v>21045</v>
      </c>
      <c r="E1678">
        <v>11220</v>
      </c>
      <c r="F1678">
        <v>83</v>
      </c>
      <c r="G1678" t="s">
        <v>20</v>
      </c>
      <c r="H1678" t="str">
        <f>IF(Grammys[[#This Row],[date]] &gt;= DATE(2022, 2, 1), "Grammys", "Grammys + TRA")</f>
        <v>Grammys + TRA</v>
      </c>
      <c r="I1678">
        <f>_xlfn.XLOOKUP(Grammys[[#This Row],[date]], mobile_visits[date], mobile_visits[mobile_visitors], 0)</f>
        <v>0</v>
      </c>
    </row>
    <row r="1679" spans="1:9" x14ac:dyDescent="0.2">
      <c r="A1679" s="1">
        <v>44413</v>
      </c>
      <c r="B1679">
        <v>15833</v>
      </c>
      <c r="C1679">
        <v>27054</v>
      </c>
      <c r="D1679">
        <v>16913</v>
      </c>
      <c r="E1679">
        <v>8892</v>
      </c>
      <c r="F1679">
        <v>91</v>
      </c>
      <c r="G1679" t="s">
        <v>20</v>
      </c>
      <c r="H1679" t="str">
        <f>IF(Grammys[[#This Row],[date]] &gt;= DATE(2022, 2, 1), "Grammys", "Grammys + TRA")</f>
        <v>Grammys + TRA</v>
      </c>
      <c r="I1679">
        <f>_xlfn.XLOOKUP(Grammys[[#This Row],[date]], mobile_visits[date], mobile_visits[mobile_visitors], 0)</f>
        <v>0</v>
      </c>
    </row>
    <row r="1680" spans="1:9" x14ac:dyDescent="0.2">
      <c r="A1680" s="1">
        <v>44414</v>
      </c>
      <c r="B1680">
        <v>14298</v>
      </c>
      <c r="C1680">
        <v>24571</v>
      </c>
      <c r="D1680">
        <v>15201</v>
      </c>
      <c r="E1680">
        <v>8238</v>
      </c>
      <c r="F1680">
        <v>88</v>
      </c>
      <c r="G1680" t="s">
        <v>20</v>
      </c>
      <c r="H1680" t="str">
        <f>IF(Grammys[[#This Row],[date]] &gt;= DATE(2022, 2, 1), "Grammys", "Grammys + TRA")</f>
        <v>Grammys + TRA</v>
      </c>
      <c r="I1680">
        <f>_xlfn.XLOOKUP(Grammys[[#This Row],[date]], mobile_visits[date], mobile_visits[mobile_visitors], 0)</f>
        <v>0</v>
      </c>
    </row>
    <row r="1681" spans="1:9" x14ac:dyDescent="0.2">
      <c r="A1681" s="1">
        <v>44415</v>
      </c>
      <c r="B1681">
        <v>13068</v>
      </c>
      <c r="C1681">
        <v>22430</v>
      </c>
      <c r="D1681">
        <v>13944</v>
      </c>
      <c r="E1681">
        <v>7474</v>
      </c>
      <c r="F1681">
        <v>80</v>
      </c>
      <c r="G1681" t="s">
        <v>20</v>
      </c>
      <c r="H1681" t="str">
        <f>IF(Grammys[[#This Row],[date]] &gt;= DATE(2022, 2, 1), "Grammys", "Grammys + TRA")</f>
        <v>Grammys + TRA</v>
      </c>
      <c r="I1681">
        <f>_xlfn.XLOOKUP(Grammys[[#This Row],[date]], mobile_visits[date], mobile_visits[mobile_visitors], 0)</f>
        <v>0</v>
      </c>
    </row>
    <row r="1682" spans="1:9" x14ac:dyDescent="0.2">
      <c r="A1682" s="1">
        <v>44416</v>
      </c>
      <c r="B1682">
        <v>12973</v>
      </c>
      <c r="C1682">
        <v>22720</v>
      </c>
      <c r="D1682">
        <v>13846</v>
      </c>
      <c r="E1682">
        <v>7241</v>
      </c>
      <c r="F1682">
        <v>84</v>
      </c>
      <c r="G1682" t="s">
        <v>20</v>
      </c>
      <c r="H1682" t="str">
        <f>IF(Grammys[[#This Row],[date]] &gt;= DATE(2022, 2, 1), "Grammys", "Grammys + TRA")</f>
        <v>Grammys + TRA</v>
      </c>
      <c r="I1682">
        <f>_xlfn.XLOOKUP(Grammys[[#This Row],[date]], mobile_visits[date], mobile_visits[mobile_visitors], 0)</f>
        <v>0</v>
      </c>
    </row>
    <row r="1683" spans="1:9" x14ac:dyDescent="0.2">
      <c r="A1683" s="1">
        <v>44417</v>
      </c>
      <c r="B1683">
        <v>14215</v>
      </c>
      <c r="C1683">
        <v>24965</v>
      </c>
      <c r="D1683">
        <v>15281</v>
      </c>
      <c r="E1683">
        <v>7840</v>
      </c>
      <c r="F1683">
        <v>85</v>
      </c>
      <c r="G1683" t="s">
        <v>20</v>
      </c>
      <c r="H1683" t="str">
        <f>IF(Grammys[[#This Row],[date]] &gt;= DATE(2022, 2, 1), "Grammys", "Grammys + TRA")</f>
        <v>Grammys + TRA</v>
      </c>
      <c r="I1683">
        <f>_xlfn.XLOOKUP(Grammys[[#This Row],[date]], mobile_visits[date], mobile_visits[mobile_visitors], 0)</f>
        <v>0</v>
      </c>
    </row>
    <row r="1684" spans="1:9" x14ac:dyDescent="0.2">
      <c r="A1684" s="1">
        <v>44418</v>
      </c>
      <c r="B1684">
        <v>13726</v>
      </c>
      <c r="C1684">
        <v>24367</v>
      </c>
      <c r="D1684">
        <v>14781</v>
      </c>
      <c r="E1684">
        <v>7929</v>
      </c>
      <c r="F1684">
        <v>87</v>
      </c>
      <c r="G1684" t="s">
        <v>20</v>
      </c>
      <c r="H1684" t="str">
        <f>IF(Grammys[[#This Row],[date]] &gt;= DATE(2022, 2, 1), "Grammys", "Grammys + TRA")</f>
        <v>Grammys + TRA</v>
      </c>
      <c r="I1684">
        <f>_xlfn.XLOOKUP(Grammys[[#This Row],[date]], mobile_visits[date], mobile_visits[mobile_visitors], 0)</f>
        <v>0</v>
      </c>
    </row>
    <row r="1685" spans="1:9" x14ac:dyDescent="0.2">
      <c r="A1685" s="1">
        <v>44419</v>
      </c>
      <c r="B1685">
        <v>14738</v>
      </c>
      <c r="C1685">
        <v>26681</v>
      </c>
      <c r="D1685">
        <v>15873</v>
      </c>
      <c r="E1685">
        <v>8254</v>
      </c>
      <c r="F1685">
        <v>81</v>
      </c>
      <c r="G1685" t="s">
        <v>20</v>
      </c>
      <c r="H1685" t="str">
        <f>IF(Grammys[[#This Row],[date]] &gt;= DATE(2022, 2, 1), "Grammys", "Grammys + TRA")</f>
        <v>Grammys + TRA</v>
      </c>
      <c r="I1685">
        <f>_xlfn.XLOOKUP(Grammys[[#This Row],[date]], mobile_visits[date], mobile_visits[mobile_visitors], 0)</f>
        <v>0</v>
      </c>
    </row>
    <row r="1686" spans="1:9" x14ac:dyDescent="0.2">
      <c r="A1686" s="1">
        <v>44420</v>
      </c>
      <c r="B1686">
        <v>15813</v>
      </c>
      <c r="C1686">
        <v>28001</v>
      </c>
      <c r="D1686">
        <v>17140</v>
      </c>
      <c r="E1686">
        <v>8795</v>
      </c>
      <c r="F1686">
        <v>85</v>
      </c>
      <c r="G1686" t="s">
        <v>20</v>
      </c>
      <c r="H1686" t="str">
        <f>IF(Grammys[[#This Row],[date]] &gt;= DATE(2022, 2, 1), "Grammys", "Grammys + TRA")</f>
        <v>Grammys + TRA</v>
      </c>
      <c r="I1686">
        <f>_xlfn.XLOOKUP(Grammys[[#This Row],[date]], mobile_visits[date], mobile_visits[mobile_visitors], 0)</f>
        <v>0</v>
      </c>
    </row>
    <row r="1687" spans="1:9" x14ac:dyDescent="0.2">
      <c r="A1687" s="1">
        <v>44421</v>
      </c>
      <c r="B1687">
        <v>14781</v>
      </c>
      <c r="C1687">
        <v>25148</v>
      </c>
      <c r="D1687">
        <v>15699</v>
      </c>
      <c r="E1687">
        <v>8020</v>
      </c>
      <c r="F1687">
        <v>86</v>
      </c>
      <c r="G1687" t="s">
        <v>20</v>
      </c>
      <c r="H1687" t="str">
        <f>IF(Grammys[[#This Row],[date]] &gt;= DATE(2022, 2, 1), "Grammys", "Grammys + TRA")</f>
        <v>Grammys + TRA</v>
      </c>
      <c r="I1687">
        <f>_xlfn.XLOOKUP(Grammys[[#This Row],[date]], mobile_visits[date], mobile_visits[mobile_visitors], 0)</f>
        <v>0</v>
      </c>
    </row>
    <row r="1688" spans="1:9" x14ac:dyDescent="0.2">
      <c r="A1688" s="1">
        <v>44422</v>
      </c>
      <c r="B1688">
        <v>14380</v>
      </c>
      <c r="C1688">
        <v>24175</v>
      </c>
      <c r="D1688">
        <v>15274</v>
      </c>
      <c r="E1688">
        <v>8198</v>
      </c>
      <c r="F1688">
        <v>74</v>
      </c>
      <c r="G1688" t="s">
        <v>20</v>
      </c>
      <c r="H1688" t="str">
        <f>IF(Grammys[[#This Row],[date]] &gt;= DATE(2022, 2, 1), "Grammys", "Grammys + TRA")</f>
        <v>Grammys + TRA</v>
      </c>
      <c r="I1688">
        <f>_xlfn.XLOOKUP(Grammys[[#This Row],[date]], mobile_visits[date], mobile_visits[mobile_visitors], 0)</f>
        <v>0</v>
      </c>
    </row>
    <row r="1689" spans="1:9" x14ac:dyDescent="0.2">
      <c r="A1689" s="1">
        <v>44423</v>
      </c>
      <c r="B1689">
        <v>12557</v>
      </c>
      <c r="C1689">
        <v>21825</v>
      </c>
      <c r="D1689">
        <v>13352</v>
      </c>
      <c r="E1689">
        <v>6948</v>
      </c>
      <c r="F1689">
        <v>83</v>
      </c>
      <c r="G1689" t="s">
        <v>20</v>
      </c>
      <c r="H1689" t="str">
        <f>IF(Grammys[[#This Row],[date]] &gt;= DATE(2022, 2, 1), "Grammys", "Grammys + TRA")</f>
        <v>Grammys + TRA</v>
      </c>
      <c r="I1689">
        <f>_xlfn.XLOOKUP(Grammys[[#This Row],[date]], mobile_visits[date], mobile_visits[mobile_visitors], 0)</f>
        <v>0</v>
      </c>
    </row>
    <row r="1690" spans="1:9" x14ac:dyDescent="0.2">
      <c r="A1690" s="1">
        <v>44424</v>
      </c>
      <c r="B1690">
        <v>12654</v>
      </c>
      <c r="C1690">
        <v>23446</v>
      </c>
      <c r="D1690">
        <v>13831</v>
      </c>
      <c r="E1690">
        <v>7255</v>
      </c>
      <c r="F1690">
        <v>88</v>
      </c>
      <c r="G1690" t="s">
        <v>20</v>
      </c>
      <c r="H1690" t="str">
        <f>IF(Grammys[[#This Row],[date]] &gt;= DATE(2022, 2, 1), "Grammys", "Grammys + TRA")</f>
        <v>Grammys + TRA</v>
      </c>
      <c r="I1690">
        <f>_xlfn.XLOOKUP(Grammys[[#This Row],[date]], mobile_visits[date], mobile_visits[mobile_visitors], 0)</f>
        <v>0</v>
      </c>
    </row>
    <row r="1691" spans="1:9" x14ac:dyDescent="0.2">
      <c r="A1691" s="1">
        <v>44425</v>
      </c>
      <c r="B1691">
        <v>12971</v>
      </c>
      <c r="C1691">
        <v>23157</v>
      </c>
      <c r="D1691">
        <v>13831</v>
      </c>
      <c r="E1691">
        <v>7150</v>
      </c>
      <c r="F1691">
        <v>86</v>
      </c>
      <c r="G1691" t="s">
        <v>20</v>
      </c>
      <c r="H1691" t="str">
        <f>IF(Grammys[[#This Row],[date]] &gt;= DATE(2022, 2, 1), "Grammys", "Grammys + TRA")</f>
        <v>Grammys + TRA</v>
      </c>
      <c r="I1691">
        <f>_xlfn.XLOOKUP(Grammys[[#This Row],[date]], mobile_visits[date], mobile_visits[mobile_visitors], 0)</f>
        <v>0</v>
      </c>
    </row>
    <row r="1692" spans="1:9" x14ac:dyDescent="0.2">
      <c r="A1692" s="1">
        <v>44426</v>
      </c>
      <c r="B1692">
        <v>14774</v>
      </c>
      <c r="C1692">
        <v>25920</v>
      </c>
      <c r="D1692">
        <v>15799</v>
      </c>
      <c r="E1692">
        <v>7720</v>
      </c>
      <c r="F1692">
        <v>94</v>
      </c>
      <c r="G1692" t="s">
        <v>20</v>
      </c>
      <c r="H1692" t="str">
        <f>IF(Grammys[[#This Row],[date]] &gt;= DATE(2022, 2, 1), "Grammys", "Grammys + TRA")</f>
        <v>Grammys + TRA</v>
      </c>
      <c r="I1692">
        <f>_xlfn.XLOOKUP(Grammys[[#This Row],[date]], mobile_visits[date], mobile_visits[mobile_visitors], 0)</f>
        <v>0</v>
      </c>
    </row>
    <row r="1693" spans="1:9" x14ac:dyDescent="0.2">
      <c r="A1693" s="1">
        <v>44427</v>
      </c>
      <c r="B1693">
        <v>14641</v>
      </c>
      <c r="C1693">
        <v>25385</v>
      </c>
      <c r="D1693">
        <v>15603</v>
      </c>
      <c r="E1693">
        <v>7991</v>
      </c>
      <c r="F1693">
        <v>87</v>
      </c>
      <c r="G1693" t="s">
        <v>20</v>
      </c>
      <c r="H1693" t="str">
        <f>IF(Grammys[[#This Row],[date]] &gt;= DATE(2022, 2, 1), "Grammys", "Grammys + TRA")</f>
        <v>Grammys + TRA</v>
      </c>
      <c r="I1693">
        <f>_xlfn.XLOOKUP(Grammys[[#This Row],[date]], mobile_visits[date], mobile_visits[mobile_visitors], 0)</f>
        <v>0</v>
      </c>
    </row>
    <row r="1694" spans="1:9" x14ac:dyDescent="0.2">
      <c r="A1694" s="1">
        <v>44428</v>
      </c>
      <c r="B1694">
        <v>13906</v>
      </c>
      <c r="C1694">
        <v>24409</v>
      </c>
      <c r="D1694">
        <v>14913</v>
      </c>
      <c r="E1694">
        <v>7854</v>
      </c>
      <c r="F1694">
        <v>82</v>
      </c>
      <c r="G1694" t="s">
        <v>20</v>
      </c>
      <c r="H1694" t="str">
        <f>IF(Grammys[[#This Row],[date]] &gt;= DATE(2022, 2, 1), "Grammys", "Grammys + TRA")</f>
        <v>Grammys + TRA</v>
      </c>
      <c r="I1694">
        <f>_xlfn.XLOOKUP(Grammys[[#This Row],[date]], mobile_visits[date], mobile_visits[mobile_visitors], 0)</f>
        <v>0</v>
      </c>
    </row>
    <row r="1695" spans="1:9" x14ac:dyDescent="0.2">
      <c r="A1695" s="1">
        <v>44429</v>
      </c>
      <c r="B1695">
        <v>13653</v>
      </c>
      <c r="C1695">
        <v>23262</v>
      </c>
      <c r="D1695">
        <v>14648</v>
      </c>
      <c r="E1695">
        <v>7748</v>
      </c>
      <c r="F1695">
        <v>79</v>
      </c>
      <c r="G1695" t="s">
        <v>20</v>
      </c>
      <c r="H1695" t="str">
        <f>IF(Grammys[[#This Row],[date]] &gt;= DATE(2022, 2, 1), "Grammys", "Grammys + TRA")</f>
        <v>Grammys + TRA</v>
      </c>
      <c r="I1695">
        <f>_xlfn.XLOOKUP(Grammys[[#This Row],[date]], mobile_visits[date], mobile_visits[mobile_visitors], 0)</f>
        <v>0</v>
      </c>
    </row>
    <row r="1696" spans="1:9" x14ac:dyDescent="0.2">
      <c r="A1696" s="1">
        <v>44430</v>
      </c>
      <c r="B1696">
        <v>16712</v>
      </c>
      <c r="C1696">
        <v>30807</v>
      </c>
      <c r="D1696">
        <v>19583</v>
      </c>
      <c r="E1696">
        <v>10137</v>
      </c>
      <c r="F1696">
        <v>76</v>
      </c>
      <c r="G1696" t="s">
        <v>20</v>
      </c>
      <c r="H1696" t="str">
        <f>IF(Grammys[[#This Row],[date]] &gt;= DATE(2022, 2, 1), "Grammys", "Grammys + TRA")</f>
        <v>Grammys + TRA</v>
      </c>
      <c r="I1696">
        <f>_xlfn.XLOOKUP(Grammys[[#This Row],[date]], mobile_visits[date], mobile_visits[mobile_visitors], 0)</f>
        <v>0</v>
      </c>
    </row>
    <row r="1697" spans="1:9" x14ac:dyDescent="0.2">
      <c r="A1697" s="1">
        <v>44431</v>
      </c>
      <c r="B1697">
        <v>16409</v>
      </c>
      <c r="C1697">
        <v>31126</v>
      </c>
      <c r="D1697">
        <v>19217</v>
      </c>
      <c r="E1697">
        <v>9649</v>
      </c>
      <c r="F1697">
        <v>77</v>
      </c>
      <c r="G1697" t="s">
        <v>20</v>
      </c>
      <c r="H1697" t="str">
        <f>IF(Grammys[[#This Row],[date]] &gt;= DATE(2022, 2, 1), "Grammys", "Grammys + TRA")</f>
        <v>Grammys + TRA</v>
      </c>
      <c r="I1697">
        <f>_xlfn.XLOOKUP(Grammys[[#This Row],[date]], mobile_visits[date], mobile_visits[mobile_visitors], 0)</f>
        <v>0</v>
      </c>
    </row>
    <row r="1698" spans="1:9" x14ac:dyDescent="0.2">
      <c r="A1698" s="1">
        <v>44432</v>
      </c>
      <c r="B1698">
        <v>16858</v>
      </c>
      <c r="C1698">
        <v>31394</v>
      </c>
      <c r="D1698">
        <v>19705</v>
      </c>
      <c r="E1698">
        <v>9969</v>
      </c>
      <c r="F1698">
        <v>78</v>
      </c>
      <c r="G1698" t="s">
        <v>20</v>
      </c>
      <c r="H1698" t="str">
        <f>IF(Grammys[[#This Row],[date]] &gt;= DATE(2022, 2, 1), "Grammys", "Grammys + TRA")</f>
        <v>Grammys + TRA</v>
      </c>
      <c r="I1698">
        <f>_xlfn.XLOOKUP(Grammys[[#This Row],[date]], mobile_visits[date], mobile_visits[mobile_visitors], 0)</f>
        <v>0</v>
      </c>
    </row>
    <row r="1699" spans="1:9" x14ac:dyDescent="0.2">
      <c r="A1699" s="1">
        <v>44433</v>
      </c>
      <c r="B1699">
        <v>17136</v>
      </c>
      <c r="C1699">
        <v>32042</v>
      </c>
      <c r="D1699">
        <v>19821</v>
      </c>
      <c r="E1699">
        <v>9697</v>
      </c>
      <c r="F1699">
        <v>83</v>
      </c>
      <c r="G1699" t="s">
        <v>20</v>
      </c>
      <c r="H1699" t="str">
        <f>IF(Grammys[[#This Row],[date]] &gt;= DATE(2022, 2, 1), "Grammys", "Grammys + TRA")</f>
        <v>Grammys + TRA</v>
      </c>
      <c r="I1699">
        <f>_xlfn.XLOOKUP(Grammys[[#This Row],[date]], mobile_visits[date], mobile_visits[mobile_visitors], 0)</f>
        <v>0</v>
      </c>
    </row>
    <row r="1700" spans="1:9" x14ac:dyDescent="0.2">
      <c r="A1700" s="1">
        <v>44434</v>
      </c>
      <c r="B1700">
        <v>16069</v>
      </c>
      <c r="C1700">
        <v>30681</v>
      </c>
      <c r="D1700">
        <v>19094</v>
      </c>
      <c r="E1700">
        <v>9582</v>
      </c>
      <c r="F1700">
        <v>77</v>
      </c>
      <c r="G1700" t="s">
        <v>20</v>
      </c>
      <c r="H1700" t="str">
        <f>IF(Grammys[[#This Row],[date]] &gt;= DATE(2022, 2, 1), "Grammys", "Grammys + TRA")</f>
        <v>Grammys + TRA</v>
      </c>
      <c r="I1700">
        <f>_xlfn.XLOOKUP(Grammys[[#This Row],[date]], mobile_visits[date], mobile_visits[mobile_visitors], 0)</f>
        <v>0</v>
      </c>
    </row>
    <row r="1701" spans="1:9" x14ac:dyDescent="0.2">
      <c r="A1701" s="1">
        <v>44435</v>
      </c>
      <c r="B1701">
        <v>17614</v>
      </c>
      <c r="C1701">
        <v>35499</v>
      </c>
      <c r="D1701">
        <v>22900</v>
      </c>
      <c r="E1701">
        <v>11189</v>
      </c>
      <c r="F1701">
        <v>73</v>
      </c>
      <c r="G1701" t="s">
        <v>20</v>
      </c>
      <c r="H1701" t="str">
        <f>IF(Grammys[[#This Row],[date]] &gt;= DATE(2022, 2, 1), "Grammys", "Grammys + TRA")</f>
        <v>Grammys + TRA</v>
      </c>
      <c r="I1701">
        <f>_xlfn.XLOOKUP(Grammys[[#This Row],[date]], mobile_visits[date], mobile_visits[mobile_visitors], 0)</f>
        <v>0</v>
      </c>
    </row>
    <row r="1702" spans="1:9" x14ac:dyDescent="0.2">
      <c r="A1702" s="1">
        <v>44436</v>
      </c>
      <c r="B1702">
        <v>17483</v>
      </c>
      <c r="C1702">
        <v>35329</v>
      </c>
      <c r="D1702">
        <v>22569</v>
      </c>
      <c r="E1702">
        <v>10700</v>
      </c>
      <c r="F1702">
        <v>73</v>
      </c>
      <c r="G1702" t="s">
        <v>20</v>
      </c>
      <c r="H1702" t="str">
        <f>IF(Grammys[[#This Row],[date]] &gt;= DATE(2022, 2, 1), "Grammys", "Grammys + TRA")</f>
        <v>Grammys + TRA</v>
      </c>
      <c r="I1702">
        <f>_xlfn.XLOOKUP(Grammys[[#This Row],[date]], mobile_visits[date], mobile_visits[mobile_visitors], 0)</f>
        <v>0</v>
      </c>
    </row>
    <row r="1703" spans="1:9" x14ac:dyDescent="0.2">
      <c r="A1703" s="1">
        <v>44437</v>
      </c>
      <c r="B1703">
        <v>18613</v>
      </c>
      <c r="C1703">
        <v>36847</v>
      </c>
      <c r="D1703">
        <v>23791</v>
      </c>
      <c r="E1703">
        <v>11660</v>
      </c>
      <c r="F1703">
        <v>70</v>
      </c>
      <c r="G1703" t="s">
        <v>20</v>
      </c>
      <c r="H1703" t="str">
        <f>IF(Grammys[[#This Row],[date]] &gt;= DATE(2022, 2, 1), "Grammys", "Grammys + TRA")</f>
        <v>Grammys + TRA</v>
      </c>
      <c r="I1703">
        <f>_xlfn.XLOOKUP(Grammys[[#This Row],[date]], mobile_visits[date], mobile_visits[mobile_visitors], 0)</f>
        <v>0</v>
      </c>
    </row>
    <row r="1704" spans="1:9" x14ac:dyDescent="0.2">
      <c r="A1704" s="1">
        <v>44438</v>
      </c>
      <c r="B1704">
        <v>18752</v>
      </c>
      <c r="C1704">
        <v>38287</v>
      </c>
      <c r="D1704">
        <v>23932</v>
      </c>
      <c r="E1704">
        <v>11196</v>
      </c>
      <c r="F1704">
        <v>75</v>
      </c>
      <c r="G1704" t="s">
        <v>20</v>
      </c>
      <c r="H1704" t="str">
        <f>IF(Grammys[[#This Row],[date]] &gt;= DATE(2022, 2, 1), "Grammys", "Grammys + TRA")</f>
        <v>Grammys + TRA</v>
      </c>
      <c r="I1704">
        <f>_xlfn.XLOOKUP(Grammys[[#This Row],[date]], mobile_visits[date], mobile_visits[mobile_visitors], 0)</f>
        <v>0</v>
      </c>
    </row>
    <row r="1705" spans="1:9" x14ac:dyDescent="0.2">
      <c r="A1705" s="1">
        <v>44439</v>
      </c>
      <c r="B1705">
        <v>18262</v>
      </c>
      <c r="C1705">
        <v>37492</v>
      </c>
      <c r="D1705">
        <v>23600</v>
      </c>
      <c r="E1705">
        <v>11338</v>
      </c>
      <c r="F1705">
        <v>74</v>
      </c>
      <c r="G1705" t="s">
        <v>20</v>
      </c>
      <c r="H1705" t="str">
        <f>IF(Grammys[[#This Row],[date]] &gt;= DATE(2022, 2, 1), "Grammys", "Grammys + TRA")</f>
        <v>Grammys + TRA</v>
      </c>
      <c r="I1705">
        <f>_xlfn.XLOOKUP(Grammys[[#This Row],[date]], mobile_visits[date], mobile_visits[mobile_visitors], 0)</f>
        <v>0</v>
      </c>
    </row>
    <row r="1706" spans="1:9" x14ac:dyDescent="0.2">
      <c r="A1706" s="1">
        <v>44440</v>
      </c>
      <c r="B1706">
        <v>17929</v>
      </c>
      <c r="C1706">
        <v>35892</v>
      </c>
      <c r="D1706">
        <v>22688</v>
      </c>
      <c r="E1706">
        <v>11009</v>
      </c>
      <c r="F1706">
        <v>71</v>
      </c>
      <c r="G1706" t="s">
        <v>20</v>
      </c>
      <c r="H1706" t="str">
        <f>IF(Grammys[[#This Row],[date]] &gt;= DATE(2022, 2, 1), "Grammys", "Grammys + TRA")</f>
        <v>Grammys + TRA</v>
      </c>
      <c r="I1706">
        <f>_xlfn.XLOOKUP(Grammys[[#This Row],[date]], mobile_visits[date], mobile_visits[mobile_visitors], 0)</f>
        <v>0</v>
      </c>
    </row>
    <row r="1707" spans="1:9" x14ac:dyDescent="0.2">
      <c r="A1707" s="1">
        <v>44441</v>
      </c>
      <c r="B1707">
        <v>18081</v>
      </c>
      <c r="C1707">
        <v>35607</v>
      </c>
      <c r="D1707">
        <v>22773</v>
      </c>
      <c r="E1707">
        <v>11105</v>
      </c>
      <c r="F1707">
        <v>70</v>
      </c>
      <c r="G1707" t="s">
        <v>20</v>
      </c>
      <c r="H1707" t="str">
        <f>IF(Grammys[[#This Row],[date]] &gt;= DATE(2022, 2, 1), "Grammys", "Grammys + TRA")</f>
        <v>Grammys + TRA</v>
      </c>
      <c r="I1707">
        <f>_xlfn.XLOOKUP(Grammys[[#This Row],[date]], mobile_visits[date], mobile_visits[mobile_visitors], 0)</f>
        <v>0</v>
      </c>
    </row>
    <row r="1708" spans="1:9" x14ac:dyDescent="0.2">
      <c r="A1708" s="1">
        <v>44442</v>
      </c>
      <c r="B1708">
        <v>18879</v>
      </c>
      <c r="C1708">
        <v>36624</v>
      </c>
      <c r="D1708">
        <v>23725</v>
      </c>
      <c r="E1708">
        <v>11649</v>
      </c>
      <c r="F1708">
        <v>68</v>
      </c>
      <c r="G1708" t="s">
        <v>20</v>
      </c>
      <c r="H1708" t="str">
        <f>IF(Grammys[[#This Row],[date]] &gt;= DATE(2022, 2, 1), "Grammys", "Grammys + TRA")</f>
        <v>Grammys + TRA</v>
      </c>
      <c r="I1708">
        <f>_xlfn.XLOOKUP(Grammys[[#This Row],[date]], mobile_visits[date], mobile_visits[mobile_visitors], 0)</f>
        <v>0</v>
      </c>
    </row>
    <row r="1709" spans="1:9" x14ac:dyDescent="0.2">
      <c r="A1709" s="1">
        <v>44443</v>
      </c>
      <c r="B1709">
        <v>16036</v>
      </c>
      <c r="C1709">
        <v>27666</v>
      </c>
      <c r="D1709">
        <v>17742</v>
      </c>
      <c r="E1709">
        <v>9022</v>
      </c>
      <c r="F1709">
        <v>72</v>
      </c>
      <c r="G1709" t="s">
        <v>20</v>
      </c>
      <c r="H1709" t="str">
        <f>IF(Grammys[[#This Row],[date]] &gt;= DATE(2022, 2, 1), "Grammys", "Grammys + TRA")</f>
        <v>Grammys + TRA</v>
      </c>
      <c r="I1709">
        <f>_xlfn.XLOOKUP(Grammys[[#This Row],[date]], mobile_visits[date], mobile_visits[mobile_visitors], 0)</f>
        <v>0</v>
      </c>
    </row>
    <row r="1710" spans="1:9" x14ac:dyDescent="0.2">
      <c r="A1710" s="1">
        <v>44444</v>
      </c>
      <c r="B1710">
        <v>16062</v>
      </c>
      <c r="C1710">
        <v>28619</v>
      </c>
      <c r="D1710">
        <v>17913</v>
      </c>
      <c r="E1710">
        <v>9090</v>
      </c>
      <c r="F1710">
        <v>75</v>
      </c>
      <c r="G1710" t="s">
        <v>20</v>
      </c>
      <c r="H1710" t="str">
        <f>IF(Grammys[[#This Row],[date]] &gt;= DATE(2022, 2, 1), "Grammys", "Grammys + TRA")</f>
        <v>Grammys + TRA</v>
      </c>
      <c r="I1710">
        <f>_xlfn.XLOOKUP(Grammys[[#This Row],[date]], mobile_visits[date], mobile_visits[mobile_visitors], 0)</f>
        <v>0</v>
      </c>
    </row>
    <row r="1711" spans="1:9" x14ac:dyDescent="0.2">
      <c r="A1711" s="1">
        <v>44445</v>
      </c>
      <c r="B1711">
        <v>15145</v>
      </c>
      <c r="C1711">
        <v>27159</v>
      </c>
      <c r="D1711">
        <v>16909</v>
      </c>
      <c r="E1711">
        <v>8482</v>
      </c>
      <c r="F1711">
        <v>74</v>
      </c>
      <c r="G1711" t="s">
        <v>20</v>
      </c>
      <c r="H1711" t="str">
        <f>IF(Grammys[[#This Row],[date]] &gt;= DATE(2022, 2, 1), "Grammys", "Grammys + TRA")</f>
        <v>Grammys + TRA</v>
      </c>
      <c r="I1711">
        <f>_xlfn.XLOOKUP(Grammys[[#This Row],[date]], mobile_visits[date], mobile_visits[mobile_visitors], 0)</f>
        <v>0</v>
      </c>
    </row>
    <row r="1712" spans="1:9" x14ac:dyDescent="0.2">
      <c r="A1712" s="1">
        <v>44446</v>
      </c>
      <c r="B1712">
        <v>15037</v>
      </c>
      <c r="C1712">
        <v>27603</v>
      </c>
      <c r="D1712">
        <v>16876</v>
      </c>
      <c r="E1712">
        <v>8609</v>
      </c>
      <c r="F1712">
        <v>77</v>
      </c>
      <c r="G1712" t="s">
        <v>20</v>
      </c>
      <c r="H1712" t="str">
        <f>IF(Grammys[[#This Row],[date]] &gt;= DATE(2022, 2, 1), "Grammys", "Grammys + TRA")</f>
        <v>Grammys + TRA</v>
      </c>
      <c r="I1712">
        <f>_xlfn.XLOOKUP(Grammys[[#This Row],[date]], mobile_visits[date], mobile_visits[mobile_visitors], 0)</f>
        <v>0</v>
      </c>
    </row>
    <row r="1713" spans="1:9" x14ac:dyDescent="0.2">
      <c r="A1713" s="1">
        <v>44447</v>
      </c>
      <c r="B1713">
        <v>15166</v>
      </c>
      <c r="C1713">
        <v>28142</v>
      </c>
      <c r="D1713">
        <v>17117</v>
      </c>
      <c r="E1713">
        <v>8638</v>
      </c>
      <c r="F1713">
        <v>81</v>
      </c>
      <c r="G1713" t="s">
        <v>20</v>
      </c>
      <c r="H1713" t="str">
        <f>IF(Grammys[[#This Row],[date]] &gt;= DATE(2022, 2, 1), "Grammys", "Grammys + TRA")</f>
        <v>Grammys + TRA</v>
      </c>
      <c r="I1713">
        <f>_xlfn.XLOOKUP(Grammys[[#This Row],[date]], mobile_visits[date], mobile_visits[mobile_visitors], 0)</f>
        <v>0</v>
      </c>
    </row>
    <row r="1714" spans="1:9" x14ac:dyDescent="0.2">
      <c r="A1714" s="1">
        <v>44448</v>
      </c>
      <c r="B1714">
        <v>18827</v>
      </c>
      <c r="C1714">
        <v>32688</v>
      </c>
      <c r="D1714">
        <v>20870</v>
      </c>
      <c r="E1714">
        <v>9826</v>
      </c>
      <c r="F1714">
        <v>103</v>
      </c>
      <c r="G1714" t="s">
        <v>20</v>
      </c>
      <c r="H1714" t="str">
        <f>IF(Grammys[[#This Row],[date]] &gt;= DATE(2022, 2, 1), "Grammys", "Grammys + TRA")</f>
        <v>Grammys + TRA</v>
      </c>
      <c r="I1714">
        <f>_xlfn.XLOOKUP(Grammys[[#This Row],[date]], mobile_visits[date], mobile_visits[mobile_visitors], 0)</f>
        <v>0</v>
      </c>
    </row>
    <row r="1715" spans="1:9" x14ac:dyDescent="0.2">
      <c r="A1715" s="1">
        <v>44449</v>
      </c>
      <c r="B1715">
        <v>19193</v>
      </c>
      <c r="C1715">
        <v>32630</v>
      </c>
      <c r="D1715">
        <v>21030</v>
      </c>
      <c r="E1715">
        <v>10217</v>
      </c>
      <c r="F1715">
        <v>86</v>
      </c>
      <c r="G1715" t="s">
        <v>20</v>
      </c>
      <c r="H1715" t="str">
        <f>IF(Grammys[[#This Row],[date]] &gt;= DATE(2022, 2, 1), "Grammys", "Grammys + TRA")</f>
        <v>Grammys + TRA</v>
      </c>
      <c r="I1715">
        <f>_xlfn.XLOOKUP(Grammys[[#This Row],[date]], mobile_visits[date], mobile_visits[mobile_visitors], 0)</f>
        <v>0</v>
      </c>
    </row>
    <row r="1716" spans="1:9" x14ac:dyDescent="0.2">
      <c r="A1716" s="1">
        <v>44450</v>
      </c>
      <c r="B1716">
        <v>22657</v>
      </c>
      <c r="C1716">
        <v>36628</v>
      </c>
      <c r="D1716">
        <v>24550</v>
      </c>
      <c r="E1716">
        <v>9931</v>
      </c>
      <c r="F1716">
        <v>79</v>
      </c>
      <c r="G1716" t="s">
        <v>20</v>
      </c>
      <c r="H1716" t="str">
        <f>IF(Grammys[[#This Row],[date]] &gt;= DATE(2022, 2, 1), "Grammys", "Grammys + TRA")</f>
        <v>Grammys + TRA</v>
      </c>
      <c r="I1716">
        <f>_xlfn.XLOOKUP(Grammys[[#This Row],[date]], mobile_visits[date], mobile_visits[mobile_visitors], 0)</f>
        <v>0</v>
      </c>
    </row>
    <row r="1717" spans="1:9" x14ac:dyDescent="0.2">
      <c r="A1717" s="1">
        <v>44451</v>
      </c>
      <c r="B1717">
        <v>20248</v>
      </c>
      <c r="C1717">
        <v>33080</v>
      </c>
      <c r="D1717">
        <v>21195</v>
      </c>
      <c r="E1717">
        <v>9835</v>
      </c>
      <c r="F1717">
        <v>83</v>
      </c>
      <c r="G1717" t="s">
        <v>20</v>
      </c>
      <c r="H1717" t="str">
        <f>IF(Grammys[[#This Row],[date]] &gt;= DATE(2022, 2, 1), "Grammys", "Grammys + TRA")</f>
        <v>Grammys + TRA</v>
      </c>
      <c r="I1717">
        <f>_xlfn.XLOOKUP(Grammys[[#This Row],[date]], mobile_visits[date], mobile_visits[mobile_visitors], 0)</f>
        <v>0</v>
      </c>
    </row>
    <row r="1718" spans="1:9" x14ac:dyDescent="0.2">
      <c r="A1718" s="1">
        <v>44452</v>
      </c>
      <c r="B1718">
        <v>19666</v>
      </c>
      <c r="C1718">
        <v>34798</v>
      </c>
      <c r="D1718">
        <v>21017</v>
      </c>
      <c r="E1718">
        <v>11030</v>
      </c>
      <c r="F1718">
        <v>80</v>
      </c>
      <c r="G1718" t="s">
        <v>20</v>
      </c>
      <c r="H1718" t="str">
        <f>IF(Grammys[[#This Row],[date]] &gt;= DATE(2022, 2, 1), "Grammys", "Grammys + TRA")</f>
        <v>Grammys + TRA</v>
      </c>
      <c r="I1718">
        <f>_xlfn.XLOOKUP(Grammys[[#This Row],[date]], mobile_visits[date], mobile_visits[mobile_visitors], 0)</f>
        <v>0</v>
      </c>
    </row>
    <row r="1719" spans="1:9" x14ac:dyDescent="0.2">
      <c r="A1719" s="1">
        <v>44453</v>
      </c>
      <c r="B1719">
        <v>16815</v>
      </c>
      <c r="C1719">
        <v>29580</v>
      </c>
      <c r="D1719">
        <v>17797</v>
      </c>
      <c r="E1719">
        <v>9264</v>
      </c>
      <c r="F1719">
        <v>84</v>
      </c>
      <c r="G1719" t="s">
        <v>20</v>
      </c>
      <c r="H1719" t="str">
        <f>IF(Grammys[[#This Row],[date]] &gt;= DATE(2022, 2, 1), "Grammys", "Grammys + TRA")</f>
        <v>Grammys + TRA</v>
      </c>
      <c r="I1719">
        <f>_xlfn.XLOOKUP(Grammys[[#This Row],[date]], mobile_visits[date], mobile_visits[mobile_visitors], 0)</f>
        <v>0</v>
      </c>
    </row>
    <row r="1720" spans="1:9" x14ac:dyDescent="0.2">
      <c r="A1720" s="1">
        <v>44454</v>
      </c>
      <c r="B1720">
        <v>16867</v>
      </c>
      <c r="C1720">
        <v>29587</v>
      </c>
      <c r="D1720">
        <v>17999</v>
      </c>
      <c r="E1720">
        <v>8923</v>
      </c>
      <c r="F1720">
        <v>93</v>
      </c>
      <c r="G1720" t="s">
        <v>20</v>
      </c>
      <c r="H1720" t="str">
        <f>IF(Grammys[[#This Row],[date]] &gt;= DATE(2022, 2, 1), "Grammys", "Grammys + TRA")</f>
        <v>Grammys + TRA</v>
      </c>
      <c r="I1720">
        <f>_xlfn.XLOOKUP(Grammys[[#This Row],[date]], mobile_visits[date], mobile_visits[mobile_visitors], 0)</f>
        <v>0</v>
      </c>
    </row>
    <row r="1721" spans="1:9" x14ac:dyDescent="0.2">
      <c r="A1721" s="1">
        <v>44455</v>
      </c>
      <c r="B1721">
        <v>19693</v>
      </c>
      <c r="C1721">
        <v>33949</v>
      </c>
      <c r="D1721">
        <v>20832</v>
      </c>
      <c r="E1721">
        <v>9596</v>
      </c>
      <c r="F1721">
        <v>98</v>
      </c>
      <c r="G1721" t="s">
        <v>20</v>
      </c>
      <c r="H1721" t="str">
        <f>IF(Grammys[[#This Row],[date]] &gt;= DATE(2022, 2, 1), "Grammys", "Grammys + TRA")</f>
        <v>Grammys + TRA</v>
      </c>
      <c r="I1721">
        <f>_xlfn.XLOOKUP(Grammys[[#This Row],[date]], mobile_visits[date], mobile_visits[mobile_visitors], 0)</f>
        <v>0</v>
      </c>
    </row>
    <row r="1722" spans="1:9" x14ac:dyDescent="0.2">
      <c r="A1722" s="1">
        <v>44456</v>
      </c>
      <c r="B1722">
        <v>16678</v>
      </c>
      <c r="C1722">
        <v>28797</v>
      </c>
      <c r="D1722">
        <v>17755</v>
      </c>
      <c r="E1722">
        <v>8672</v>
      </c>
      <c r="F1722">
        <v>95</v>
      </c>
      <c r="G1722" t="s">
        <v>20</v>
      </c>
      <c r="H1722" t="str">
        <f>IF(Grammys[[#This Row],[date]] &gt;= DATE(2022, 2, 1), "Grammys", "Grammys + TRA")</f>
        <v>Grammys + TRA</v>
      </c>
      <c r="I1722">
        <f>_xlfn.XLOOKUP(Grammys[[#This Row],[date]], mobile_visits[date], mobile_visits[mobile_visitors], 0)</f>
        <v>0</v>
      </c>
    </row>
    <row r="1723" spans="1:9" x14ac:dyDescent="0.2">
      <c r="A1723" s="1">
        <v>44457</v>
      </c>
      <c r="B1723">
        <v>14161</v>
      </c>
      <c r="C1723">
        <v>24550</v>
      </c>
      <c r="D1723">
        <v>15187</v>
      </c>
      <c r="E1723">
        <v>7702</v>
      </c>
      <c r="F1723">
        <v>90</v>
      </c>
      <c r="G1723" t="s">
        <v>20</v>
      </c>
      <c r="H1723" t="str">
        <f>IF(Grammys[[#This Row],[date]] &gt;= DATE(2022, 2, 1), "Grammys", "Grammys + TRA")</f>
        <v>Grammys + TRA</v>
      </c>
      <c r="I1723">
        <f>_xlfn.XLOOKUP(Grammys[[#This Row],[date]], mobile_visits[date], mobile_visits[mobile_visitors], 0)</f>
        <v>0</v>
      </c>
    </row>
    <row r="1724" spans="1:9" x14ac:dyDescent="0.2">
      <c r="A1724" s="1">
        <v>44458</v>
      </c>
      <c r="B1724">
        <v>17310</v>
      </c>
      <c r="C1724">
        <v>29350</v>
      </c>
      <c r="D1724">
        <v>18447</v>
      </c>
      <c r="E1724">
        <v>9766</v>
      </c>
      <c r="F1724">
        <v>76</v>
      </c>
      <c r="G1724" t="s">
        <v>20</v>
      </c>
      <c r="H1724" t="str">
        <f>IF(Grammys[[#This Row],[date]] &gt;= DATE(2022, 2, 1), "Grammys", "Grammys + TRA")</f>
        <v>Grammys + TRA</v>
      </c>
      <c r="I1724">
        <f>_xlfn.XLOOKUP(Grammys[[#This Row],[date]], mobile_visits[date], mobile_visits[mobile_visitors], 0)</f>
        <v>0</v>
      </c>
    </row>
    <row r="1725" spans="1:9" x14ac:dyDescent="0.2">
      <c r="A1725" s="1">
        <v>44459</v>
      </c>
      <c r="B1725">
        <v>18045</v>
      </c>
      <c r="C1725">
        <v>32283</v>
      </c>
      <c r="D1725">
        <v>19162</v>
      </c>
      <c r="E1725">
        <v>10087</v>
      </c>
      <c r="F1725">
        <v>77</v>
      </c>
      <c r="G1725" t="s">
        <v>20</v>
      </c>
      <c r="H1725" t="str">
        <f>IF(Grammys[[#This Row],[date]] &gt;= DATE(2022, 2, 1), "Grammys", "Grammys + TRA")</f>
        <v>Grammys + TRA</v>
      </c>
      <c r="I1725">
        <f>_xlfn.XLOOKUP(Grammys[[#This Row],[date]], mobile_visits[date], mobile_visits[mobile_visitors], 0)</f>
        <v>0</v>
      </c>
    </row>
    <row r="1726" spans="1:9" x14ac:dyDescent="0.2">
      <c r="A1726" s="1">
        <v>44460</v>
      </c>
      <c r="B1726">
        <v>21301</v>
      </c>
      <c r="C1726">
        <v>38478</v>
      </c>
      <c r="D1726">
        <v>22986</v>
      </c>
      <c r="E1726">
        <v>10287</v>
      </c>
      <c r="F1726">
        <v>103</v>
      </c>
      <c r="G1726" t="s">
        <v>20</v>
      </c>
      <c r="H1726" t="str">
        <f>IF(Grammys[[#This Row],[date]] &gt;= DATE(2022, 2, 1), "Grammys", "Grammys + TRA")</f>
        <v>Grammys + TRA</v>
      </c>
      <c r="I1726">
        <f>_xlfn.XLOOKUP(Grammys[[#This Row],[date]], mobile_visits[date], mobile_visits[mobile_visitors], 0)</f>
        <v>0</v>
      </c>
    </row>
    <row r="1727" spans="1:9" x14ac:dyDescent="0.2">
      <c r="A1727" s="1">
        <v>44461</v>
      </c>
      <c r="B1727">
        <v>19614</v>
      </c>
      <c r="C1727">
        <v>33573</v>
      </c>
      <c r="D1727">
        <v>20770</v>
      </c>
      <c r="E1727">
        <v>9119</v>
      </c>
      <c r="F1727">
        <v>90</v>
      </c>
      <c r="G1727" t="s">
        <v>20</v>
      </c>
      <c r="H1727" t="str">
        <f>IF(Grammys[[#This Row],[date]] &gt;= DATE(2022, 2, 1), "Grammys", "Grammys + TRA")</f>
        <v>Grammys + TRA</v>
      </c>
      <c r="I1727">
        <f>_xlfn.XLOOKUP(Grammys[[#This Row],[date]], mobile_visits[date], mobile_visits[mobile_visitors], 0)</f>
        <v>0</v>
      </c>
    </row>
    <row r="1728" spans="1:9" x14ac:dyDescent="0.2">
      <c r="A1728" s="1">
        <v>44462</v>
      </c>
      <c r="B1728">
        <v>19326</v>
      </c>
      <c r="C1728">
        <v>33634</v>
      </c>
      <c r="D1728">
        <v>20648</v>
      </c>
      <c r="E1728">
        <v>9670</v>
      </c>
      <c r="F1728">
        <v>82</v>
      </c>
      <c r="G1728" t="s">
        <v>20</v>
      </c>
      <c r="H1728" t="str">
        <f>IF(Grammys[[#This Row],[date]] &gt;= DATE(2022, 2, 1), "Grammys", "Grammys + TRA")</f>
        <v>Grammys + TRA</v>
      </c>
      <c r="I1728">
        <f>_xlfn.XLOOKUP(Grammys[[#This Row],[date]], mobile_visits[date], mobile_visits[mobile_visitors], 0)</f>
        <v>0</v>
      </c>
    </row>
    <row r="1729" spans="1:9" x14ac:dyDescent="0.2">
      <c r="A1729" s="1">
        <v>44463</v>
      </c>
      <c r="B1729">
        <v>15827</v>
      </c>
      <c r="C1729">
        <v>28007</v>
      </c>
      <c r="D1729">
        <v>16827</v>
      </c>
      <c r="E1729">
        <v>8611</v>
      </c>
      <c r="F1729">
        <v>84</v>
      </c>
      <c r="G1729" t="s">
        <v>20</v>
      </c>
      <c r="H1729" t="str">
        <f>IF(Grammys[[#This Row],[date]] &gt;= DATE(2022, 2, 1), "Grammys", "Grammys + TRA")</f>
        <v>Grammys + TRA</v>
      </c>
      <c r="I1729">
        <f>_xlfn.XLOOKUP(Grammys[[#This Row],[date]], mobile_visits[date], mobile_visits[mobile_visitors], 0)</f>
        <v>0</v>
      </c>
    </row>
    <row r="1730" spans="1:9" x14ac:dyDescent="0.2">
      <c r="A1730" s="1">
        <v>44464</v>
      </c>
      <c r="B1730">
        <v>13583</v>
      </c>
      <c r="C1730">
        <v>23427</v>
      </c>
      <c r="D1730">
        <v>14559</v>
      </c>
      <c r="E1730">
        <v>7718</v>
      </c>
      <c r="F1730">
        <v>78</v>
      </c>
      <c r="G1730" t="s">
        <v>20</v>
      </c>
      <c r="H1730" t="str">
        <f>IF(Grammys[[#This Row],[date]] &gt;= DATE(2022, 2, 1), "Grammys", "Grammys + TRA")</f>
        <v>Grammys + TRA</v>
      </c>
      <c r="I1730">
        <f>_xlfn.XLOOKUP(Grammys[[#This Row],[date]], mobile_visits[date], mobile_visits[mobile_visitors], 0)</f>
        <v>0</v>
      </c>
    </row>
    <row r="1731" spans="1:9" x14ac:dyDescent="0.2">
      <c r="A1731" s="1">
        <v>44465</v>
      </c>
      <c r="B1731">
        <v>13471</v>
      </c>
      <c r="C1731">
        <v>22886</v>
      </c>
      <c r="D1731">
        <v>14372</v>
      </c>
      <c r="E1731">
        <v>7836</v>
      </c>
      <c r="F1731">
        <v>79</v>
      </c>
      <c r="G1731" t="s">
        <v>20</v>
      </c>
      <c r="H1731" t="str">
        <f>IF(Grammys[[#This Row],[date]] &gt;= DATE(2022, 2, 1), "Grammys", "Grammys + TRA")</f>
        <v>Grammys + TRA</v>
      </c>
      <c r="I1731">
        <f>_xlfn.XLOOKUP(Grammys[[#This Row],[date]], mobile_visits[date], mobile_visits[mobile_visitors], 0)</f>
        <v>0</v>
      </c>
    </row>
    <row r="1732" spans="1:9" x14ac:dyDescent="0.2">
      <c r="A1732" s="1">
        <v>44466</v>
      </c>
      <c r="B1732">
        <v>14412</v>
      </c>
      <c r="C1732">
        <v>26086</v>
      </c>
      <c r="D1732">
        <v>15421</v>
      </c>
      <c r="E1732">
        <v>8046</v>
      </c>
      <c r="F1732">
        <v>87</v>
      </c>
      <c r="G1732" t="s">
        <v>20</v>
      </c>
      <c r="H1732" t="str">
        <f>IF(Grammys[[#This Row],[date]] &gt;= DATE(2022, 2, 1), "Grammys", "Grammys + TRA")</f>
        <v>Grammys + TRA</v>
      </c>
      <c r="I1732">
        <f>_xlfn.XLOOKUP(Grammys[[#This Row],[date]], mobile_visits[date], mobile_visits[mobile_visitors], 0)</f>
        <v>0</v>
      </c>
    </row>
    <row r="1733" spans="1:9" x14ac:dyDescent="0.2">
      <c r="A1733" s="1">
        <v>44467</v>
      </c>
      <c r="B1733">
        <v>22086</v>
      </c>
      <c r="C1733">
        <v>38685</v>
      </c>
      <c r="D1733">
        <v>23551</v>
      </c>
      <c r="E1733">
        <v>11025</v>
      </c>
      <c r="F1733">
        <v>79</v>
      </c>
      <c r="G1733" t="s">
        <v>20</v>
      </c>
      <c r="H1733" t="str">
        <f>IF(Grammys[[#This Row],[date]] &gt;= DATE(2022, 2, 1), "Grammys", "Grammys + TRA")</f>
        <v>Grammys + TRA</v>
      </c>
      <c r="I1733">
        <f>_xlfn.XLOOKUP(Grammys[[#This Row],[date]], mobile_visits[date], mobile_visits[mobile_visitors], 0)</f>
        <v>0</v>
      </c>
    </row>
    <row r="1734" spans="1:9" x14ac:dyDescent="0.2">
      <c r="A1734" s="1">
        <v>44468</v>
      </c>
      <c r="B1734">
        <v>26596</v>
      </c>
      <c r="C1734">
        <v>49236</v>
      </c>
      <c r="D1734">
        <v>28143</v>
      </c>
      <c r="E1734">
        <v>13914</v>
      </c>
      <c r="F1734">
        <v>80</v>
      </c>
      <c r="G1734" t="s">
        <v>20</v>
      </c>
      <c r="H1734" t="str">
        <f>IF(Grammys[[#This Row],[date]] &gt;= DATE(2022, 2, 1), "Grammys", "Grammys + TRA")</f>
        <v>Grammys + TRA</v>
      </c>
      <c r="I1734">
        <f>_xlfn.XLOOKUP(Grammys[[#This Row],[date]], mobile_visits[date], mobile_visits[mobile_visitors], 0)</f>
        <v>0</v>
      </c>
    </row>
    <row r="1735" spans="1:9" x14ac:dyDescent="0.2">
      <c r="A1735" s="1">
        <v>44469</v>
      </c>
      <c r="B1735">
        <v>23019</v>
      </c>
      <c r="C1735">
        <v>40690</v>
      </c>
      <c r="D1735">
        <v>24589</v>
      </c>
      <c r="E1735">
        <v>13210</v>
      </c>
      <c r="F1735">
        <v>82</v>
      </c>
      <c r="G1735" t="s">
        <v>20</v>
      </c>
      <c r="H1735" t="str">
        <f>IF(Grammys[[#This Row],[date]] &gt;= DATE(2022, 2, 1), "Grammys", "Grammys + TRA")</f>
        <v>Grammys + TRA</v>
      </c>
      <c r="I1735">
        <f>_xlfn.XLOOKUP(Grammys[[#This Row],[date]], mobile_visits[date], mobile_visits[mobile_visitors], 0)</f>
        <v>0</v>
      </c>
    </row>
    <row r="1736" spans="1:9" x14ac:dyDescent="0.2">
      <c r="A1736" s="1">
        <v>44470</v>
      </c>
      <c r="B1736">
        <v>16866</v>
      </c>
      <c r="C1736">
        <v>29437</v>
      </c>
      <c r="D1736">
        <v>18062</v>
      </c>
      <c r="E1736">
        <v>9660</v>
      </c>
      <c r="F1736">
        <v>81</v>
      </c>
      <c r="G1736" t="s">
        <v>20</v>
      </c>
      <c r="H1736" t="str">
        <f>IF(Grammys[[#This Row],[date]] &gt;= DATE(2022, 2, 1), "Grammys", "Grammys + TRA")</f>
        <v>Grammys + TRA</v>
      </c>
      <c r="I1736">
        <f>_xlfn.XLOOKUP(Grammys[[#This Row],[date]], mobile_visits[date], mobile_visits[mobile_visitors], 0)</f>
        <v>0</v>
      </c>
    </row>
    <row r="1737" spans="1:9" x14ac:dyDescent="0.2">
      <c r="A1737" s="1">
        <v>44471</v>
      </c>
      <c r="B1737">
        <v>14354</v>
      </c>
      <c r="C1737">
        <v>25539</v>
      </c>
      <c r="D1737">
        <v>15426</v>
      </c>
      <c r="E1737">
        <v>8298</v>
      </c>
      <c r="F1737">
        <v>86</v>
      </c>
      <c r="G1737" t="s">
        <v>20</v>
      </c>
      <c r="H1737" t="str">
        <f>IF(Grammys[[#This Row],[date]] &gt;= DATE(2022, 2, 1), "Grammys", "Grammys + TRA")</f>
        <v>Grammys + TRA</v>
      </c>
      <c r="I1737">
        <f>_xlfn.XLOOKUP(Grammys[[#This Row],[date]], mobile_visits[date], mobile_visits[mobile_visitors], 0)</f>
        <v>0</v>
      </c>
    </row>
    <row r="1738" spans="1:9" x14ac:dyDescent="0.2">
      <c r="A1738" s="1">
        <v>44472</v>
      </c>
      <c r="B1738">
        <v>13973</v>
      </c>
      <c r="C1738">
        <v>25036</v>
      </c>
      <c r="D1738">
        <v>14979</v>
      </c>
      <c r="E1738">
        <v>8213</v>
      </c>
      <c r="F1738">
        <v>90</v>
      </c>
      <c r="G1738" t="s">
        <v>20</v>
      </c>
      <c r="H1738" t="str">
        <f>IF(Grammys[[#This Row],[date]] &gt;= DATE(2022, 2, 1), "Grammys", "Grammys + TRA")</f>
        <v>Grammys + TRA</v>
      </c>
      <c r="I1738">
        <f>_xlfn.XLOOKUP(Grammys[[#This Row],[date]], mobile_visits[date], mobile_visits[mobile_visitors], 0)</f>
        <v>0</v>
      </c>
    </row>
    <row r="1739" spans="1:9" x14ac:dyDescent="0.2">
      <c r="A1739" s="1">
        <v>44473</v>
      </c>
      <c r="B1739">
        <v>14434</v>
      </c>
      <c r="C1739">
        <v>26259</v>
      </c>
      <c r="D1739">
        <v>15405</v>
      </c>
      <c r="E1739">
        <v>8273</v>
      </c>
      <c r="F1739">
        <v>86</v>
      </c>
      <c r="G1739" t="s">
        <v>20</v>
      </c>
      <c r="H1739" t="str">
        <f>IF(Grammys[[#This Row],[date]] &gt;= DATE(2022, 2, 1), "Grammys", "Grammys + TRA")</f>
        <v>Grammys + TRA</v>
      </c>
      <c r="I1739">
        <f>_xlfn.XLOOKUP(Grammys[[#This Row],[date]], mobile_visits[date], mobile_visits[mobile_visitors], 0)</f>
        <v>0</v>
      </c>
    </row>
    <row r="1740" spans="1:9" x14ac:dyDescent="0.2">
      <c r="A1740" s="1">
        <v>44474</v>
      </c>
      <c r="B1740">
        <v>17627</v>
      </c>
      <c r="C1740">
        <v>33093</v>
      </c>
      <c r="D1740">
        <v>18963</v>
      </c>
      <c r="E1740">
        <v>10155</v>
      </c>
      <c r="F1740">
        <v>86</v>
      </c>
      <c r="G1740" t="s">
        <v>20</v>
      </c>
      <c r="H1740" t="str">
        <f>IF(Grammys[[#This Row],[date]] &gt;= DATE(2022, 2, 1), "Grammys", "Grammys + TRA")</f>
        <v>Grammys + TRA</v>
      </c>
      <c r="I1740">
        <f>_xlfn.XLOOKUP(Grammys[[#This Row],[date]], mobile_visits[date], mobile_visits[mobile_visitors], 0)</f>
        <v>0</v>
      </c>
    </row>
    <row r="1741" spans="1:9" x14ac:dyDescent="0.2">
      <c r="A1741" s="1">
        <v>44475</v>
      </c>
      <c r="B1741">
        <v>16252</v>
      </c>
      <c r="C1741">
        <v>30017</v>
      </c>
      <c r="D1741">
        <v>17451</v>
      </c>
      <c r="E1741">
        <v>9112</v>
      </c>
      <c r="F1741">
        <v>87</v>
      </c>
      <c r="G1741" t="s">
        <v>20</v>
      </c>
      <c r="H1741" t="str">
        <f>IF(Grammys[[#This Row],[date]] &gt;= DATE(2022, 2, 1), "Grammys", "Grammys + TRA")</f>
        <v>Grammys + TRA</v>
      </c>
      <c r="I1741">
        <f>_xlfn.XLOOKUP(Grammys[[#This Row],[date]], mobile_visits[date], mobile_visits[mobile_visitors], 0)</f>
        <v>0</v>
      </c>
    </row>
    <row r="1742" spans="1:9" x14ac:dyDescent="0.2">
      <c r="A1742" s="1">
        <v>44476</v>
      </c>
      <c r="B1742">
        <v>15260</v>
      </c>
      <c r="C1742">
        <v>27328</v>
      </c>
      <c r="D1742">
        <v>16395</v>
      </c>
      <c r="E1742">
        <v>8516</v>
      </c>
      <c r="F1742">
        <v>90</v>
      </c>
      <c r="G1742" t="s">
        <v>20</v>
      </c>
      <c r="H1742" t="str">
        <f>IF(Grammys[[#This Row],[date]] &gt;= DATE(2022, 2, 1), "Grammys", "Grammys + TRA")</f>
        <v>Grammys + TRA</v>
      </c>
      <c r="I1742">
        <f>_xlfn.XLOOKUP(Grammys[[#This Row],[date]], mobile_visits[date], mobile_visits[mobile_visitors], 0)</f>
        <v>0</v>
      </c>
    </row>
    <row r="1743" spans="1:9" x14ac:dyDescent="0.2">
      <c r="A1743" s="1">
        <v>44477</v>
      </c>
      <c r="B1743">
        <v>14434</v>
      </c>
      <c r="C1743">
        <v>25515</v>
      </c>
      <c r="D1743">
        <v>15469</v>
      </c>
      <c r="E1743">
        <v>8120</v>
      </c>
      <c r="F1743">
        <v>87</v>
      </c>
      <c r="G1743" t="s">
        <v>20</v>
      </c>
      <c r="H1743" t="str">
        <f>IF(Grammys[[#This Row],[date]] &gt;= DATE(2022, 2, 1), "Grammys", "Grammys + TRA")</f>
        <v>Grammys + TRA</v>
      </c>
      <c r="I1743">
        <f>_xlfn.XLOOKUP(Grammys[[#This Row],[date]], mobile_visits[date], mobile_visits[mobile_visitors], 0)</f>
        <v>0</v>
      </c>
    </row>
    <row r="1744" spans="1:9" x14ac:dyDescent="0.2">
      <c r="A1744" s="1">
        <v>44478</v>
      </c>
      <c r="B1744">
        <v>12803</v>
      </c>
      <c r="C1744">
        <v>22116</v>
      </c>
      <c r="D1744">
        <v>13559</v>
      </c>
      <c r="E1744">
        <v>7236</v>
      </c>
      <c r="F1744">
        <v>84</v>
      </c>
      <c r="G1744" t="s">
        <v>20</v>
      </c>
      <c r="H1744" t="str">
        <f>IF(Grammys[[#This Row],[date]] &gt;= DATE(2022, 2, 1), "Grammys", "Grammys + TRA")</f>
        <v>Grammys + TRA</v>
      </c>
      <c r="I1744">
        <f>_xlfn.XLOOKUP(Grammys[[#This Row],[date]], mobile_visits[date], mobile_visits[mobile_visitors], 0)</f>
        <v>0</v>
      </c>
    </row>
    <row r="1745" spans="1:9" x14ac:dyDescent="0.2">
      <c r="A1745" s="1">
        <v>44479</v>
      </c>
      <c r="B1745">
        <v>13880</v>
      </c>
      <c r="C1745">
        <v>23723</v>
      </c>
      <c r="D1745">
        <v>14773</v>
      </c>
      <c r="E1745">
        <v>7446</v>
      </c>
      <c r="F1745">
        <v>88</v>
      </c>
      <c r="G1745" t="s">
        <v>20</v>
      </c>
      <c r="H1745" t="str">
        <f>IF(Grammys[[#This Row],[date]] &gt;= DATE(2022, 2, 1), "Grammys", "Grammys + TRA")</f>
        <v>Grammys + TRA</v>
      </c>
      <c r="I1745">
        <f>_xlfn.XLOOKUP(Grammys[[#This Row],[date]], mobile_visits[date], mobile_visits[mobile_visitors], 0)</f>
        <v>0</v>
      </c>
    </row>
    <row r="1746" spans="1:9" x14ac:dyDescent="0.2">
      <c r="A1746" s="1">
        <v>44480</v>
      </c>
      <c r="B1746">
        <v>12727</v>
      </c>
      <c r="C1746">
        <v>23469</v>
      </c>
      <c r="D1746">
        <v>13862</v>
      </c>
      <c r="E1746">
        <v>7292</v>
      </c>
      <c r="F1746">
        <v>96</v>
      </c>
      <c r="G1746" t="s">
        <v>20</v>
      </c>
      <c r="H1746" t="str">
        <f>IF(Grammys[[#This Row],[date]] &gt;= DATE(2022, 2, 1), "Grammys", "Grammys + TRA")</f>
        <v>Grammys + TRA</v>
      </c>
      <c r="I1746">
        <f>_xlfn.XLOOKUP(Grammys[[#This Row],[date]], mobile_visits[date], mobile_visits[mobile_visitors], 0)</f>
        <v>0</v>
      </c>
    </row>
    <row r="1747" spans="1:9" x14ac:dyDescent="0.2">
      <c r="A1747" s="1">
        <v>44481</v>
      </c>
      <c r="B1747">
        <v>13186</v>
      </c>
      <c r="C1747">
        <v>23689</v>
      </c>
      <c r="D1747">
        <v>14214</v>
      </c>
      <c r="E1747">
        <v>7467</v>
      </c>
      <c r="F1747">
        <v>90</v>
      </c>
      <c r="G1747" t="s">
        <v>20</v>
      </c>
      <c r="H1747" t="str">
        <f>IF(Grammys[[#This Row],[date]] &gt;= DATE(2022, 2, 1), "Grammys", "Grammys + TRA")</f>
        <v>Grammys + TRA</v>
      </c>
      <c r="I1747">
        <f>_xlfn.XLOOKUP(Grammys[[#This Row],[date]], mobile_visits[date], mobile_visits[mobile_visitors], 0)</f>
        <v>0</v>
      </c>
    </row>
    <row r="1748" spans="1:9" x14ac:dyDescent="0.2">
      <c r="A1748" s="1">
        <v>44482</v>
      </c>
      <c r="B1748">
        <v>14952</v>
      </c>
      <c r="C1748">
        <v>27160</v>
      </c>
      <c r="D1748">
        <v>16145</v>
      </c>
      <c r="E1748">
        <v>8083</v>
      </c>
      <c r="F1748">
        <v>95</v>
      </c>
      <c r="G1748" t="s">
        <v>20</v>
      </c>
      <c r="H1748" t="str">
        <f>IF(Grammys[[#This Row],[date]] &gt;= DATE(2022, 2, 1), "Grammys", "Grammys + TRA")</f>
        <v>Grammys + TRA</v>
      </c>
      <c r="I1748">
        <f>_xlfn.XLOOKUP(Grammys[[#This Row],[date]], mobile_visits[date], mobile_visits[mobile_visitors], 0)</f>
        <v>0</v>
      </c>
    </row>
    <row r="1749" spans="1:9" x14ac:dyDescent="0.2">
      <c r="A1749" s="1">
        <v>44483</v>
      </c>
      <c r="B1749">
        <v>16416</v>
      </c>
      <c r="C1749">
        <v>28787</v>
      </c>
      <c r="D1749">
        <v>17677</v>
      </c>
      <c r="E1749">
        <v>8793</v>
      </c>
      <c r="F1749">
        <v>89</v>
      </c>
      <c r="G1749" t="s">
        <v>20</v>
      </c>
      <c r="H1749" t="str">
        <f>IF(Grammys[[#This Row],[date]] &gt;= DATE(2022, 2, 1), "Grammys", "Grammys + TRA")</f>
        <v>Grammys + TRA</v>
      </c>
      <c r="I1749">
        <f>_xlfn.XLOOKUP(Grammys[[#This Row],[date]], mobile_visits[date], mobile_visits[mobile_visitors], 0)</f>
        <v>0</v>
      </c>
    </row>
    <row r="1750" spans="1:9" x14ac:dyDescent="0.2">
      <c r="A1750" s="1">
        <v>44484</v>
      </c>
      <c r="B1750">
        <v>16848</v>
      </c>
      <c r="C1750">
        <v>29659</v>
      </c>
      <c r="D1750">
        <v>18037</v>
      </c>
      <c r="E1750">
        <v>8806</v>
      </c>
      <c r="F1750">
        <v>84</v>
      </c>
      <c r="G1750" t="s">
        <v>20</v>
      </c>
      <c r="H1750" t="str">
        <f>IF(Grammys[[#This Row],[date]] &gt;= DATE(2022, 2, 1), "Grammys", "Grammys + TRA")</f>
        <v>Grammys + TRA</v>
      </c>
      <c r="I1750">
        <f>_xlfn.XLOOKUP(Grammys[[#This Row],[date]], mobile_visits[date], mobile_visits[mobile_visitors], 0)</f>
        <v>0</v>
      </c>
    </row>
    <row r="1751" spans="1:9" x14ac:dyDescent="0.2">
      <c r="A1751" s="1">
        <v>44485</v>
      </c>
      <c r="B1751">
        <v>14601</v>
      </c>
      <c r="C1751">
        <v>25070</v>
      </c>
      <c r="D1751">
        <v>15522</v>
      </c>
      <c r="E1751">
        <v>7765</v>
      </c>
      <c r="F1751">
        <v>84</v>
      </c>
      <c r="G1751" t="s">
        <v>20</v>
      </c>
      <c r="H1751" t="str">
        <f>IF(Grammys[[#This Row],[date]] &gt;= DATE(2022, 2, 1), "Grammys", "Grammys + TRA")</f>
        <v>Grammys + TRA</v>
      </c>
      <c r="I1751">
        <f>_xlfn.XLOOKUP(Grammys[[#This Row],[date]], mobile_visits[date], mobile_visits[mobile_visitors], 0)</f>
        <v>0</v>
      </c>
    </row>
    <row r="1752" spans="1:9" x14ac:dyDescent="0.2">
      <c r="A1752" s="1">
        <v>44486</v>
      </c>
      <c r="B1752">
        <v>14385</v>
      </c>
      <c r="C1752">
        <v>28575</v>
      </c>
      <c r="D1752">
        <v>15324</v>
      </c>
      <c r="E1752">
        <v>7662</v>
      </c>
      <c r="F1752">
        <v>83</v>
      </c>
      <c r="G1752" t="s">
        <v>20</v>
      </c>
      <c r="H1752" t="str">
        <f>IF(Grammys[[#This Row],[date]] &gt;= DATE(2022, 2, 1), "Grammys", "Grammys + TRA")</f>
        <v>Grammys + TRA</v>
      </c>
      <c r="I1752">
        <f>_xlfn.XLOOKUP(Grammys[[#This Row],[date]], mobile_visits[date], mobile_visits[mobile_visitors], 0)</f>
        <v>0</v>
      </c>
    </row>
    <row r="1753" spans="1:9" x14ac:dyDescent="0.2">
      <c r="A1753" s="1">
        <v>44487</v>
      </c>
      <c r="B1753">
        <v>13828</v>
      </c>
      <c r="C1753">
        <v>25133</v>
      </c>
      <c r="D1753">
        <v>14918</v>
      </c>
      <c r="E1753">
        <v>7543</v>
      </c>
      <c r="F1753">
        <v>89</v>
      </c>
      <c r="G1753" t="s">
        <v>20</v>
      </c>
      <c r="H1753" t="str">
        <f>IF(Grammys[[#This Row],[date]] &gt;= DATE(2022, 2, 1), "Grammys", "Grammys + TRA")</f>
        <v>Grammys + TRA</v>
      </c>
      <c r="I1753">
        <f>_xlfn.XLOOKUP(Grammys[[#This Row],[date]], mobile_visits[date], mobile_visits[mobile_visitors], 0)</f>
        <v>0</v>
      </c>
    </row>
    <row r="1754" spans="1:9" x14ac:dyDescent="0.2">
      <c r="A1754" s="1">
        <v>44488</v>
      </c>
      <c r="B1754">
        <v>13821</v>
      </c>
      <c r="C1754">
        <v>25811</v>
      </c>
      <c r="D1754">
        <v>14917</v>
      </c>
      <c r="E1754">
        <v>7645</v>
      </c>
      <c r="F1754">
        <v>91</v>
      </c>
      <c r="G1754" t="s">
        <v>20</v>
      </c>
      <c r="H1754" t="str">
        <f>IF(Grammys[[#This Row],[date]] &gt;= DATE(2022, 2, 1), "Grammys", "Grammys + TRA")</f>
        <v>Grammys + TRA</v>
      </c>
      <c r="I1754">
        <f>_xlfn.XLOOKUP(Grammys[[#This Row],[date]], mobile_visits[date], mobile_visits[mobile_visitors], 0)</f>
        <v>0</v>
      </c>
    </row>
    <row r="1755" spans="1:9" x14ac:dyDescent="0.2">
      <c r="A1755" s="1">
        <v>44489</v>
      </c>
      <c r="B1755">
        <v>19218</v>
      </c>
      <c r="C1755">
        <v>34142</v>
      </c>
      <c r="D1755">
        <v>20523</v>
      </c>
      <c r="E1755">
        <v>9406</v>
      </c>
      <c r="F1755">
        <v>101</v>
      </c>
      <c r="G1755" t="s">
        <v>20</v>
      </c>
      <c r="H1755" t="str">
        <f>IF(Grammys[[#This Row],[date]] &gt;= DATE(2022, 2, 1), "Grammys", "Grammys + TRA")</f>
        <v>Grammys + TRA</v>
      </c>
      <c r="I1755">
        <f>_xlfn.XLOOKUP(Grammys[[#This Row],[date]], mobile_visits[date], mobile_visits[mobile_visitors], 0)</f>
        <v>0</v>
      </c>
    </row>
    <row r="1756" spans="1:9" x14ac:dyDescent="0.2">
      <c r="A1756" s="1">
        <v>44490</v>
      </c>
      <c r="B1756">
        <v>17476</v>
      </c>
      <c r="C1756">
        <v>31283</v>
      </c>
      <c r="D1756">
        <v>18675</v>
      </c>
      <c r="E1756">
        <v>9075</v>
      </c>
      <c r="F1756">
        <v>99</v>
      </c>
      <c r="G1756" t="s">
        <v>20</v>
      </c>
      <c r="H1756" t="str">
        <f>IF(Grammys[[#This Row],[date]] &gt;= DATE(2022, 2, 1), "Grammys", "Grammys + TRA")</f>
        <v>Grammys + TRA</v>
      </c>
      <c r="I1756">
        <f>_xlfn.XLOOKUP(Grammys[[#This Row],[date]], mobile_visits[date], mobile_visits[mobile_visitors], 0)</f>
        <v>0</v>
      </c>
    </row>
    <row r="1757" spans="1:9" x14ac:dyDescent="0.2">
      <c r="A1757" s="1">
        <v>44491</v>
      </c>
      <c r="B1757">
        <v>24507</v>
      </c>
      <c r="C1757">
        <v>43595</v>
      </c>
      <c r="D1757">
        <v>26555</v>
      </c>
      <c r="E1757">
        <v>11948</v>
      </c>
      <c r="F1757">
        <v>102</v>
      </c>
      <c r="G1757" t="s">
        <v>20</v>
      </c>
      <c r="H1757" t="str">
        <f>IF(Grammys[[#This Row],[date]] &gt;= DATE(2022, 2, 1), "Grammys", "Grammys + TRA")</f>
        <v>Grammys + TRA</v>
      </c>
      <c r="I1757">
        <f>_xlfn.XLOOKUP(Grammys[[#This Row],[date]], mobile_visits[date], mobile_visits[mobile_visitors], 0)</f>
        <v>0</v>
      </c>
    </row>
    <row r="1758" spans="1:9" x14ac:dyDescent="0.2">
      <c r="A1758" s="1">
        <v>44492</v>
      </c>
      <c r="B1758">
        <v>24503</v>
      </c>
      <c r="C1758">
        <v>46855</v>
      </c>
      <c r="D1758">
        <v>27570</v>
      </c>
      <c r="E1758">
        <v>11734</v>
      </c>
      <c r="F1758">
        <v>84</v>
      </c>
      <c r="G1758" t="s">
        <v>20</v>
      </c>
      <c r="H1758" t="str">
        <f>IF(Grammys[[#This Row],[date]] &gt;= DATE(2022, 2, 1), "Grammys", "Grammys + TRA")</f>
        <v>Grammys + TRA</v>
      </c>
      <c r="I1758">
        <f>_xlfn.XLOOKUP(Grammys[[#This Row],[date]], mobile_visits[date], mobile_visits[mobile_visitors], 0)</f>
        <v>0</v>
      </c>
    </row>
    <row r="1759" spans="1:9" x14ac:dyDescent="0.2">
      <c r="A1759" s="1">
        <v>44493</v>
      </c>
      <c r="B1759">
        <v>23778</v>
      </c>
      <c r="C1759">
        <v>44120</v>
      </c>
      <c r="D1759">
        <v>26221</v>
      </c>
      <c r="E1759">
        <v>11412</v>
      </c>
      <c r="F1759">
        <v>77</v>
      </c>
      <c r="G1759" t="s">
        <v>20</v>
      </c>
      <c r="H1759" t="str">
        <f>IF(Grammys[[#This Row],[date]] &gt;= DATE(2022, 2, 1), "Grammys", "Grammys + TRA")</f>
        <v>Grammys + TRA</v>
      </c>
      <c r="I1759">
        <f>_xlfn.XLOOKUP(Grammys[[#This Row],[date]], mobile_visits[date], mobile_visits[mobile_visitors], 0)</f>
        <v>0</v>
      </c>
    </row>
    <row r="1760" spans="1:9" x14ac:dyDescent="0.2">
      <c r="A1760" s="1">
        <v>44494</v>
      </c>
      <c r="B1760">
        <v>21696</v>
      </c>
      <c r="C1760">
        <v>39782</v>
      </c>
      <c r="D1760">
        <v>23784</v>
      </c>
      <c r="E1760">
        <v>10853</v>
      </c>
      <c r="F1760">
        <v>85</v>
      </c>
      <c r="G1760" t="s">
        <v>20</v>
      </c>
      <c r="H1760" t="str">
        <f>IF(Grammys[[#This Row],[date]] &gt;= DATE(2022, 2, 1), "Grammys", "Grammys + TRA")</f>
        <v>Grammys + TRA</v>
      </c>
      <c r="I1760">
        <f>_xlfn.XLOOKUP(Grammys[[#This Row],[date]], mobile_visits[date], mobile_visits[mobile_visitors], 0)</f>
        <v>0</v>
      </c>
    </row>
    <row r="1761" spans="1:9" x14ac:dyDescent="0.2">
      <c r="A1761" s="1">
        <v>44495</v>
      </c>
      <c r="B1761">
        <v>26671</v>
      </c>
      <c r="C1761">
        <v>49262</v>
      </c>
      <c r="D1761">
        <v>29109</v>
      </c>
      <c r="E1761">
        <v>12765</v>
      </c>
      <c r="F1761">
        <v>79</v>
      </c>
      <c r="G1761" t="s">
        <v>20</v>
      </c>
      <c r="H1761" t="str">
        <f>IF(Grammys[[#This Row],[date]] &gt;= DATE(2022, 2, 1), "Grammys", "Grammys + TRA")</f>
        <v>Grammys + TRA</v>
      </c>
      <c r="I1761">
        <f>_xlfn.XLOOKUP(Grammys[[#This Row],[date]], mobile_visits[date], mobile_visits[mobile_visitors], 0)</f>
        <v>0</v>
      </c>
    </row>
    <row r="1762" spans="1:9" x14ac:dyDescent="0.2">
      <c r="A1762" s="1">
        <v>44496</v>
      </c>
      <c r="B1762">
        <v>23083</v>
      </c>
      <c r="C1762">
        <v>41932</v>
      </c>
      <c r="D1762">
        <v>24961</v>
      </c>
      <c r="E1762">
        <v>11345</v>
      </c>
      <c r="F1762">
        <v>76</v>
      </c>
      <c r="G1762" t="s">
        <v>20</v>
      </c>
      <c r="H1762" t="str">
        <f>IF(Grammys[[#This Row],[date]] &gt;= DATE(2022, 2, 1), "Grammys", "Grammys + TRA")</f>
        <v>Grammys + TRA</v>
      </c>
      <c r="I1762">
        <f>_xlfn.XLOOKUP(Grammys[[#This Row],[date]], mobile_visits[date], mobile_visits[mobile_visitors], 0)</f>
        <v>0</v>
      </c>
    </row>
    <row r="1763" spans="1:9" x14ac:dyDescent="0.2">
      <c r="A1763" s="1">
        <v>44497</v>
      </c>
      <c r="B1763">
        <v>20450</v>
      </c>
      <c r="C1763">
        <v>38216</v>
      </c>
      <c r="D1763">
        <v>22172</v>
      </c>
      <c r="E1763">
        <v>10177</v>
      </c>
      <c r="F1763">
        <v>83</v>
      </c>
      <c r="G1763" t="s">
        <v>20</v>
      </c>
      <c r="H1763" t="str">
        <f>IF(Grammys[[#This Row],[date]] &gt;= DATE(2022, 2, 1), "Grammys", "Grammys + TRA")</f>
        <v>Grammys + TRA</v>
      </c>
      <c r="I1763">
        <f>_xlfn.XLOOKUP(Grammys[[#This Row],[date]], mobile_visits[date], mobile_visits[mobile_visitors], 0)</f>
        <v>0</v>
      </c>
    </row>
    <row r="1764" spans="1:9" x14ac:dyDescent="0.2">
      <c r="A1764" s="1">
        <v>44498</v>
      </c>
      <c r="B1764">
        <v>18855</v>
      </c>
      <c r="C1764">
        <v>35107</v>
      </c>
      <c r="D1764">
        <v>20505</v>
      </c>
      <c r="E1764">
        <v>9457</v>
      </c>
      <c r="F1764">
        <v>87</v>
      </c>
      <c r="G1764" t="s">
        <v>20</v>
      </c>
      <c r="H1764" t="str">
        <f>IF(Grammys[[#This Row],[date]] &gt;= DATE(2022, 2, 1), "Grammys", "Grammys + TRA")</f>
        <v>Grammys + TRA</v>
      </c>
      <c r="I1764">
        <f>_xlfn.XLOOKUP(Grammys[[#This Row],[date]], mobile_visits[date], mobile_visits[mobile_visitors], 0)</f>
        <v>0</v>
      </c>
    </row>
    <row r="1765" spans="1:9" x14ac:dyDescent="0.2">
      <c r="A1765" s="1">
        <v>44499</v>
      </c>
      <c r="B1765">
        <v>16660</v>
      </c>
      <c r="C1765">
        <v>29653</v>
      </c>
      <c r="D1765">
        <v>17902</v>
      </c>
      <c r="E1765">
        <v>8370</v>
      </c>
      <c r="F1765">
        <v>83</v>
      </c>
      <c r="G1765" t="s">
        <v>20</v>
      </c>
      <c r="H1765" t="str">
        <f>IF(Grammys[[#This Row],[date]] &gt;= DATE(2022, 2, 1), "Grammys", "Grammys + TRA")</f>
        <v>Grammys + TRA</v>
      </c>
      <c r="I1765">
        <f>_xlfn.XLOOKUP(Grammys[[#This Row],[date]], mobile_visits[date], mobile_visits[mobile_visitors], 0)</f>
        <v>0</v>
      </c>
    </row>
    <row r="1766" spans="1:9" x14ac:dyDescent="0.2">
      <c r="A1766" s="1">
        <v>44500</v>
      </c>
      <c r="B1766">
        <v>14657</v>
      </c>
      <c r="C1766">
        <v>27284</v>
      </c>
      <c r="D1766">
        <v>15879</v>
      </c>
      <c r="E1766">
        <v>7661</v>
      </c>
      <c r="F1766">
        <v>84</v>
      </c>
      <c r="G1766" t="s">
        <v>20</v>
      </c>
      <c r="H1766" t="str">
        <f>IF(Grammys[[#This Row],[date]] &gt;= DATE(2022, 2, 1), "Grammys", "Grammys + TRA")</f>
        <v>Grammys + TRA</v>
      </c>
      <c r="I1766">
        <f>_xlfn.XLOOKUP(Grammys[[#This Row],[date]], mobile_visits[date], mobile_visits[mobile_visitors], 0)</f>
        <v>0</v>
      </c>
    </row>
    <row r="1767" spans="1:9" x14ac:dyDescent="0.2">
      <c r="A1767" s="1">
        <v>44501</v>
      </c>
      <c r="B1767">
        <v>17467</v>
      </c>
      <c r="C1767">
        <v>32774</v>
      </c>
      <c r="D1767">
        <v>18866</v>
      </c>
      <c r="E1767">
        <v>9200</v>
      </c>
      <c r="F1767">
        <v>85</v>
      </c>
      <c r="G1767" t="s">
        <v>20</v>
      </c>
      <c r="H1767" t="str">
        <f>IF(Grammys[[#This Row],[date]] &gt;= DATE(2022, 2, 1), "Grammys", "Grammys + TRA")</f>
        <v>Grammys + TRA</v>
      </c>
      <c r="I1767">
        <f>_xlfn.XLOOKUP(Grammys[[#This Row],[date]], mobile_visits[date], mobile_visits[mobile_visitors], 0)</f>
        <v>0</v>
      </c>
    </row>
    <row r="1768" spans="1:9" x14ac:dyDescent="0.2">
      <c r="A1768" s="1">
        <v>44502</v>
      </c>
      <c r="B1768">
        <v>18609</v>
      </c>
      <c r="C1768">
        <v>34777</v>
      </c>
      <c r="D1768">
        <v>20202</v>
      </c>
      <c r="E1768">
        <v>9663</v>
      </c>
      <c r="F1768">
        <v>89</v>
      </c>
      <c r="G1768" t="s">
        <v>20</v>
      </c>
      <c r="H1768" t="str">
        <f>IF(Grammys[[#This Row],[date]] &gt;= DATE(2022, 2, 1), "Grammys", "Grammys + TRA")</f>
        <v>Grammys + TRA</v>
      </c>
      <c r="I1768">
        <f>_xlfn.XLOOKUP(Grammys[[#This Row],[date]], mobile_visits[date], mobile_visits[mobile_visitors], 0)</f>
        <v>0</v>
      </c>
    </row>
    <row r="1769" spans="1:9" x14ac:dyDescent="0.2">
      <c r="A1769" s="1">
        <v>44503</v>
      </c>
      <c r="B1769">
        <v>18498</v>
      </c>
      <c r="C1769">
        <v>34044</v>
      </c>
      <c r="D1769">
        <v>20152</v>
      </c>
      <c r="E1769">
        <v>9817</v>
      </c>
      <c r="F1769">
        <v>84</v>
      </c>
      <c r="G1769" t="s">
        <v>20</v>
      </c>
      <c r="H1769" t="str">
        <f>IF(Grammys[[#This Row],[date]] &gt;= DATE(2022, 2, 1), "Grammys", "Grammys + TRA")</f>
        <v>Grammys + TRA</v>
      </c>
      <c r="I1769">
        <f>_xlfn.XLOOKUP(Grammys[[#This Row],[date]], mobile_visits[date], mobile_visits[mobile_visitors], 0)</f>
        <v>0</v>
      </c>
    </row>
    <row r="1770" spans="1:9" x14ac:dyDescent="0.2">
      <c r="A1770" s="1">
        <v>44504</v>
      </c>
      <c r="B1770">
        <v>21514</v>
      </c>
      <c r="C1770">
        <v>40260</v>
      </c>
      <c r="D1770">
        <v>23718</v>
      </c>
      <c r="E1770">
        <v>11184</v>
      </c>
      <c r="F1770">
        <v>79</v>
      </c>
      <c r="G1770" t="s">
        <v>20</v>
      </c>
      <c r="H1770" t="str">
        <f>IF(Grammys[[#This Row],[date]] &gt;= DATE(2022, 2, 1), "Grammys", "Grammys + TRA")</f>
        <v>Grammys + TRA</v>
      </c>
      <c r="I1770">
        <f>_xlfn.XLOOKUP(Grammys[[#This Row],[date]], mobile_visits[date], mobile_visits[mobile_visitors], 0)</f>
        <v>0</v>
      </c>
    </row>
    <row r="1771" spans="1:9" x14ac:dyDescent="0.2">
      <c r="A1771" s="1">
        <v>44505</v>
      </c>
      <c r="B1771">
        <v>21038</v>
      </c>
      <c r="C1771">
        <v>39601</v>
      </c>
      <c r="D1771">
        <v>22990</v>
      </c>
      <c r="E1771">
        <v>10774</v>
      </c>
      <c r="F1771">
        <v>84</v>
      </c>
      <c r="G1771" t="s">
        <v>20</v>
      </c>
      <c r="H1771" t="str">
        <f>IF(Grammys[[#This Row],[date]] &gt;= DATE(2022, 2, 1), "Grammys", "Grammys + TRA")</f>
        <v>Grammys + TRA</v>
      </c>
      <c r="I1771">
        <f>_xlfn.XLOOKUP(Grammys[[#This Row],[date]], mobile_visits[date], mobile_visits[mobile_visitors], 0)</f>
        <v>0</v>
      </c>
    </row>
    <row r="1772" spans="1:9" x14ac:dyDescent="0.2">
      <c r="A1772" s="1">
        <v>44506</v>
      </c>
      <c r="B1772">
        <v>16424</v>
      </c>
      <c r="C1772">
        <v>28301</v>
      </c>
      <c r="D1772">
        <v>17611</v>
      </c>
      <c r="E1772">
        <v>9218</v>
      </c>
      <c r="F1772">
        <v>72</v>
      </c>
      <c r="G1772" t="s">
        <v>20</v>
      </c>
      <c r="H1772" t="str">
        <f>IF(Grammys[[#This Row],[date]] &gt;= DATE(2022, 2, 1), "Grammys", "Grammys + TRA")</f>
        <v>Grammys + TRA</v>
      </c>
      <c r="I1772">
        <f>_xlfn.XLOOKUP(Grammys[[#This Row],[date]], mobile_visits[date], mobile_visits[mobile_visitors], 0)</f>
        <v>0</v>
      </c>
    </row>
    <row r="1773" spans="1:9" x14ac:dyDescent="0.2">
      <c r="A1773" s="1">
        <v>44507</v>
      </c>
      <c r="B1773">
        <v>15679</v>
      </c>
      <c r="C1773">
        <v>27108</v>
      </c>
      <c r="D1773">
        <v>16806</v>
      </c>
      <c r="E1773">
        <v>8736</v>
      </c>
      <c r="F1773">
        <v>72</v>
      </c>
      <c r="G1773" t="s">
        <v>20</v>
      </c>
      <c r="H1773" t="str">
        <f>IF(Grammys[[#This Row],[date]] &gt;= DATE(2022, 2, 1), "Grammys", "Grammys + TRA")</f>
        <v>Grammys + TRA</v>
      </c>
      <c r="I1773">
        <f>_xlfn.XLOOKUP(Grammys[[#This Row],[date]], mobile_visits[date], mobile_visits[mobile_visitors], 0)</f>
        <v>0</v>
      </c>
    </row>
    <row r="1774" spans="1:9" x14ac:dyDescent="0.2">
      <c r="A1774" s="1">
        <v>44508</v>
      </c>
      <c r="B1774">
        <v>17045</v>
      </c>
      <c r="C1774">
        <v>30646</v>
      </c>
      <c r="D1774">
        <v>18222</v>
      </c>
      <c r="E1774">
        <v>9071</v>
      </c>
      <c r="F1774">
        <v>91</v>
      </c>
      <c r="G1774" t="s">
        <v>20</v>
      </c>
      <c r="H1774" t="str">
        <f>IF(Grammys[[#This Row],[date]] &gt;= DATE(2022, 2, 1), "Grammys", "Grammys + TRA")</f>
        <v>Grammys + TRA</v>
      </c>
      <c r="I1774">
        <f>_xlfn.XLOOKUP(Grammys[[#This Row],[date]], mobile_visits[date], mobile_visits[mobile_visitors], 0)</f>
        <v>0</v>
      </c>
    </row>
    <row r="1775" spans="1:9" x14ac:dyDescent="0.2">
      <c r="A1775" s="1">
        <v>44509</v>
      </c>
      <c r="B1775">
        <v>21813</v>
      </c>
      <c r="C1775">
        <v>37060</v>
      </c>
      <c r="D1775">
        <v>23289</v>
      </c>
      <c r="E1775">
        <v>10755</v>
      </c>
      <c r="F1775">
        <v>141</v>
      </c>
      <c r="G1775" t="s">
        <v>20</v>
      </c>
      <c r="H1775" t="str">
        <f>IF(Grammys[[#This Row],[date]] &gt;= DATE(2022, 2, 1), "Grammys", "Grammys + TRA")</f>
        <v>Grammys + TRA</v>
      </c>
      <c r="I1775">
        <f>_xlfn.XLOOKUP(Grammys[[#This Row],[date]], mobile_visits[date], mobile_visits[mobile_visitors], 0)</f>
        <v>0</v>
      </c>
    </row>
    <row r="1776" spans="1:9" x14ac:dyDescent="0.2">
      <c r="A1776" s="1">
        <v>44510</v>
      </c>
      <c r="B1776">
        <v>20062</v>
      </c>
      <c r="C1776">
        <v>33961</v>
      </c>
      <c r="D1776">
        <v>21401</v>
      </c>
      <c r="E1776">
        <v>10395</v>
      </c>
      <c r="F1776">
        <v>111</v>
      </c>
      <c r="G1776" t="s">
        <v>20</v>
      </c>
      <c r="H1776" t="str">
        <f>IF(Grammys[[#This Row],[date]] &gt;= DATE(2022, 2, 1), "Grammys", "Grammys + TRA")</f>
        <v>Grammys + TRA</v>
      </c>
      <c r="I1776">
        <f>_xlfn.XLOOKUP(Grammys[[#This Row],[date]], mobile_visits[date], mobile_visits[mobile_visitors], 0)</f>
        <v>0</v>
      </c>
    </row>
    <row r="1777" spans="1:9" x14ac:dyDescent="0.2">
      <c r="A1777" s="1">
        <v>44511</v>
      </c>
      <c r="B1777">
        <v>19411</v>
      </c>
      <c r="C1777">
        <v>33307</v>
      </c>
      <c r="D1777">
        <v>20800</v>
      </c>
      <c r="E1777">
        <v>10461</v>
      </c>
      <c r="F1777">
        <v>92</v>
      </c>
      <c r="G1777" t="s">
        <v>20</v>
      </c>
      <c r="H1777" t="str">
        <f>IF(Grammys[[#This Row],[date]] &gt;= DATE(2022, 2, 1), "Grammys", "Grammys + TRA")</f>
        <v>Grammys + TRA</v>
      </c>
      <c r="I1777">
        <f>_xlfn.XLOOKUP(Grammys[[#This Row],[date]], mobile_visits[date], mobile_visits[mobile_visitors], 0)</f>
        <v>0</v>
      </c>
    </row>
    <row r="1778" spans="1:9" x14ac:dyDescent="0.2">
      <c r="A1778" s="1">
        <v>44512</v>
      </c>
      <c r="B1778">
        <v>21058</v>
      </c>
      <c r="C1778">
        <v>35006</v>
      </c>
      <c r="D1778">
        <v>22428</v>
      </c>
      <c r="E1778">
        <v>11537</v>
      </c>
      <c r="F1778">
        <v>83</v>
      </c>
      <c r="G1778" t="s">
        <v>20</v>
      </c>
      <c r="H1778" t="str">
        <f>IF(Grammys[[#This Row],[date]] &gt;= DATE(2022, 2, 1), "Grammys", "Grammys + TRA")</f>
        <v>Grammys + TRA</v>
      </c>
      <c r="I1778">
        <f>_xlfn.XLOOKUP(Grammys[[#This Row],[date]], mobile_visits[date], mobile_visits[mobile_visitors], 0)</f>
        <v>0</v>
      </c>
    </row>
    <row r="1779" spans="1:9" x14ac:dyDescent="0.2">
      <c r="A1779" s="1">
        <v>44513</v>
      </c>
      <c r="B1779">
        <v>19256</v>
      </c>
      <c r="C1779">
        <v>31787</v>
      </c>
      <c r="D1779">
        <v>20508</v>
      </c>
      <c r="E1779">
        <v>10074</v>
      </c>
      <c r="F1779">
        <v>87</v>
      </c>
      <c r="G1779" t="s">
        <v>20</v>
      </c>
      <c r="H1779" t="str">
        <f>IF(Grammys[[#This Row],[date]] &gt;= DATE(2022, 2, 1), "Grammys", "Grammys + TRA")</f>
        <v>Grammys + TRA</v>
      </c>
      <c r="I1779">
        <f>_xlfn.XLOOKUP(Grammys[[#This Row],[date]], mobile_visits[date], mobile_visits[mobile_visitors], 0)</f>
        <v>0</v>
      </c>
    </row>
    <row r="1780" spans="1:9" x14ac:dyDescent="0.2">
      <c r="A1780" s="1">
        <v>44514</v>
      </c>
      <c r="B1780">
        <v>19955</v>
      </c>
      <c r="C1780">
        <v>33316</v>
      </c>
      <c r="D1780">
        <v>21130</v>
      </c>
      <c r="E1780">
        <v>10502</v>
      </c>
      <c r="F1780">
        <v>81</v>
      </c>
      <c r="G1780" t="s">
        <v>20</v>
      </c>
      <c r="H1780" t="str">
        <f>IF(Grammys[[#This Row],[date]] &gt;= DATE(2022, 2, 1), "Grammys", "Grammys + TRA")</f>
        <v>Grammys + TRA</v>
      </c>
      <c r="I1780">
        <f>_xlfn.XLOOKUP(Grammys[[#This Row],[date]], mobile_visits[date], mobile_visits[mobile_visitors], 0)</f>
        <v>0</v>
      </c>
    </row>
    <row r="1781" spans="1:9" x14ac:dyDescent="0.2">
      <c r="A1781" s="1">
        <v>44515</v>
      </c>
      <c r="B1781">
        <v>19645</v>
      </c>
      <c r="C1781">
        <v>34870</v>
      </c>
      <c r="D1781">
        <v>21254</v>
      </c>
      <c r="E1781">
        <v>10730</v>
      </c>
      <c r="F1781">
        <v>82</v>
      </c>
      <c r="G1781" t="s">
        <v>20</v>
      </c>
      <c r="H1781" t="str">
        <f>IF(Grammys[[#This Row],[date]] &gt;= DATE(2022, 2, 1), "Grammys", "Grammys + TRA")</f>
        <v>Grammys + TRA</v>
      </c>
      <c r="I1781">
        <f>_xlfn.XLOOKUP(Grammys[[#This Row],[date]], mobile_visits[date], mobile_visits[mobile_visitors], 0)</f>
        <v>0</v>
      </c>
    </row>
    <row r="1782" spans="1:9" x14ac:dyDescent="0.2">
      <c r="A1782" s="1">
        <v>44516</v>
      </c>
      <c r="B1782">
        <v>20371</v>
      </c>
      <c r="C1782">
        <v>35957</v>
      </c>
      <c r="D1782">
        <v>21793</v>
      </c>
      <c r="E1782">
        <v>10951</v>
      </c>
      <c r="F1782">
        <v>77</v>
      </c>
      <c r="G1782" t="s">
        <v>20</v>
      </c>
      <c r="H1782" t="str">
        <f>IF(Grammys[[#This Row],[date]] &gt;= DATE(2022, 2, 1), "Grammys", "Grammys + TRA")</f>
        <v>Grammys + TRA</v>
      </c>
      <c r="I1782">
        <f>_xlfn.XLOOKUP(Grammys[[#This Row],[date]], mobile_visits[date], mobile_visits[mobile_visitors], 0)</f>
        <v>0</v>
      </c>
    </row>
    <row r="1783" spans="1:9" x14ac:dyDescent="0.2">
      <c r="A1783" s="1">
        <v>44517</v>
      </c>
      <c r="B1783">
        <v>21128</v>
      </c>
      <c r="C1783">
        <v>37176</v>
      </c>
      <c r="D1783">
        <v>23041</v>
      </c>
      <c r="E1783">
        <v>11590</v>
      </c>
      <c r="F1783">
        <v>79</v>
      </c>
      <c r="G1783" t="s">
        <v>20</v>
      </c>
      <c r="H1783" t="str">
        <f>IF(Grammys[[#This Row],[date]] &gt;= DATE(2022, 2, 1), "Grammys", "Grammys + TRA")</f>
        <v>Grammys + TRA</v>
      </c>
      <c r="I1783">
        <f>_xlfn.XLOOKUP(Grammys[[#This Row],[date]], mobile_visits[date], mobile_visits[mobile_visitors], 0)</f>
        <v>0</v>
      </c>
    </row>
    <row r="1784" spans="1:9" x14ac:dyDescent="0.2">
      <c r="A1784" s="1">
        <v>44518</v>
      </c>
      <c r="B1784">
        <v>29453</v>
      </c>
      <c r="C1784">
        <v>49787</v>
      </c>
      <c r="D1784">
        <v>31573</v>
      </c>
      <c r="E1784">
        <v>16662</v>
      </c>
      <c r="F1784">
        <v>74</v>
      </c>
      <c r="G1784" t="s">
        <v>20</v>
      </c>
      <c r="H1784" t="str">
        <f>IF(Grammys[[#This Row],[date]] &gt;= DATE(2022, 2, 1), "Grammys", "Grammys + TRA")</f>
        <v>Grammys + TRA</v>
      </c>
      <c r="I1784">
        <f>_xlfn.XLOOKUP(Grammys[[#This Row],[date]], mobile_visits[date], mobile_visits[mobile_visitors], 0)</f>
        <v>0</v>
      </c>
    </row>
    <row r="1785" spans="1:9" x14ac:dyDescent="0.2">
      <c r="A1785" s="1">
        <v>44519</v>
      </c>
      <c r="B1785">
        <v>23814</v>
      </c>
      <c r="C1785">
        <v>42481</v>
      </c>
      <c r="D1785">
        <v>25899</v>
      </c>
      <c r="E1785">
        <v>13743</v>
      </c>
      <c r="F1785">
        <v>79</v>
      </c>
      <c r="G1785" t="s">
        <v>20</v>
      </c>
      <c r="H1785" t="str">
        <f>IF(Grammys[[#This Row],[date]] &gt;= DATE(2022, 2, 1), "Grammys", "Grammys + TRA")</f>
        <v>Grammys + TRA</v>
      </c>
      <c r="I1785">
        <f>_xlfn.XLOOKUP(Grammys[[#This Row],[date]], mobile_visits[date], mobile_visits[mobile_visitors], 0)</f>
        <v>0</v>
      </c>
    </row>
    <row r="1786" spans="1:9" x14ac:dyDescent="0.2">
      <c r="A1786" s="1">
        <v>44520</v>
      </c>
      <c r="B1786">
        <v>19383</v>
      </c>
      <c r="C1786">
        <v>32215</v>
      </c>
      <c r="D1786">
        <v>20686</v>
      </c>
      <c r="E1786">
        <v>11084</v>
      </c>
      <c r="F1786">
        <v>75</v>
      </c>
      <c r="G1786" t="s">
        <v>20</v>
      </c>
      <c r="H1786" t="str">
        <f>IF(Grammys[[#This Row],[date]] &gt;= DATE(2022, 2, 1), "Grammys", "Grammys + TRA")</f>
        <v>Grammys + TRA</v>
      </c>
      <c r="I1786">
        <f>_xlfn.XLOOKUP(Grammys[[#This Row],[date]], mobile_visits[date], mobile_visits[mobile_visitors], 0)</f>
        <v>0</v>
      </c>
    </row>
    <row r="1787" spans="1:9" x14ac:dyDescent="0.2">
      <c r="A1787" s="1">
        <v>44521</v>
      </c>
      <c r="B1787">
        <v>26549</v>
      </c>
      <c r="C1787">
        <v>45972</v>
      </c>
      <c r="D1787">
        <v>28520</v>
      </c>
      <c r="E1787">
        <v>14586</v>
      </c>
      <c r="F1787">
        <v>71</v>
      </c>
      <c r="G1787" t="s">
        <v>20</v>
      </c>
      <c r="H1787" t="str">
        <f>IF(Grammys[[#This Row],[date]] &gt;= DATE(2022, 2, 1), "Grammys", "Grammys + TRA")</f>
        <v>Grammys + TRA</v>
      </c>
      <c r="I1787">
        <f>_xlfn.XLOOKUP(Grammys[[#This Row],[date]], mobile_visits[date], mobile_visits[mobile_visitors], 0)</f>
        <v>0</v>
      </c>
    </row>
    <row r="1788" spans="1:9" x14ac:dyDescent="0.2">
      <c r="A1788" s="1">
        <v>44522</v>
      </c>
      <c r="B1788">
        <v>48798</v>
      </c>
      <c r="C1788">
        <v>89115</v>
      </c>
      <c r="D1788">
        <v>53149</v>
      </c>
      <c r="E1788">
        <v>22185</v>
      </c>
      <c r="F1788">
        <v>78</v>
      </c>
      <c r="G1788" t="s">
        <v>21</v>
      </c>
      <c r="H1788" t="str">
        <f>IF(Grammys[[#This Row],[date]] &gt;= DATE(2022, 2, 1), "Grammys", "Grammys + TRA")</f>
        <v>Grammys + TRA</v>
      </c>
      <c r="I1788">
        <f>_xlfn.XLOOKUP(Grammys[[#This Row],[date]], mobile_visits[date], mobile_visits[mobile_visitors], 0)</f>
        <v>0</v>
      </c>
    </row>
    <row r="1789" spans="1:9" x14ac:dyDescent="0.2">
      <c r="A1789" s="1">
        <v>44523</v>
      </c>
      <c r="B1789">
        <v>1003504</v>
      </c>
      <c r="C1789">
        <v>1894717</v>
      </c>
      <c r="D1789">
        <v>1139162</v>
      </c>
      <c r="E1789">
        <v>336053</v>
      </c>
      <c r="F1789">
        <v>147</v>
      </c>
      <c r="G1789" t="s">
        <v>20</v>
      </c>
      <c r="H1789" t="str">
        <f>IF(Grammys[[#This Row],[date]] &gt;= DATE(2022, 2, 1), "Grammys", "Grammys + TRA")</f>
        <v>Grammys + TRA</v>
      </c>
      <c r="I1789">
        <f>_xlfn.XLOOKUP(Grammys[[#This Row],[date]], mobile_visits[date], mobile_visits[mobile_visitors], 0)</f>
        <v>0</v>
      </c>
    </row>
    <row r="1790" spans="1:9" x14ac:dyDescent="0.2">
      <c r="A1790" s="1">
        <v>44524</v>
      </c>
      <c r="B1790">
        <v>414730</v>
      </c>
      <c r="C1790">
        <v>711688</v>
      </c>
      <c r="D1790">
        <v>459412</v>
      </c>
      <c r="E1790">
        <v>183627</v>
      </c>
      <c r="F1790">
        <v>128</v>
      </c>
      <c r="G1790" t="s">
        <v>20</v>
      </c>
      <c r="H1790" t="str">
        <f>IF(Grammys[[#This Row],[date]] &gt;= DATE(2022, 2, 1), "Grammys", "Grammys + TRA")</f>
        <v>Grammys + TRA</v>
      </c>
      <c r="I1790">
        <f>_xlfn.XLOOKUP(Grammys[[#This Row],[date]], mobile_visits[date], mobile_visits[mobile_visitors], 0)</f>
        <v>0</v>
      </c>
    </row>
    <row r="1791" spans="1:9" x14ac:dyDescent="0.2">
      <c r="A1791" s="1">
        <v>44525</v>
      </c>
      <c r="B1791">
        <v>144668</v>
      </c>
      <c r="C1791">
        <v>258031</v>
      </c>
      <c r="D1791">
        <v>162235</v>
      </c>
      <c r="E1791">
        <v>70930</v>
      </c>
      <c r="F1791">
        <v>121</v>
      </c>
      <c r="G1791" t="s">
        <v>20</v>
      </c>
      <c r="H1791" t="str">
        <f>IF(Grammys[[#This Row],[date]] &gt;= DATE(2022, 2, 1), "Grammys", "Grammys + TRA")</f>
        <v>Grammys + TRA</v>
      </c>
      <c r="I1791">
        <f>_xlfn.XLOOKUP(Grammys[[#This Row],[date]], mobile_visits[date], mobile_visits[mobile_visitors], 0)</f>
        <v>0</v>
      </c>
    </row>
    <row r="1792" spans="1:9" x14ac:dyDescent="0.2">
      <c r="A1792" s="1">
        <v>44526</v>
      </c>
      <c r="B1792">
        <v>99395</v>
      </c>
      <c r="C1792">
        <v>179326</v>
      </c>
      <c r="D1792">
        <v>109041</v>
      </c>
      <c r="E1792">
        <v>47608</v>
      </c>
      <c r="F1792">
        <v>116</v>
      </c>
      <c r="G1792" t="s">
        <v>20</v>
      </c>
      <c r="H1792" t="str">
        <f>IF(Grammys[[#This Row],[date]] &gt;= DATE(2022, 2, 1), "Grammys", "Grammys + TRA")</f>
        <v>Grammys + TRA</v>
      </c>
      <c r="I1792">
        <f>_xlfn.XLOOKUP(Grammys[[#This Row],[date]], mobile_visits[date], mobile_visits[mobile_visitors], 0)</f>
        <v>0</v>
      </c>
    </row>
    <row r="1793" spans="1:9" x14ac:dyDescent="0.2">
      <c r="A1793" s="1">
        <v>44527</v>
      </c>
      <c r="B1793">
        <v>75306</v>
      </c>
      <c r="C1793">
        <v>132900</v>
      </c>
      <c r="D1793">
        <v>82460</v>
      </c>
      <c r="E1793">
        <v>36374</v>
      </c>
      <c r="F1793">
        <v>120</v>
      </c>
      <c r="G1793" t="s">
        <v>20</v>
      </c>
      <c r="H1793" t="str">
        <f>IF(Grammys[[#This Row],[date]] &gt;= DATE(2022, 2, 1), "Grammys", "Grammys + TRA")</f>
        <v>Grammys + TRA</v>
      </c>
      <c r="I1793">
        <f>_xlfn.XLOOKUP(Grammys[[#This Row],[date]], mobile_visits[date], mobile_visits[mobile_visitors], 0)</f>
        <v>0</v>
      </c>
    </row>
    <row r="1794" spans="1:9" x14ac:dyDescent="0.2">
      <c r="A1794" s="1">
        <v>44528</v>
      </c>
      <c r="B1794">
        <v>66848</v>
      </c>
      <c r="C1794">
        <v>120251</v>
      </c>
      <c r="D1794">
        <v>73229</v>
      </c>
      <c r="E1794">
        <v>31628</v>
      </c>
      <c r="F1794">
        <v>118</v>
      </c>
      <c r="G1794" t="s">
        <v>20</v>
      </c>
      <c r="H1794" t="str">
        <f>IF(Grammys[[#This Row],[date]] &gt;= DATE(2022, 2, 1), "Grammys", "Grammys + TRA")</f>
        <v>Grammys + TRA</v>
      </c>
      <c r="I1794">
        <f>_xlfn.XLOOKUP(Grammys[[#This Row],[date]], mobile_visits[date], mobile_visits[mobile_visitors], 0)</f>
        <v>0</v>
      </c>
    </row>
    <row r="1795" spans="1:9" x14ac:dyDescent="0.2">
      <c r="A1795" s="1">
        <v>44529</v>
      </c>
      <c r="B1795">
        <v>58110</v>
      </c>
      <c r="C1795">
        <v>108988</v>
      </c>
      <c r="D1795">
        <v>63367</v>
      </c>
      <c r="E1795">
        <v>27362</v>
      </c>
      <c r="F1795">
        <v>123</v>
      </c>
      <c r="G1795" t="s">
        <v>20</v>
      </c>
      <c r="H1795" t="str">
        <f>IF(Grammys[[#This Row],[date]] &gt;= DATE(2022, 2, 1), "Grammys", "Grammys + TRA")</f>
        <v>Grammys + TRA</v>
      </c>
      <c r="I1795">
        <f>_xlfn.XLOOKUP(Grammys[[#This Row],[date]], mobile_visits[date], mobile_visits[mobile_visitors], 0)</f>
        <v>0</v>
      </c>
    </row>
    <row r="1796" spans="1:9" x14ac:dyDescent="0.2">
      <c r="A1796" s="1">
        <v>44530</v>
      </c>
      <c r="B1796">
        <v>48440</v>
      </c>
      <c r="C1796">
        <v>88931</v>
      </c>
      <c r="D1796">
        <v>53457</v>
      </c>
      <c r="E1796">
        <v>24013</v>
      </c>
      <c r="F1796">
        <v>118</v>
      </c>
      <c r="G1796" t="s">
        <v>20</v>
      </c>
      <c r="H1796" t="str">
        <f>IF(Grammys[[#This Row],[date]] &gt;= DATE(2022, 2, 1), "Grammys", "Grammys + TRA")</f>
        <v>Grammys + TRA</v>
      </c>
      <c r="I1796">
        <f>_xlfn.XLOOKUP(Grammys[[#This Row],[date]], mobile_visits[date], mobile_visits[mobile_visitors], 0)</f>
        <v>0</v>
      </c>
    </row>
    <row r="1797" spans="1:9" x14ac:dyDescent="0.2">
      <c r="A1797" s="1">
        <v>44531</v>
      </c>
      <c r="B1797">
        <v>45485</v>
      </c>
      <c r="C1797">
        <v>84789</v>
      </c>
      <c r="D1797">
        <v>50039</v>
      </c>
      <c r="E1797">
        <v>22908</v>
      </c>
      <c r="F1797">
        <v>110</v>
      </c>
      <c r="G1797" t="s">
        <v>20</v>
      </c>
      <c r="H1797" t="str">
        <f>IF(Grammys[[#This Row],[date]] &gt;= DATE(2022, 2, 1), "Grammys", "Grammys + TRA")</f>
        <v>Grammys + TRA</v>
      </c>
      <c r="I1797">
        <f>_xlfn.XLOOKUP(Grammys[[#This Row],[date]], mobile_visits[date], mobile_visits[mobile_visitors], 0)</f>
        <v>0</v>
      </c>
    </row>
    <row r="1798" spans="1:9" x14ac:dyDescent="0.2">
      <c r="A1798" s="1">
        <v>44532</v>
      </c>
      <c r="B1798">
        <v>39226</v>
      </c>
      <c r="C1798">
        <v>73000</v>
      </c>
      <c r="D1798">
        <v>43337</v>
      </c>
      <c r="E1798">
        <v>20538</v>
      </c>
      <c r="F1798">
        <v>103</v>
      </c>
      <c r="G1798" t="s">
        <v>20</v>
      </c>
      <c r="H1798" t="str">
        <f>IF(Grammys[[#This Row],[date]] &gt;= DATE(2022, 2, 1), "Grammys", "Grammys + TRA")</f>
        <v>Grammys + TRA</v>
      </c>
      <c r="I1798">
        <f>_xlfn.XLOOKUP(Grammys[[#This Row],[date]], mobile_visits[date], mobile_visits[mobile_visitors], 0)</f>
        <v>0</v>
      </c>
    </row>
    <row r="1799" spans="1:9" x14ac:dyDescent="0.2">
      <c r="A1799" s="1">
        <v>44533</v>
      </c>
      <c r="B1799">
        <v>34250</v>
      </c>
      <c r="C1799">
        <v>63092</v>
      </c>
      <c r="D1799">
        <v>38030</v>
      </c>
      <c r="E1799">
        <v>18342</v>
      </c>
      <c r="F1799">
        <v>106</v>
      </c>
      <c r="G1799" t="s">
        <v>20</v>
      </c>
      <c r="H1799" t="str">
        <f>IF(Grammys[[#This Row],[date]] &gt;= DATE(2022, 2, 1), "Grammys", "Grammys + TRA")</f>
        <v>Grammys + TRA</v>
      </c>
      <c r="I1799">
        <f>_xlfn.XLOOKUP(Grammys[[#This Row],[date]], mobile_visits[date], mobile_visits[mobile_visitors], 0)</f>
        <v>0</v>
      </c>
    </row>
    <row r="1800" spans="1:9" x14ac:dyDescent="0.2">
      <c r="A1800" s="1">
        <v>44534</v>
      </c>
      <c r="B1800">
        <v>31242</v>
      </c>
      <c r="C1800">
        <v>55453</v>
      </c>
      <c r="D1800">
        <v>34124</v>
      </c>
      <c r="E1800">
        <v>16479</v>
      </c>
      <c r="F1800">
        <v>106</v>
      </c>
      <c r="G1800" t="s">
        <v>20</v>
      </c>
      <c r="H1800" t="str">
        <f>IF(Grammys[[#This Row],[date]] &gt;= DATE(2022, 2, 1), "Grammys", "Grammys + TRA")</f>
        <v>Grammys + TRA</v>
      </c>
      <c r="I1800">
        <f>_xlfn.XLOOKUP(Grammys[[#This Row],[date]], mobile_visits[date], mobile_visits[mobile_visitors], 0)</f>
        <v>0</v>
      </c>
    </row>
    <row r="1801" spans="1:9" x14ac:dyDescent="0.2">
      <c r="A1801" s="1">
        <v>44535</v>
      </c>
      <c r="B1801">
        <v>32553</v>
      </c>
      <c r="C1801">
        <v>59475</v>
      </c>
      <c r="D1801">
        <v>35681</v>
      </c>
      <c r="E1801">
        <v>17556</v>
      </c>
      <c r="F1801">
        <v>107</v>
      </c>
      <c r="G1801" t="s">
        <v>20</v>
      </c>
      <c r="H1801" t="str">
        <f>IF(Grammys[[#This Row],[date]] &gt;= DATE(2022, 2, 1), "Grammys", "Grammys + TRA")</f>
        <v>Grammys + TRA</v>
      </c>
      <c r="I1801">
        <f>_xlfn.XLOOKUP(Grammys[[#This Row],[date]], mobile_visits[date], mobile_visits[mobile_visitors], 0)</f>
        <v>0</v>
      </c>
    </row>
    <row r="1802" spans="1:9" x14ac:dyDescent="0.2">
      <c r="A1802" s="1">
        <v>44536</v>
      </c>
      <c r="B1802">
        <v>43623</v>
      </c>
      <c r="C1802">
        <v>81820</v>
      </c>
      <c r="D1802">
        <v>48175</v>
      </c>
      <c r="E1802">
        <v>22262</v>
      </c>
      <c r="F1802">
        <v>105</v>
      </c>
      <c r="G1802" t="s">
        <v>20</v>
      </c>
      <c r="H1802" t="str">
        <f>IF(Grammys[[#This Row],[date]] &gt;= DATE(2022, 2, 1), "Grammys", "Grammys + TRA")</f>
        <v>Grammys + TRA</v>
      </c>
      <c r="I1802">
        <f>_xlfn.XLOOKUP(Grammys[[#This Row],[date]], mobile_visits[date], mobile_visits[mobile_visitors], 0)</f>
        <v>0</v>
      </c>
    </row>
    <row r="1803" spans="1:9" x14ac:dyDescent="0.2">
      <c r="A1803" s="1">
        <v>44537</v>
      </c>
      <c r="B1803">
        <v>42044</v>
      </c>
      <c r="C1803">
        <v>78539</v>
      </c>
      <c r="D1803">
        <v>46259</v>
      </c>
      <c r="E1803">
        <v>21418</v>
      </c>
      <c r="F1803">
        <v>104</v>
      </c>
      <c r="G1803" t="s">
        <v>20</v>
      </c>
      <c r="H1803" t="str">
        <f>IF(Grammys[[#This Row],[date]] &gt;= DATE(2022, 2, 1), "Grammys", "Grammys + TRA")</f>
        <v>Grammys + TRA</v>
      </c>
      <c r="I1803">
        <f>_xlfn.XLOOKUP(Grammys[[#This Row],[date]], mobile_visits[date], mobile_visits[mobile_visitors], 0)</f>
        <v>0</v>
      </c>
    </row>
    <row r="1804" spans="1:9" x14ac:dyDescent="0.2">
      <c r="A1804" s="1">
        <v>44538</v>
      </c>
      <c r="B1804">
        <v>32332</v>
      </c>
      <c r="C1804">
        <v>62197</v>
      </c>
      <c r="D1804">
        <v>35880</v>
      </c>
      <c r="E1804">
        <v>16685</v>
      </c>
      <c r="F1804">
        <v>116</v>
      </c>
      <c r="G1804" t="s">
        <v>20</v>
      </c>
      <c r="H1804" t="str">
        <f>IF(Grammys[[#This Row],[date]] &gt;= DATE(2022, 2, 1), "Grammys", "Grammys + TRA")</f>
        <v>Grammys + TRA</v>
      </c>
      <c r="I1804">
        <f>_xlfn.XLOOKUP(Grammys[[#This Row],[date]], mobile_visits[date], mobile_visits[mobile_visitors], 0)</f>
        <v>0</v>
      </c>
    </row>
    <row r="1805" spans="1:9" x14ac:dyDescent="0.2">
      <c r="A1805" s="1">
        <v>44539</v>
      </c>
      <c r="B1805">
        <v>28173</v>
      </c>
      <c r="C1805">
        <v>53624</v>
      </c>
      <c r="D1805">
        <v>31029</v>
      </c>
      <c r="E1805">
        <v>14609</v>
      </c>
      <c r="F1805">
        <v>106</v>
      </c>
      <c r="G1805" t="s">
        <v>20</v>
      </c>
      <c r="H1805" t="str">
        <f>IF(Grammys[[#This Row],[date]] &gt;= DATE(2022, 2, 1), "Grammys", "Grammys + TRA")</f>
        <v>Grammys + TRA</v>
      </c>
      <c r="I1805">
        <f>_xlfn.XLOOKUP(Grammys[[#This Row],[date]], mobile_visits[date], mobile_visits[mobile_visitors], 0)</f>
        <v>0</v>
      </c>
    </row>
    <row r="1806" spans="1:9" x14ac:dyDescent="0.2">
      <c r="A1806" s="1">
        <v>44540</v>
      </c>
      <c r="B1806">
        <v>28200</v>
      </c>
      <c r="C1806">
        <v>50142</v>
      </c>
      <c r="D1806">
        <v>30273</v>
      </c>
      <c r="E1806">
        <v>14486</v>
      </c>
      <c r="F1806">
        <v>100</v>
      </c>
      <c r="G1806" t="s">
        <v>20</v>
      </c>
      <c r="H1806" t="str">
        <f>IF(Grammys[[#This Row],[date]] &gt;= DATE(2022, 2, 1), "Grammys", "Grammys + TRA")</f>
        <v>Grammys + TRA</v>
      </c>
      <c r="I1806">
        <f>_xlfn.XLOOKUP(Grammys[[#This Row],[date]], mobile_visits[date], mobile_visits[mobile_visitors], 0)</f>
        <v>0</v>
      </c>
    </row>
    <row r="1807" spans="1:9" x14ac:dyDescent="0.2">
      <c r="A1807" s="1">
        <v>44541</v>
      </c>
      <c r="B1807">
        <v>25699</v>
      </c>
      <c r="C1807">
        <v>44794</v>
      </c>
      <c r="D1807">
        <v>27883</v>
      </c>
      <c r="E1807">
        <v>13658</v>
      </c>
      <c r="F1807">
        <v>98</v>
      </c>
      <c r="G1807" t="s">
        <v>20</v>
      </c>
      <c r="H1807" t="str">
        <f>IF(Grammys[[#This Row],[date]] &gt;= DATE(2022, 2, 1), "Grammys", "Grammys + TRA")</f>
        <v>Grammys + TRA</v>
      </c>
      <c r="I1807">
        <f>_xlfn.XLOOKUP(Grammys[[#This Row],[date]], mobile_visits[date], mobile_visits[mobile_visitors], 0)</f>
        <v>0</v>
      </c>
    </row>
    <row r="1808" spans="1:9" x14ac:dyDescent="0.2">
      <c r="A1808" s="1">
        <v>44542</v>
      </c>
      <c r="B1808">
        <v>26464</v>
      </c>
      <c r="C1808">
        <v>46178</v>
      </c>
      <c r="D1808">
        <v>28753</v>
      </c>
      <c r="E1808">
        <v>14639</v>
      </c>
      <c r="F1808">
        <v>97</v>
      </c>
      <c r="G1808" t="s">
        <v>20</v>
      </c>
      <c r="H1808" t="str">
        <f>IF(Grammys[[#This Row],[date]] &gt;= DATE(2022, 2, 1), "Grammys", "Grammys + TRA")</f>
        <v>Grammys + TRA</v>
      </c>
      <c r="I1808">
        <f>_xlfn.XLOOKUP(Grammys[[#This Row],[date]], mobile_visits[date], mobile_visits[mobile_visitors], 0)</f>
        <v>0</v>
      </c>
    </row>
    <row r="1809" spans="1:9" x14ac:dyDescent="0.2">
      <c r="A1809" s="1">
        <v>44543</v>
      </c>
      <c r="B1809">
        <v>25485</v>
      </c>
      <c r="C1809">
        <v>47839</v>
      </c>
      <c r="D1809">
        <v>28190</v>
      </c>
      <c r="E1809">
        <v>13859</v>
      </c>
      <c r="F1809">
        <v>103</v>
      </c>
      <c r="G1809" t="s">
        <v>20</v>
      </c>
      <c r="H1809" t="str">
        <f>IF(Grammys[[#This Row],[date]] &gt;= DATE(2022, 2, 1), "Grammys", "Grammys + TRA")</f>
        <v>Grammys + TRA</v>
      </c>
      <c r="I1809">
        <f>_xlfn.XLOOKUP(Grammys[[#This Row],[date]], mobile_visits[date], mobile_visits[mobile_visitors], 0)</f>
        <v>0</v>
      </c>
    </row>
    <row r="1810" spans="1:9" x14ac:dyDescent="0.2">
      <c r="A1810" s="1">
        <v>44544</v>
      </c>
      <c r="B1810">
        <v>24091</v>
      </c>
      <c r="C1810">
        <v>43194</v>
      </c>
      <c r="D1810">
        <v>26089</v>
      </c>
      <c r="E1810">
        <v>13029</v>
      </c>
      <c r="F1810">
        <v>97</v>
      </c>
      <c r="G1810" t="s">
        <v>20</v>
      </c>
      <c r="H1810" t="str">
        <f>IF(Grammys[[#This Row],[date]] &gt;= DATE(2022, 2, 1), "Grammys", "Grammys + TRA")</f>
        <v>Grammys + TRA</v>
      </c>
      <c r="I1810">
        <f>_xlfn.XLOOKUP(Grammys[[#This Row],[date]], mobile_visits[date], mobile_visits[mobile_visitors], 0)</f>
        <v>0</v>
      </c>
    </row>
    <row r="1811" spans="1:9" x14ac:dyDescent="0.2">
      <c r="A1811" s="1">
        <v>44545</v>
      </c>
      <c r="B1811">
        <v>21457</v>
      </c>
      <c r="C1811">
        <v>40012</v>
      </c>
      <c r="D1811">
        <v>23793</v>
      </c>
      <c r="E1811">
        <v>11976</v>
      </c>
      <c r="F1811">
        <v>96</v>
      </c>
      <c r="G1811" t="s">
        <v>20</v>
      </c>
      <c r="H1811" t="str">
        <f>IF(Grammys[[#This Row],[date]] &gt;= DATE(2022, 2, 1), "Grammys", "Grammys + TRA")</f>
        <v>Grammys + TRA</v>
      </c>
      <c r="I1811">
        <f>_xlfn.XLOOKUP(Grammys[[#This Row],[date]], mobile_visits[date], mobile_visits[mobile_visitors], 0)</f>
        <v>0</v>
      </c>
    </row>
    <row r="1812" spans="1:9" x14ac:dyDescent="0.2">
      <c r="A1812" s="1">
        <v>44546</v>
      </c>
      <c r="B1812">
        <v>21360</v>
      </c>
      <c r="C1812">
        <v>38662</v>
      </c>
      <c r="D1812">
        <v>23302</v>
      </c>
      <c r="E1812">
        <v>11801</v>
      </c>
      <c r="F1812">
        <v>100</v>
      </c>
      <c r="G1812" t="s">
        <v>20</v>
      </c>
      <c r="H1812" t="str">
        <f>IF(Grammys[[#This Row],[date]] &gt;= DATE(2022, 2, 1), "Grammys", "Grammys + TRA")</f>
        <v>Grammys + TRA</v>
      </c>
      <c r="I1812">
        <f>_xlfn.XLOOKUP(Grammys[[#This Row],[date]], mobile_visits[date], mobile_visits[mobile_visitors], 0)</f>
        <v>0</v>
      </c>
    </row>
    <row r="1813" spans="1:9" x14ac:dyDescent="0.2">
      <c r="A1813" s="1">
        <v>44547</v>
      </c>
      <c r="B1813">
        <v>19782</v>
      </c>
      <c r="C1813">
        <v>35502</v>
      </c>
      <c r="D1813">
        <v>21606</v>
      </c>
      <c r="E1813">
        <v>10963</v>
      </c>
      <c r="F1813">
        <v>97</v>
      </c>
      <c r="G1813" t="s">
        <v>20</v>
      </c>
      <c r="H1813" t="str">
        <f>IF(Grammys[[#This Row],[date]] &gt;= DATE(2022, 2, 1), "Grammys", "Grammys + TRA")</f>
        <v>Grammys + TRA</v>
      </c>
      <c r="I1813">
        <f>_xlfn.XLOOKUP(Grammys[[#This Row],[date]], mobile_visits[date], mobile_visits[mobile_visitors], 0)</f>
        <v>0</v>
      </c>
    </row>
    <row r="1814" spans="1:9" x14ac:dyDescent="0.2">
      <c r="A1814" s="1">
        <v>44548</v>
      </c>
      <c r="B1814">
        <v>19568</v>
      </c>
      <c r="C1814">
        <v>33898</v>
      </c>
      <c r="D1814">
        <v>21348</v>
      </c>
      <c r="E1814">
        <v>10905</v>
      </c>
      <c r="F1814">
        <v>99</v>
      </c>
      <c r="G1814" t="s">
        <v>20</v>
      </c>
      <c r="H1814" t="str">
        <f>IF(Grammys[[#This Row],[date]] &gt;= DATE(2022, 2, 1), "Grammys", "Grammys + TRA")</f>
        <v>Grammys + TRA</v>
      </c>
      <c r="I1814">
        <f>_xlfn.XLOOKUP(Grammys[[#This Row],[date]], mobile_visits[date], mobile_visits[mobile_visitors], 0)</f>
        <v>0</v>
      </c>
    </row>
    <row r="1815" spans="1:9" x14ac:dyDescent="0.2">
      <c r="A1815" s="1">
        <v>44549</v>
      </c>
      <c r="B1815">
        <v>19727</v>
      </c>
      <c r="C1815">
        <v>34366</v>
      </c>
      <c r="D1815">
        <v>21552</v>
      </c>
      <c r="E1815">
        <v>10843</v>
      </c>
      <c r="F1815">
        <v>101</v>
      </c>
      <c r="G1815" t="s">
        <v>20</v>
      </c>
      <c r="H1815" t="str">
        <f>IF(Grammys[[#This Row],[date]] &gt;= DATE(2022, 2, 1), "Grammys", "Grammys + TRA")</f>
        <v>Grammys + TRA</v>
      </c>
      <c r="I1815">
        <f>_xlfn.XLOOKUP(Grammys[[#This Row],[date]], mobile_visits[date], mobile_visits[mobile_visitors], 0)</f>
        <v>0</v>
      </c>
    </row>
    <row r="1816" spans="1:9" x14ac:dyDescent="0.2">
      <c r="A1816" s="1">
        <v>44550</v>
      </c>
      <c r="B1816">
        <v>18962</v>
      </c>
      <c r="C1816">
        <v>34547</v>
      </c>
      <c r="D1816">
        <v>20771</v>
      </c>
      <c r="E1816">
        <v>10386</v>
      </c>
      <c r="F1816">
        <v>102</v>
      </c>
      <c r="G1816" t="s">
        <v>20</v>
      </c>
      <c r="H1816" t="str">
        <f>IF(Grammys[[#This Row],[date]] &gt;= DATE(2022, 2, 1), "Grammys", "Grammys + TRA")</f>
        <v>Grammys + TRA</v>
      </c>
      <c r="I1816">
        <f>_xlfn.XLOOKUP(Grammys[[#This Row],[date]], mobile_visits[date], mobile_visits[mobile_visitors], 0)</f>
        <v>0</v>
      </c>
    </row>
    <row r="1817" spans="1:9" x14ac:dyDescent="0.2">
      <c r="A1817" s="1">
        <v>44551</v>
      </c>
      <c r="B1817">
        <v>19503</v>
      </c>
      <c r="C1817">
        <v>34327</v>
      </c>
      <c r="D1817">
        <v>21212</v>
      </c>
      <c r="E1817">
        <v>10660</v>
      </c>
      <c r="F1817">
        <v>99</v>
      </c>
      <c r="G1817" t="s">
        <v>20</v>
      </c>
      <c r="H1817" t="str">
        <f>IF(Grammys[[#This Row],[date]] &gt;= DATE(2022, 2, 1), "Grammys", "Grammys + TRA")</f>
        <v>Grammys + TRA</v>
      </c>
      <c r="I1817">
        <f>_xlfn.XLOOKUP(Grammys[[#This Row],[date]], mobile_visits[date], mobile_visits[mobile_visitors], 0)</f>
        <v>0</v>
      </c>
    </row>
    <row r="1818" spans="1:9" x14ac:dyDescent="0.2">
      <c r="A1818" s="1">
        <v>44552</v>
      </c>
      <c r="B1818">
        <v>18941</v>
      </c>
      <c r="C1818">
        <v>33995</v>
      </c>
      <c r="D1818">
        <v>20901</v>
      </c>
      <c r="E1818">
        <v>10788</v>
      </c>
      <c r="F1818">
        <v>99</v>
      </c>
      <c r="G1818" t="s">
        <v>20</v>
      </c>
      <c r="H1818" t="str">
        <f>IF(Grammys[[#This Row],[date]] &gt;= DATE(2022, 2, 1), "Grammys", "Grammys + TRA")</f>
        <v>Grammys + TRA</v>
      </c>
      <c r="I1818">
        <f>_xlfn.XLOOKUP(Grammys[[#This Row],[date]], mobile_visits[date], mobile_visits[mobile_visitors], 0)</f>
        <v>0</v>
      </c>
    </row>
    <row r="1819" spans="1:9" x14ac:dyDescent="0.2">
      <c r="A1819" s="1">
        <v>44553</v>
      </c>
      <c r="B1819">
        <v>18618</v>
      </c>
      <c r="C1819">
        <v>33070</v>
      </c>
      <c r="D1819">
        <v>20577</v>
      </c>
      <c r="E1819">
        <v>10441</v>
      </c>
      <c r="F1819">
        <v>97</v>
      </c>
      <c r="G1819" t="s">
        <v>20</v>
      </c>
      <c r="H1819" t="str">
        <f>IF(Grammys[[#This Row],[date]] &gt;= DATE(2022, 2, 1), "Grammys", "Grammys + TRA")</f>
        <v>Grammys + TRA</v>
      </c>
      <c r="I1819">
        <f>_xlfn.XLOOKUP(Grammys[[#This Row],[date]], mobile_visits[date], mobile_visits[mobile_visitors], 0)</f>
        <v>0</v>
      </c>
    </row>
    <row r="1820" spans="1:9" x14ac:dyDescent="0.2">
      <c r="A1820" s="1">
        <v>44554</v>
      </c>
      <c r="B1820">
        <v>17222</v>
      </c>
      <c r="C1820">
        <v>29762</v>
      </c>
      <c r="D1820">
        <v>18848</v>
      </c>
      <c r="E1820">
        <v>9735</v>
      </c>
      <c r="F1820">
        <v>96</v>
      </c>
      <c r="G1820" t="s">
        <v>20</v>
      </c>
      <c r="H1820" t="str">
        <f>IF(Grammys[[#This Row],[date]] &gt;= DATE(2022, 2, 1), "Grammys", "Grammys + TRA")</f>
        <v>Grammys + TRA</v>
      </c>
      <c r="I1820">
        <f>_xlfn.XLOOKUP(Grammys[[#This Row],[date]], mobile_visits[date], mobile_visits[mobile_visitors], 0)</f>
        <v>0</v>
      </c>
    </row>
    <row r="1821" spans="1:9" x14ac:dyDescent="0.2">
      <c r="A1821" s="1">
        <v>44555</v>
      </c>
      <c r="B1821">
        <v>16779</v>
      </c>
      <c r="C1821">
        <v>28706</v>
      </c>
      <c r="D1821">
        <v>18026</v>
      </c>
      <c r="E1821">
        <v>9385</v>
      </c>
      <c r="F1821">
        <v>95</v>
      </c>
      <c r="G1821" t="s">
        <v>20</v>
      </c>
      <c r="H1821" t="str">
        <f>IF(Grammys[[#This Row],[date]] &gt;= DATE(2022, 2, 1), "Grammys", "Grammys + TRA")</f>
        <v>Grammys + TRA</v>
      </c>
      <c r="I1821">
        <f>_xlfn.XLOOKUP(Grammys[[#This Row],[date]], mobile_visits[date], mobile_visits[mobile_visitors], 0)</f>
        <v>0</v>
      </c>
    </row>
    <row r="1822" spans="1:9" x14ac:dyDescent="0.2">
      <c r="A1822" s="1">
        <v>44556</v>
      </c>
      <c r="B1822">
        <v>19561</v>
      </c>
      <c r="C1822">
        <v>34337</v>
      </c>
      <c r="D1822">
        <v>21534</v>
      </c>
      <c r="E1822">
        <v>10643</v>
      </c>
      <c r="F1822">
        <v>108</v>
      </c>
      <c r="G1822" t="s">
        <v>20</v>
      </c>
      <c r="H1822" t="str">
        <f>IF(Grammys[[#This Row],[date]] &gt;= DATE(2022, 2, 1), "Grammys", "Grammys + TRA")</f>
        <v>Grammys + TRA</v>
      </c>
      <c r="I1822">
        <f>_xlfn.XLOOKUP(Grammys[[#This Row],[date]], mobile_visits[date], mobile_visits[mobile_visitors], 0)</f>
        <v>0</v>
      </c>
    </row>
    <row r="1823" spans="1:9" x14ac:dyDescent="0.2">
      <c r="A1823" s="1">
        <v>44557</v>
      </c>
      <c r="B1823">
        <v>19361</v>
      </c>
      <c r="C1823">
        <v>35186</v>
      </c>
      <c r="D1823">
        <v>21462</v>
      </c>
      <c r="E1823">
        <v>10495</v>
      </c>
      <c r="F1823">
        <v>106</v>
      </c>
      <c r="G1823" t="s">
        <v>20</v>
      </c>
      <c r="H1823" t="str">
        <f>IF(Grammys[[#This Row],[date]] &gt;= DATE(2022, 2, 1), "Grammys", "Grammys + TRA")</f>
        <v>Grammys + TRA</v>
      </c>
      <c r="I1823">
        <f>_xlfn.XLOOKUP(Grammys[[#This Row],[date]], mobile_visits[date], mobile_visits[mobile_visitors], 0)</f>
        <v>0</v>
      </c>
    </row>
    <row r="1824" spans="1:9" x14ac:dyDescent="0.2">
      <c r="A1824" s="1">
        <v>44558</v>
      </c>
      <c r="B1824">
        <v>21521</v>
      </c>
      <c r="C1824">
        <v>39175</v>
      </c>
      <c r="D1824">
        <v>23579</v>
      </c>
      <c r="E1824">
        <v>11243</v>
      </c>
      <c r="F1824">
        <v>112</v>
      </c>
      <c r="G1824" t="s">
        <v>20</v>
      </c>
      <c r="H1824" t="str">
        <f>IF(Grammys[[#This Row],[date]] &gt;= DATE(2022, 2, 1), "Grammys", "Grammys + TRA")</f>
        <v>Grammys + TRA</v>
      </c>
      <c r="I1824">
        <f>_xlfn.XLOOKUP(Grammys[[#This Row],[date]], mobile_visits[date], mobile_visits[mobile_visitors], 0)</f>
        <v>0</v>
      </c>
    </row>
    <row r="1825" spans="1:9" x14ac:dyDescent="0.2">
      <c r="A1825" s="1">
        <v>44559</v>
      </c>
      <c r="B1825">
        <v>21924</v>
      </c>
      <c r="C1825">
        <v>39992</v>
      </c>
      <c r="D1825">
        <v>24155</v>
      </c>
      <c r="E1825">
        <v>11670</v>
      </c>
      <c r="F1825">
        <v>110</v>
      </c>
      <c r="G1825" t="s">
        <v>20</v>
      </c>
      <c r="H1825" t="str">
        <f>IF(Grammys[[#This Row],[date]] &gt;= DATE(2022, 2, 1), "Grammys", "Grammys + TRA")</f>
        <v>Grammys + TRA</v>
      </c>
      <c r="I1825">
        <f>_xlfn.XLOOKUP(Grammys[[#This Row],[date]], mobile_visits[date], mobile_visits[mobile_visitors], 0)</f>
        <v>0</v>
      </c>
    </row>
    <row r="1826" spans="1:9" x14ac:dyDescent="0.2">
      <c r="A1826" s="1">
        <v>44560</v>
      </c>
      <c r="B1826">
        <v>23859</v>
      </c>
      <c r="C1826">
        <v>44054</v>
      </c>
      <c r="D1826">
        <v>26137</v>
      </c>
      <c r="E1826">
        <v>11833</v>
      </c>
      <c r="F1826">
        <v>109</v>
      </c>
      <c r="G1826" t="s">
        <v>20</v>
      </c>
      <c r="H1826" t="str">
        <f>IF(Grammys[[#This Row],[date]] &gt;= DATE(2022, 2, 1), "Grammys", "Grammys + TRA")</f>
        <v>Grammys + TRA</v>
      </c>
      <c r="I1826">
        <f>_xlfn.XLOOKUP(Grammys[[#This Row],[date]], mobile_visits[date], mobile_visits[mobile_visitors], 0)</f>
        <v>0</v>
      </c>
    </row>
    <row r="1827" spans="1:9" x14ac:dyDescent="0.2">
      <c r="A1827" s="1">
        <v>44561</v>
      </c>
      <c r="B1827">
        <v>35922</v>
      </c>
      <c r="C1827">
        <v>59931</v>
      </c>
      <c r="D1827">
        <v>38860</v>
      </c>
      <c r="E1827">
        <v>15883</v>
      </c>
      <c r="F1827">
        <v>94</v>
      </c>
      <c r="G1827" t="s">
        <v>20</v>
      </c>
      <c r="H1827" t="str">
        <f>IF(Grammys[[#This Row],[date]] &gt;= DATE(2022, 2, 1), "Grammys", "Grammys + TRA")</f>
        <v>Grammys + TRA</v>
      </c>
      <c r="I1827">
        <f>_xlfn.XLOOKUP(Grammys[[#This Row],[date]], mobile_visits[date], mobile_visits[mobile_visitors], 0)</f>
        <v>0</v>
      </c>
    </row>
    <row r="1828" spans="1:9" x14ac:dyDescent="0.2">
      <c r="A1828" s="1">
        <v>44562</v>
      </c>
      <c r="B1828">
        <v>27103</v>
      </c>
      <c r="C1828">
        <v>46877</v>
      </c>
      <c r="D1828">
        <v>29266</v>
      </c>
      <c r="E1828">
        <v>13150</v>
      </c>
      <c r="F1828">
        <v>101</v>
      </c>
      <c r="G1828" t="s">
        <v>20</v>
      </c>
      <c r="H1828" t="str">
        <f>IF(Grammys[[#This Row],[date]] &gt;= DATE(2022, 2, 1), "Grammys", "Grammys + TRA")</f>
        <v>Grammys + TRA</v>
      </c>
      <c r="I1828">
        <f>_xlfn.XLOOKUP(Grammys[[#This Row],[date]], mobile_visits[date], mobile_visits[mobile_visitors], 0)</f>
        <v>0</v>
      </c>
    </row>
    <row r="1829" spans="1:9" x14ac:dyDescent="0.2">
      <c r="A1829" s="1">
        <v>44563</v>
      </c>
      <c r="B1829">
        <v>25403</v>
      </c>
      <c r="C1829">
        <v>45582</v>
      </c>
      <c r="D1829">
        <v>27622</v>
      </c>
      <c r="E1829">
        <v>12640</v>
      </c>
      <c r="F1829">
        <v>110</v>
      </c>
      <c r="G1829" t="s">
        <v>20</v>
      </c>
      <c r="H1829" t="str">
        <f>IF(Grammys[[#This Row],[date]] &gt;= DATE(2022, 2, 1), "Grammys", "Grammys + TRA")</f>
        <v>Grammys + TRA</v>
      </c>
      <c r="I1829">
        <f>_xlfn.XLOOKUP(Grammys[[#This Row],[date]], mobile_visits[date], mobile_visits[mobile_visitors], 0)</f>
        <v>0</v>
      </c>
    </row>
    <row r="1830" spans="1:9" x14ac:dyDescent="0.2">
      <c r="A1830" s="1">
        <v>44564</v>
      </c>
      <c r="B1830">
        <v>26678</v>
      </c>
      <c r="C1830">
        <v>49216</v>
      </c>
      <c r="D1830">
        <v>29098</v>
      </c>
      <c r="E1830">
        <v>13234</v>
      </c>
      <c r="F1830">
        <v>107</v>
      </c>
      <c r="G1830" t="s">
        <v>20</v>
      </c>
      <c r="H1830" t="str">
        <f>IF(Grammys[[#This Row],[date]] &gt;= DATE(2022, 2, 1), "Grammys", "Grammys + TRA")</f>
        <v>Grammys + TRA</v>
      </c>
      <c r="I1830">
        <f>_xlfn.XLOOKUP(Grammys[[#This Row],[date]], mobile_visits[date], mobile_visits[mobile_visitors], 0)</f>
        <v>0</v>
      </c>
    </row>
    <row r="1831" spans="1:9" x14ac:dyDescent="0.2">
      <c r="A1831" s="1">
        <v>44565</v>
      </c>
      <c r="B1831">
        <v>32722</v>
      </c>
      <c r="C1831">
        <v>65614</v>
      </c>
      <c r="D1831">
        <v>36121</v>
      </c>
      <c r="E1831">
        <v>15457</v>
      </c>
      <c r="F1831">
        <v>114</v>
      </c>
      <c r="G1831" t="s">
        <v>20</v>
      </c>
      <c r="H1831" t="str">
        <f>IF(Grammys[[#This Row],[date]] &gt;= DATE(2022, 2, 1), "Grammys", "Grammys + TRA")</f>
        <v>Grammys + TRA</v>
      </c>
      <c r="I1831">
        <f>_xlfn.XLOOKUP(Grammys[[#This Row],[date]], mobile_visits[date], mobile_visits[mobile_visitors], 0)</f>
        <v>0</v>
      </c>
    </row>
    <row r="1832" spans="1:9" x14ac:dyDescent="0.2">
      <c r="A1832" s="1">
        <v>44566</v>
      </c>
      <c r="B1832">
        <v>55461</v>
      </c>
      <c r="C1832">
        <v>93767</v>
      </c>
      <c r="D1832">
        <v>59677</v>
      </c>
      <c r="E1832">
        <v>23119</v>
      </c>
      <c r="F1832">
        <v>88</v>
      </c>
      <c r="G1832" t="s">
        <v>20</v>
      </c>
      <c r="H1832" t="str">
        <f>IF(Grammys[[#This Row],[date]] &gt;= DATE(2022, 2, 1), "Grammys", "Grammys + TRA")</f>
        <v>Grammys + TRA</v>
      </c>
      <c r="I1832">
        <f>_xlfn.XLOOKUP(Grammys[[#This Row],[date]], mobile_visits[date], mobile_visits[mobile_visitors], 0)</f>
        <v>0</v>
      </c>
    </row>
    <row r="1833" spans="1:9" x14ac:dyDescent="0.2">
      <c r="A1833" s="1">
        <v>44567</v>
      </c>
      <c r="B1833">
        <v>45882</v>
      </c>
      <c r="C1833">
        <v>76172</v>
      </c>
      <c r="D1833">
        <v>49320</v>
      </c>
      <c r="E1833">
        <v>24641</v>
      </c>
      <c r="F1833">
        <v>77</v>
      </c>
      <c r="G1833" t="s">
        <v>20</v>
      </c>
      <c r="H1833" t="str">
        <f>IF(Grammys[[#This Row],[date]] &gt;= DATE(2022, 2, 1), "Grammys", "Grammys + TRA")</f>
        <v>Grammys + TRA</v>
      </c>
      <c r="I1833">
        <f>_xlfn.XLOOKUP(Grammys[[#This Row],[date]], mobile_visits[date], mobile_visits[mobile_visitors], 0)</f>
        <v>0</v>
      </c>
    </row>
    <row r="1834" spans="1:9" x14ac:dyDescent="0.2">
      <c r="A1834" s="1">
        <v>44568</v>
      </c>
      <c r="B1834">
        <v>29218</v>
      </c>
      <c r="C1834">
        <v>53763</v>
      </c>
      <c r="D1834">
        <v>31714</v>
      </c>
      <c r="E1834">
        <v>13828</v>
      </c>
      <c r="F1834">
        <v>95</v>
      </c>
      <c r="G1834" t="s">
        <v>20</v>
      </c>
      <c r="H1834" t="str">
        <f>IF(Grammys[[#This Row],[date]] &gt;= DATE(2022, 2, 1), "Grammys", "Grammys + TRA")</f>
        <v>Grammys + TRA</v>
      </c>
      <c r="I1834">
        <f>_xlfn.XLOOKUP(Grammys[[#This Row],[date]], mobile_visits[date], mobile_visits[mobile_visitors], 0)</f>
        <v>0</v>
      </c>
    </row>
    <row r="1835" spans="1:9" x14ac:dyDescent="0.2">
      <c r="A1835" s="1">
        <v>44569</v>
      </c>
      <c r="B1835">
        <v>25857</v>
      </c>
      <c r="C1835">
        <v>45869</v>
      </c>
      <c r="D1835">
        <v>27897</v>
      </c>
      <c r="E1835">
        <v>12429</v>
      </c>
      <c r="F1835">
        <v>99</v>
      </c>
      <c r="G1835" t="s">
        <v>20</v>
      </c>
      <c r="H1835" t="str">
        <f>IF(Grammys[[#This Row],[date]] &gt;= DATE(2022, 2, 1), "Grammys", "Grammys + TRA")</f>
        <v>Grammys + TRA</v>
      </c>
      <c r="I1835">
        <f>_xlfn.XLOOKUP(Grammys[[#This Row],[date]], mobile_visits[date], mobile_visits[mobile_visitors], 0)</f>
        <v>0</v>
      </c>
    </row>
    <row r="1836" spans="1:9" x14ac:dyDescent="0.2">
      <c r="A1836" s="1">
        <v>44570</v>
      </c>
      <c r="B1836">
        <v>24280</v>
      </c>
      <c r="C1836">
        <v>43870</v>
      </c>
      <c r="D1836">
        <v>26562</v>
      </c>
      <c r="E1836">
        <v>12498</v>
      </c>
      <c r="F1836">
        <v>99</v>
      </c>
      <c r="G1836" t="s">
        <v>20</v>
      </c>
      <c r="H1836" t="str">
        <f>IF(Grammys[[#This Row],[date]] &gt;= DATE(2022, 2, 1), "Grammys", "Grammys + TRA")</f>
        <v>Grammys + TRA</v>
      </c>
      <c r="I1836">
        <f>_xlfn.XLOOKUP(Grammys[[#This Row],[date]], mobile_visits[date], mobile_visits[mobile_visitors], 0)</f>
        <v>0</v>
      </c>
    </row>
    <row r="1837" spans="1:9" x14ac:dyDescent="0.2">
      <c r="A1837" s="1">
        <v>44571</v>
      </c>
      <c r="B1837">
        <v>25051</v>
      </c>
      <c r="C1837">
        <v>47148</v>
      </c>
      <c r="D1837">
        <v>27290</v>
      </c>
      <c r="E1837">
        <v>12786</v>
      </c>
      <c r="F1837">
        <v>94</v>
      </c>
      <c r="G1837" t="s">
        <v>20</v>
      </c>
      <c r="H1837" t="str">
        <f>IF(Grammys[[#This Row],[date]] &gt;= DATE(2022, 2, 1), "Grammys", "Grammys + TRA")</f>
        <v>Grammys + TRA</v>
      </c>
      <c r="I1837">
        <f>_xlfn.XLOOKUP(Grammys[[#This Row],[date]], mobile_visits[date], mobile_visits[mobile_visitors], 0)</f>
        <v>0</v>
      </c>
    </row>
    <row r="1838" spans="1:9" x14ac:dyDescent="0.2">
      <c r="A1838" s="1">
        <v>44572</v>
      </c>
      <c r="B1838">
        <v>23817</v>
      </c>
      <c r="C1838">
        <v>44172</v>
      </c>
      <c r="D1838">
        <v>26166</v>
      </c>
      <c r="E1838">
        <v>12387</v>
      </c>
      <c r="F1838">
        <v>104</v>
      </c>
      <c r="G1838" t="s">
        <v>20</v>
      </c>
      <c r="H1838" t="str">
        <f>IF(Grammys[[#This Row],[date]] &gt;= DATE(2022, 2, 1), "Grammys", "Grammys + TRA")</f>
        <v>Grammys + TRA</v>
      </c>
      <c r="I1838">
        <f>_xlfn.XLOOKUP(Grammys[[#This Row],[date]], mobile_visits[date], mobile_visits[mobile_visitors], 0)</f>
        <v>0</v>
      </c>
    </row>
    <row r="1839" spans="1:9" x14ac:dyDescent="0.2">
      <c r="A1839" s="1">
        <v>44573</v>
      </c>
      <c r="B1839">
        <v>24678</v>
      </c>
      <c r="C1839">
        <v>44288</v>
      </c>
      <c r="D1839">
        <v>26738</v>
      </c>
      <c r="E1839">
        <v>12672</v>
      </c>
      <c r="F1839">
        <v>107</v>
      </c>
      <c r="G1839" t="s">
        <v>20</v>
      </c>
      <c r="H1839" t="str">
        <f>IF(Grammys[[#This Row],[date]] &gt;= DATE(2022, 2, 1), "Grammys", "Grammys + TRA")</f>
        <v>Grammys + TRA</v>
      </c>
      <c r="I1839">
        <f>_xlfn.XLOOKUP(Grammys[[#This Row],[date]], mobile_visits[date], mobile_visits[mobile_visitors], 0)</f>
        <v>0</v>
      </c>
    </row>
    <row r="1840" spans="1:9" x14ac:dyDescent="0.2">
      <c r="A1840" s="1">
        <v>44574</v>
      </c>
      <c r="B1840">
        <v>21036</v>
      </c>
      <c r="C1840">
        <v>37789</v>
      </c>
      <c r="D1840">
        <v>22598</v>
      </c>
      <c r="E1840">
        <v>11168</v>
      </c>
      <c r="F1840">
        <v>99</v>
      </c>
      <c r="G1840" t="s">
        <v>20</v>
      </c>
      <c r="H1840" t="str">
        <f>IF(Grammys[[#This Row],[date]] &gt;= DATE(2022, 2, 1), "Grammys", "Grammys + TRA")</f>
        <v>Grammys + TRA</v>
      </c>
      <c r="I1840">
        <f>_xlfn.XLOOKUP(Grammys[[#This Row],[date]], mobile_visits[date], mobile_visits[mobile_visitors], 0)</f>
        <v>0</v>
      </c>
    </row>
    <row r="1841" spans="1:9" x14ac:dyDescent="0.2">
      <c r="A1841" s="1">
        <v>44575</v>
      </c>
      <c r="B1841">
        <v>20509</v>
      </c>
      <c r="C1841">
        <v>37322</v>
      </c>
      <c r="D1841">
        <v>22361</v>
      </c>
      <c r="E1841">
        <v>10989</v>
      </c>
      <c r="F1841">
        <v>95</v>
      </c>
      <c r="G1841" t="s">
        <v>20</v>
      </c>
      <c r="H1841" t="str">
        <f>IF(Grammys[[#This Row],[date]] &gt;= DATE(2022, 2, 1), "Grammys", "Grammys + TRA")</f>
        <v>Grammys + TRA</v>
      </c>
      <c r="I1841">
        <f>_xlfn.XLOOKUP(Grammys[[#This Row],[date]], mobile_visits[date], mobile_visits[mobile_visitors], 0)</f>
        <v>0</v>
      </c>
    </row>
    <row r="1842" spans="1:9" x14ac:dyDescent="0.2">
      <c r="A1842" s="1">
        <v>44576</v>
      </c>
      <c r="B1842">
        <v>20504</v>
      </c>
      <c r="C1842">
        <v>35844</v>
      </c>
      <c r="D1842">
        <v>22568</v>
      </c>
      <c r="E1842">
        <v>11749</v>
      </c>
      <c r="F1842">
        <v>88</v>
      </c>
      <c r="G1842" t="s">
        <v>20</v>
      </c>
      <c r="H1842" t="str">
        <f>IF(Grammys[[#This Row],[date]] &gt;= DATE(2022, 2, 1), "Grammys", "Grammys + TRA")</f>
        <v>Grammys + TRA</v>
      </c>
      <c r="I1842">
        <f>_xlfn.XLOOKUP(Grammys[[#This Row],[date]], mobile_visits[date], mobile_visits[mobile_visitors], 0)</f>
        <v>0</v>
      </c>
    </row>
    <row r="1843" spans="1:9" x14ac:dyDescent="0.2">
      <c r="A1843" s="1">
        <v>44577</v>
      </c>
      <c r="B1843">
        <v>20630</v>
      </c>
      <c r="C1843">
        <v>37128</v>
      </c>
      <c r="D1843">
        <v>22792</v>
      </c>
      <c r="E1843">
        <v>11283</v>
      </c>
      <c r="F1843">
        <v>95</v>
      </c>
      <c r="G1843" t="s">
        <v>20</v>
      </c>
      <c r="H1843" t="str">
        <f>IF(Grammys[[#This Row],[date]] &gt;= DATE(2022, 2, 1), "Grammys", "Grammys + TRA")</f>
        <v>Grammys + TRA</v>
      </c>
      <c r="I1843">
        <f>_xlfn.XLOOKUP(Grammys[[#This Row],[date]], mobile_visits[date], mobile_visits[mobile_visitors], 0)</f>
        <v>0</v>
      </c>
    </row>
    <row r="1844" spans="1:9" x14ac:dyDescent="0.2">
      <c r="A1844" s="1">
        <v>44578</v>
      </c>
      <c r="B1844">
        <v>27402</v>
      </c>
      <c r="C1844">
        <v>47815</v>
      </c>
      <c r="D1844">
        <v>29844</v>
      </c>
      <c r="E1844">
        <v>14323</v>
      </c>
      <c r="F1844">
        <v>127</v>
      </c>
      <c r="G1844" t="s">
        <v>20</v>
      </c>
      <c r="H1844" t="str">
        <f>IF(Grammys[[#This Row],[date]] &gt;= DATE(2022, 2, 1), "Grammys", "Grammys + TRA")</f>
        <v>Grammys + TRA</v>
      </c>
      <c r="I1844">
        <f>_xlfn.XLOOKUP(Grammys[[#This Row],[date]], mobile_visits[date], mobile_visits[mobile_visitors], 0)</f>
        <v>0</v>
      </c>
    </row>
    <row r="1845" spans="1:9" x14ac:dyDescent="0.2">
      <c r="A1845" s="1">
        <v>44579</v>
      </c>
      <c r="B1845">
        <v>30324</v>
      </c>
      <c r="C1845">
        <v>57248</v>
      </c>
      <c r="D1845">
        <v>32954</v>
      </c>
      <c r="E1845">
        <v>14619</v>
      </c>
      <c r="F1845">
        <v>110</v>
      </c>
      <c r="G1845" t="s">
        <v>20</v>
      </c>
      <c r="H1845" t="str">
        <f>IF(Grammys[[#This Row],[date]] &gt;= DATE(2022, 2, 1), "Grammys", "Grammys + TRA")</f>
        <v>Grammys + TRA</v>
      </c>
      <c r="I1845">
        <f>_xlfn.XLOOKUP(Grammys[[#This Row],[date]], mobile_visits[date], mobile_visits[mobile_visitors], 0)</f>
        <v>0</v>
      </c>
    </row>
    <row r="1846" spans="1:9" x14ac:dyDescent="0.2">
      <c r="A1846" s="1">
        <v>44580</v>
      </c>
      <c r="B1846">
        <v>27005</v>
      </c>
      <c r="C1846">
        <v>51902</v>
      </c>
      <c r="D1846">
        <v>29456</v>
      </c>
      <c r="E1846">
        <v>13041</v>
      </c>
      <c r="F1846">
        <v>103</v>
      </c>
      <c r="G1846" t="s">
        <v>20</v>
      </c>
      <c r="H1846" t="str">
        <f>IF(Grammys[[#This Row],[date]] &gt;= DATE(2022, 2, 1), "Grammys", "Grammys + TRA")</f>
        <v>Grammys + TRA</v>
      </c>
      <c r="I1846">
        <f>_xlfn.XLOOKUP(Grammys[[#This Row],[date]], mobile_visits[date], mobile_visits[mobile_visitors], 0)</f>
        <v>0</v>
      </c>
    </row>
    <row r="1847" spans="1:9" x14ac:dyDescent="0.2">
      <c r="A1847" s="1">
        <v>44581</v>
      </c>
      <c r="B1847">
        <v>29376</v>
      </c>
      <c r="C1847">
        <v>50163</v>
      </c>
      <c r="D1847">
        <v>31239</v>
      </c>
      <c r="E1847">
        <v>12409</v>
      </c>
      <c r="F1847">
        <v>109</v>
      </c>
      <c r="G1847" t="s">
        <v>20</v>
      </c>
      <c r="H1847" t="str">
        <f>IF(Grammys[[#This Row],[date]] &gt;= DATE(2022, 2, 1), "Grammys", "Grammys + TRA")</f>
        <v>Grammys + TRA</v>
      </c>
      <c r="I1847">
        <f>_xlfn.XLOOKUP(Grammys[[#This Row],[date]], mobile_visits[date], mobile_visits[mobile_visitors], 0)</f>
        <v>0</v>
      </c>
    </row>
    <row r="1848" spans="1:9" x14ac:dyDescent="0.2">
      <c r="A1848" s="1">
        <v>44582</v>
      </c>
      <c r="B1848">
        <v>27532</v>
      </c>
      <c r="C1848">
        <v>47663</v>
      </c>
      <c r="D1848">
        <v>29526</v>
      </c>
      <c r="E1848">
        <v>13039</v>
      </c>
      <c r="F1848">
        <v>104</v>
      </c>
      <c r="G1848" t="s">
        <v>20</v>
      </c>
      <c r="H1848" t="str">
        <f>IF(Grammys[[#This Row],[date]] &gt;= DATE(2022, 2, 1), "Grammys", "Grammys + TRA")</f>
        <v>Grammys + TRA</v>
      </c>
      <c r="I1848">
        <f>_xlfn.XLOOKUP(Grammys[[#This Row],[date]], mobile_visits[date], mobile_visits[mobile_visitors], 0)</f>
        <v>0</v>
      </c>
    </row>
    <row r="1849" spans="1:9" x14ac:dyDescent="0.2">
      <c r="A1849" s="1">
        <v>44583</v>
      </c>
      <c r="B1849">
        <v>25187</v>
      </c>
      <c r="C1849">
        <v>41634</v>
      </c>
      <c r="D1849">
        <v>26907</v>
      </c>
      <c r="E1849">
        <v>11592</v>
      </c>
      <c r="F1849">
        <v>107</v>
      </c>
      <c r="G1849" t="s">
        <v>20</v>
      </c>
      <c r="H1849" t="str">
        <f>IF(Grammys[[#This Row],[date]] &gt;= DATE(2022, 2, 1), "Grammys", "Grammys + TRA")</f>
        <v>Grammys + TRA</v>
      </c>
      <c r="I1849">
        <f>_xlfn.XLOOKUP(Grammys[[#This Row],[date]], mobile_visits[date], mobile_visits[mobile_visitors], 0)</f>
        <v>0</v>
      </c>
    </row>
    <row r="1850" spans="1:9" x14ac:dyDescent="0.2">
      <c r="A1850" s="1">
        <v>44584</v>
      </c>
      <c r="B1850">
        <v>24506</v>
      </c>
      <c r="C1850">
        <v>40899</v>
      </c>
      <c r="D1850">
        <v>26326</v>
      </c>
      <c r="E1850">
        <v>11400</v>
      </c>
      <c r="F1850">
        <v>106</v>
      </c>
      <c r="G1850" t="s">
        <v>20</v>
      </c>
      <c r="H1850" t="str">
        <f>IF(Grammys[[#This Row],[date]] &gt;= DATE(2022, 2, 1), "Grammys", "Grammys + TRA")</f>
        <v>Grammys + TRA</v>
      </c>
      <c r="I1850">
        <f>_xlfn.XLOOKUP(Grammys[[#This Row],[date]], mobile_visits[date], mobile_visits[mobile_visitors], 0)</f>
        <v>0</v>
      </c>
    </row>
    <row r="1851" spans="1:9" x14ac:dyDescent="0.2">
      <c r="A1851" s="1">
        <v>44585</v>
      </c>
      <c r="B1851">
        <v>24248</v>
      </c>
      <c r="C1851">
        <v>42219</v>
      </c>
      <c r="D1851">
        <v>26196</v>
      </c>
      <c r="E1851">
        <v>11519</v>
      </c>
      <c r="F1851">
        <v>102</v>
      </c>
      <c r="G1851" t="s">
        <v>20</v>
      </c>
      <c r="H1851" t="str">
        <f>IF(Grammys[[#This Row],[date]] &gt;= DATE(2022, 2, 1), "Grammys", "Grammys + TRA")</f>
        <v>Grammys + TRA</v>
      </c>
      <c r="I1851">
        <f>_xlfn.XLOOKUP(Grammys[[#This Row],[date]], mobile_visits[date], mobile_visits[mobile_visitors], 0)</f>
        <v>0</v>
      </c>
    </row>
    <row r="1852" spans="1:9" x14ac:dyDescent="0.2">
      <c r="A1852" s="1">
        <v>44586</v>
      </c>
      <c r="B1852">
        <v>25663</v>
      </c>
      <c r="C1852">
        <v>44387</v>
      </c>
      <c r="D1852">
        <v>27496</v>
      </c>
      <c r="E1852">
        <v>11923</v>
      </c>
      <c r="F1852">
        <v>102</v>
      </c>
      <c r="G1852" t="s">
        <v>20</v>
      </c>
      <c r="H1852" t="str">
        <f>IF(Grammys[[#This Row],[date]] &gt;= DATE(2022, 2, 1), "Grammys", "Grammys + TRA")</f>
        <v>Grammys + TRA</v>
      </c>
      <c r="I1852">
        <f>_xlfn.XLOOKUP(Grammys[[#This Row],[date]], mobile_visits[date], mobile_visits[mobile_visitors], 0)</f>
        <v>0</v>
      </c>
    </row>
    <row r="1853" spans="1:9" x14ac:dyDescent="0.2">
      <c r="A1853" s="1">
        <v>44587</v>
      </c>
      <c r="B1853">
        <v>20306</v>
      </c>
      <c r="C1853">
        <v>37956</v>
      </c>
      <c r="D1853">
        <v>22069</v>
      </c>
      <c r="E1853">
        <v>9247</v>
      </c>
      <c r="F1853">
        <v>118</v>
      </c>
      <c r="G1853" t="s">
        <v>20</v>
      </c>
      <c r="H1853" t="str">
        <f>IF(Grammys[[#This Row],[date]] &gt;= DATE(2022, 2, 1), "Grammys", "Grammys + TRA")</f>
        <v>Grammys + TRA</v>
      </c>
      <c r="I1853">
        <f>_xlfn.XLOOKUP(Grammys[[#This Row],[date]], mobile_visits[date], mobile_visits[mobile_visitors], 0)</f>
        <v>0</v>
      </c>
    </row>
    <row r="1854" spans="1:9" x14ac:dyDescent="0.2">
      <c r="A1854" s="1">
        <v>44588</v>
      </c>
      <c r="B1854">
        <v>2</v>
      </c>
      <c r="C1854">
        <v>2</v>
      </c>
      <c r="D1854">
        <v>2</v>
      </c>
      <c r="E1854">
        <v>2</v>
      </c>
      <c r="F1854">
        <v>0</v>
      </c>
      <c r="G1854" t="s">
        <v>20</v>
      </c>
      <c r="H1854" t="str">
        <f>IF(Grammys[[#This Row],[date]] &gt;= DATE(2022, 2, 1), "Grammys", "Grammys + TRA")</f>
        <v>Grammys + TRA</v>
      </c>
      <c r="I1854">
        <f>_xlfn.XLOOKUP(Grammys[[#This Row],[date]], mobile_visits[date], mobile_visits[mobile_visitors], 0)</f>
        <v>0</v>
      </c>
    </row>
    <row r="1855" spans="1:9" x14ac:dyDescent="0.2">
      <c r="A1855" s="1">
        <v>44589</v>
      </c>
      <c r="B1855">
        <v>32986</v>
      </c>
      <c r="C1855">
        <v>79160</v>
      </c>
      <c r="D1855">
        <v>36571</v>
      </c>
      <c r="E1855">
        <v>20268</v>
      </c>
      <c r="F1855">
        <v>83</v>
      </c>
      <c r="G1855" t="s">
        <v>20</v>
      </c>
      <c r="H1855" t="str">
        <f>IF(Grammys[[#This Row],[date]] &gt;= DATE(2022, 2, 1), "Grammys", "Grammys + TRA")</f>
        <v>Grammys + TRA</v>
      </c>
      <c r="I1855">
        <f>_xlfn.XLOOKUP(Grammys[[#This Row],[date]], mobile_visits[date], mobile_visits[mobile_visitors], 0)</f>
        <v>0</v>
      </c>
    </row>
    <row r="1856" spans="1:9" x14ac:dyDescent="0.2">
      <c r="A1856" s="1">
        <v>44590</v>
      </c>
      <c r="B1856">
        <v>37899</v>
      </c>
      <c r="C1856">
        <v>79095</v>
      </c>
      <c r="D1856">
        <v>41920</v>
      </c>
      <c r="E1856">
        <v>25316</v>
      </c>
      <c r="F1856">
        <v>63</v>
      </c>
      <c r="G1856" t="s">
        <v>20</v>
      </c>
      <c r="H1856" t="str">
        <f>IF(Grammys[[#This Row],[date]] &gt;= DATE(2022, 2, 1), "Grammys", "Grammys + TRA")</f>
        <v>Grammys + TRA</v>
      </c>
      <c r="I1856">
        <f>_xlfn.XLOOKUP(Grammys[[#This Row],[date]], mobile_visits[date], mobile_visits[mobile_visitors], 0)</f>
        <v>0</v>
      </c>
    </row>
    <row r="1857" spans="1:9" x14ac:dyDescent="0.2">
      <c r="A1857" s="1">
        <v>44591</v>
      </c>
      <c r="B1857">
        <v>39931</v>
      </c>
      <c r="C1857">
        <v>81186</v>
      </c>
      <c r="D1857">
        <v>43743</v>
      </c>
      <c r="E1857">
        <v>26636</v>
      </c>
      <c r="F1857">
        <v>61</v>
      </c>
      <c r="G1857" t="s">
        <v>20</v>
      </c>
      <c r="H1857" t="str">
        <f>IF(Grammys[[#This Row],[date]] &gt;= DATE(2022, 2, 1), "Grammys", "Grammys + TRA")</f>
        <v>Grammys + TRA</v>
      </c>
      <c r="I1857">
        <f>_xlfn.XLOOKUP(Grammys[[#This Row],[date]], mobile_visits[date], mobile_visits[mobile_visitors], 0)</f>
        <v>0</v>
      </c>
    </row>
    <row r="1858" spans="1:9" x14ac:dyDescent="0.2">
      <c r="A1858" s="1">
        <v>44592</v>
      </c>
      <c r="B1858">
        <v>38221</v>
      </c>
      <c r="C1858">
        <v>92863</v>
      </c>
      <c r="D1858">
        <v>42291</v>
      </c>
      <c r="E1858">
        <v>21747</v>
      </c>
      <c r="F1858">
        <v>67</v>
      </c>
      <c r="G1858" t="s">
        <v>20</v>
      </c>
      <c r="H1858" t="str">
        <f>IF(Grammys[[#This Row],[date]] &gt;= DATE(2022, 2, 1), "Grammys", "Grammys + TRA")</f>
        <v>Grammys + TRA</v>
      </c>
      <c r="I1858">
        <f>_xlfn.XLOOKUP(Grammys[[#This Row],[date]], mobile_visits[date], mobile_visits[mobile_visitors], 0)</f>
        <v>0</v>
      </c>
    </row>
    <row r="1859" spans="1:9" x14ac:dyDescent="0.2">
      <c r="A1859" s="1">
        <v>44593</v>
      </c>
      <c r="B1859">
        <v>33209</v>
      </c>
      <c r="C1859">
        <v>74033</v>
      </c>
      <c r="D1859">
        <v>30472</v>
      </c>
      <c r="E1859">
        <v>13070</v>
      </c>
      <c r="F1859">
        <v>69</v>
      </c>
      <c r="G1859" t="s">
        <v>20</v>
      </c>
      <c r="H1859" t="str">
        <f>IF(Grammys[[#This Row],[date]] &gt;= DATE(2022, 2, 1), "Grammys", "Grammys + TRA")</f>
        <v>Grammys</v>
      </c>
      <c r="I1859">
        <f>_xlfn.XLOOKUP(Grammys[[#This Row],[date]], mobile_visits[date], mobile_visits[mobile_visitors], 0)</f>
        <v>23014</v>
      </c>
    </row>
    <row r="1860" spans="1:9" x14ac:dyDescent="0.2">
      <c r="A1860" s="1">
        <v>44594</v>
      </c>
      <c r="B1860">
        <v>30511</v>
      </c>
      <c r="C1860">
        <v>43642</v>
      </c>
      <c r="D1860">
        <v>20761</v>
      </c>
      <c r="E1860">
        <v>11814</v>
      </c>
      <c r="F1860">
        <v>85</v>
      </c>
      <c r="G1860" t="s">
        <v>20</v>
      </c>
      <c r="H1860" t="str">
        <f>IF(Grammys[[#This Row],[date]] &gt;= DATE(2022, 2, 1), "Grammys", "Grammys + TRA")</f>
        <v>Grammys</v>
      </c>
      <c r="I1860">
        <f>_xlfn.XLOOKUP(Grammys[[#This Row],[date]], mobile_visits[date], mobile_visits[mobile_visitors], 0)</f>
        <v>19951</v>
      </c>
    </row>
    <row r="1861" spans="1:9" x14ac:dyDescent="0.2">
      <c r="A1861" s="1">
        <v>44595</v>
      </c>
      <c r="B1861">
        <v>31502</v>
      </c>
      <c r="C1861">
        <v>44147</v>
      </c>
      <c r="D1861">
        <v>20830</v>
      </c>
      <c r="E1861">
        <v>12015</v>
      </c>
      <c r="F1861">
        <v>90</v>
      </c>
      <c r="G1861" t="s">
        <v>20</v>
      </c>
      <c r="H1861" t="str">
        <f>IF(Grammys[[#This Row],[date]] &gt;= DATE(2022, 2, 1), "Grammys", "Grammys + TRA")</f>
        <v>Grammys</v>
      </c>
      <c r="I1861">
        <f>_xlfn.XLOOKUP(Grammys[[#This Row],[date]], mobile_visits[date], mobile_visits[mobile_visitors], 0)</f>
        <v>21567</v>
      </c>
    </row>
    <row r="1862" spans="1:9" x14ac:dyDescent="0.2">
      <c r="A1862" s="1">
        <v>44596</v>
      </c>
      <c r="B1862">
        <v>26863</v>
      </c>
      <c r="C1862">
        <v>39483</v>
      </c>
      <c r="D1862">
        <v>18700</v>
      </c>
      <c r="E1862">
        <v>10731</v>
      </c>
      <c r="F1862">
        <v>85</v>
      </c>
      <c r="G1862" t="s">
        <v>20</v>
      </c>
      <c r="H1862" t="str">
        <f>IF(Grammys[[#This Row],[date]] &gt;= DATE(2022, 2, 1), "Grammys", "Grammys + TRA")</f>
        <v>Grammys</v>
      </c>
      <c r="I1862">
        <f>_xlfn.XLOOKUP(Grammys[[#This Row],[date]], mobile_visits[date], mobile_visits[mobile_visitors], 0)</f>
        <v>18362</v>
      </c>
    </row>
    <row r="1863" spans="1:9" x14ac:dyDescent="0.2">
      <c r="A1863" s="1">
        <v>44597</v>
      </c>
      <c r="B1863">
        <v>18014</v>
      </c>
      <c r="C1863">
        <v>35046</v>
      </c>
      <c r="D1863">
        <v>16860</v>
      </c>
      <c r="E1863">
        <v>9604</v>
      </c>
      <c r="F1863">
        <v>75</v>
      </c>
      <c r="G1863" t="s">
        <v>20</v>
      </c>
      <c r="H1863" t="str">
        <f>IF(Grammys[[#This Row],[date]] &gt;= DATE(2022, 2, 1), "Grammys", "Grammys + TRA")</f>
        <v>Grammys</v>
      </c>
      <c r="I1863">
        <f>_xlfn.XLOOKUP(Grammys[[#This Row],[date]], mobile_visits[date], mobile_visits[mobile_visitors], 0)</f>
        <v>12590</v>
      </c>
    </row>
    <row r="1864" spans="1:9" x14ac:dyDescent="0.2">
      <c r="A1864" s="1">
        <v>44598</v>
      </c>
      <c r="B1864">
        <v>18287</v>
      </c>
      <c r="C1864">
        <v>34397</v>
      </c>
      <c r="D1864">
        <v>17185</v>
      </c>
      <c r="E1864">
        <v>10186</v>
      </c>
      <c r="F1864">
        <v>80</v>
      </c>
      <c r="G1864" t="s">
        <v>20</v>
      </c>
      <c r="H1864" t="str">
        <f>IF(Grammys[[#This Row],[date]] &gt;= DATE(2022, 2, 1), "Grammys", "Grammys + TRA")</f>
        <v>Grammys</v>
      </c>
      <c r="I1864">
        <f>_xlfn.XLOOKUP(Grammys[[#This Row],[date]], mobile_visits[date], mobile_visits[mobile_visitors], 0)</f>
        <v>12316</v>
      </c>
    </row>
    <row r="1865" spans="1:9" x14ac:dyDescent="0.2">
      <c r="A1865" s="1">
        <v>44599</v>
      </c>
      <c r="B1865">
        <v>19907</v>
      </c>
      <c r="C1865">
        <v>37993</v>
      </c>
      <c r="D1865">
        <v>18426</v>
      </c>
      <c r="E1865">
        <v>10715</v>
      </c>
      <c r="F1865">
        <v>86</v>
      </c>
      <c r="G1865" t="s">
        <v>20</v>
      </c>
      <c r="H1865" t="str">
        <f>IF(Grammys[[#This Row],[date]] &gt;= DATE(2022, 2, 1), "Grammys", "Grammys + TRA")</f>
        <v>Grammys</v>
      </c>
      <c r="I1865">
        <f>_xlfn.XLOOKUP(Grammys[[#This Row],[date]], mobile_visits[date], mobile_visits[mobile_visitors], 0)</f>
        <v>10416</v>
      </c>
    </row>
    <row r="1866" spans="1:9" x14ac:dyDescent="0.2">
      <c r="A1866" s="1">
        <v>44600</v>
      </c>
      <c r="B1866">
        <v>30850</v>
      </c>
      <c r="C1866">
        <v>69727</v>
      </c>
      <c r="D1866">
        <v>30684</v>
      </c>
      <c r="E1866">
        <v>15702</v>
      </c>
      <c r="F1866">
        <v>83</v>
      </c>
      <c r="G1866" t="s">
        <v>20</v>
      </c>
      <c r="H1866" t="str">
        <f>IF(Grammys[[#This Row],[date]] &gt;= DATE(2022, 2, 1), "Grammys", "Grammys + TRA")</f>
        <v>Grammys</v>
      </c>
      <c r="I1866">
        <f>_xlfn.XLOOKUP(Grammys[[#This Row],[date]], mobile_visits[date], mobile_visits[mobile_visitors], 0)</f>
        <v>19299</v>
      </c>
    </row>
    <row r="1867" spans="1:9" x14ac:dyDescent="0.2">
      <c r="A1867" s="1">
        <v>44601</v>
      </c>
      <c r="B1867">
        <v>26454</v>
      </c>
      <c r="C1867">
        <v>61007</v>
      </c>
      <c r="D1867">
        <v>26184</v>
      </c>
      <c r="E1867">
        <v>12739</v>
      </c>
      <c r="F1867">
        <v>88</v>
      </c>
      <c r="G1867" t="s">
        <v>20</v>
      </c>
      <c r="H1867" t="str">
        <f>IF(Grammys[[#This Row],[date]] &gt;= DATE(2022, 2, 1), "Grammys", "Grammys + TRA")</f>
        <v>Grammys</v>
      </c>
      <c r="I1867">
        <f>_xlfn.XLOOKUP(Grammys[[#This Row],[date]], mobile_visits[date], mobile_visits[mobile_visitors], 0)</f>
        <v>16050</v>
      </c>
    </row>
    <row r="1868" spans="1:9" x14ac:dyDescent="0.2">
      <c r="A1868" s="1">
        <v>44602</v>
      </c>
      <c r="B1868">
        <v>23368</v>
      </c>
      <c r="C1868">
        <v>53624</v>
      </c>
      <c r="D1868">
        <v>23246</v>
      </c>
      <c r="E1868">
        <v>11544</v>
      </c>
      <c r="F1868">
        <v>85</v>
      </c>
      <c r="G1868" t="s">
        <v>20</v>
      </c>
      <c r="H1868" t="str">
        <f>IF(Grammys[[#This Row],[date]] &gt;= DATE(2022, 2, 1), "Grammys", "Grammys + TRA")</f>
        <v>Grammys</v>
      </c>
      <c r="I1868">
        <f>_xlfn.XLOOKUP(Grammys[[#This Row],[date]], mobile_visits[date], mobile_visits[mobile_visitors], 0)</f>
        <v>13590</v>
      </c>
    </row>
    <row r="1869" spans="1:9" x14ac:dyDescent="0.2">
      <c r="A1869" s="1">
        <v>44603</v>
      </c>
      <c r="B1869">
        <v>23197</v>
      </c>
      <c r="C1869">
        <v>51566</v>
      </c>
      <c r="D1869">
        <v>22567</v>
      </c>
      <c r="E1869">
        <v>10819</v>
      </c>
      <c r="F1869">
        <v>82</v>
      </c>
      <c r="G1869" t="s">
        <v>20</v>
      </c>
      <c r="H1869" t="str">
        <f>IF(Grammys[[#This Row],[date]] &gt;= DATE(2022, 2, 1), "Grammys", "Grammys + TRA")</f>
        <v>Grammys</v>
      </c>
      <c r="I1869">
        <f>_xlfn.XLOOKUP(Grammys[[#This Row],[date]], mobile_visits[date], mobile_visits[mobile_visitors], 0)</f>
        <v>13393</v>
      </c>
    </row>
    <row r="1870" spans="1:9" x14ac:dyDescent="0.2">
      <c r="A1870" s="1">
        <v>44604</v>
      </c>
      <c r="B1870">
        <v>19978</v>
      </c>
      <c r="C1870">
        <v>44579</v>
      </c>
      <c r="D1870">
        <v>19796</v>
      </c>
      <c r="E1870">
        <v>9940</v>
      </c>
      <c r="F1870">
        <v>79</v>
      </c>
      <c r="G1870" t="s">
        <v>20</v>
      </c>
      <c r="H1870" t="str">
        <f>IF(Grammys[[#This Row],[date]] &gt;= DATE(2022, 2, 1), "Grammys", "Grammys + TRA")</f>
        <v>Grammys</v>
      </c>
      <c r="I1870">
        <f>_xlfn.XLOOKUP(Grammys[[#This Row],[date]], mobile_visits[date], mobile_visits[mobile_visitors], 0)</f>
        <v>13824</v>
      </c>
    </row>
    <row r="1871" spans="1:9" x14ac:dyDescent="0.2">
      <c r="A1871" s="1">
        <v>44605</v>
      </c>
      <c r="B1871">
        <v>22796</v>
      </c>
      <c r="C1871">
        <v>51628</v>
      </c>
      <c r="D1871">
        <v>23326</v>
      </c>
      <c r="E1871">
        <v>12039</v>
      </c>
      <c r="F1871">
        <v>74</v>
      </c>
      <c r="G1871" t="s">
        <v>20</v>
      </c>
      <c r="H1871" t="str">
        <f>IF(Grammys[[#This Row],[date]] &gt;= DATE(2022, 2, 1), "Grammys", "Grammys + TRA")</f>
        <v>Grammys</v>
      </c>
      <c r="I1871">
        <f>_xlfn.XLOOKUP(Grammys[[#This Row],[date]], mobile_visits[date], mobile_visits[mobile_visitors], 0)</f>
        <v>15704</v>
      </c>
    </row>
    <row r="1872" spans="1:9" x14ac:dyDescent="0.2">
      <c r="A1872" s="1">
        <v>44606</v>
      </c>
      <c r="B1872">
        <v>16559</v>
      </c>
      <c r="C1872">
        <v>29185</v>
      </c>
      <c r="D1872">
        <v>13695</v>
      </c>
      <c r="E1872">
        <v>7100</v>
      </c>
      <c r="F1872">
        <v>78</v>
      </c>
      <c r="G1872" t="s">
        <v>20</v>
      </c>
      <c r="H1872" t="str">
        <f>IF(Grammys[[#This Row],[date]] &gt;= DATE(2022, 2, 1), "Grammys", "Grammys + TRA")</f>
        <v>Grammys</v>
      </c>
      <c r="I1872">
        <f>_xlfn.XLOOKUP(Grammys[[#This Row],[date]], mobile_visits[date], mobile_visits[mobile_visitors], 0)</f>
        <v>9362</v>
      </c>
    </row>
    <row r="1873" spans="1:9" x14ac:dyDescent="0.2">
      <c r="A1873" s="1">
        <v>44607</v>
      </c>
      <c r="B1873">
        <v>17184</v>
      </c>
      <c r="C1873">
        <v>28356</v>
      </c>
      <c r="D1873">
        <v>13548</v>
      </c>
      <c r="E1873">
        <v>7135</v>
      </c>
      <c r="F1873">
        <v>81</v>
      </c>
      <c r="G1873" t="s">
        <v>20</v>
      </c>
      <c r="H1873" t="str">
        <f>IF(Grammys[[#This Row],[date]] &gt;= DATE(2022, 2, 1), "Grammys", "Grammys + TRA")</f>
        <v>Grammys</v>
      </c>
      <c r="I1873">
        <f>_xlfn.XLOOKUP(Grammys[[#This Row],[date]], mobile_visits[date], mobile_visits[mobile_visitors], 0)</f>
        <v>9596</v>
      </c>
    </row>
    <row r="1874" spans="1:9" x14ac:dyDescent="0.2">
      <c r="A1874" s="1">
        <v>44608</v>
      </c>
      <c r="B1874">
        <v>19998</v>
      </c>
      <c r="C1874">
        <v>33813</v>
      </c>
      <c r="D1874">
        <v>17766</v>
      </c>
      <c r="E1874">
        <v>10738</v>
      </c>
      <c r="F1874">
        <v>80</v>
      </c>
      <c r="G1874" t="s">
        <v>20</v>
      </c>
      <c r="H1874" t="str">
        <f>IF(Grammys[[#This Row],[date]] &gt;= DATE(2022, 2, 1), "Grammys", "Grammys + TRA")</f>
        <v>Grammys</v>
      </c>
      <c r="I1874">
        <f>_xlfn.XLOOKUP(Grammys[[#This Row],[date]], mobile_visits[date], mobile_visits[mobile_visitors], 0)</f>
        <v>11132</v>
      </c>
    </row>
    <row r="1875" spans="1:9" x14ac:dyDescent="0.2">
      <c r="A1875" s="1">
        <v>44609</v>
      </c>
      <c r="B1875">
        <v>17966</v>
      </c>
      <c r="C1875">
        <v>26957</v>
      </c>
      <c r="D1875">
        <v>13449</v>
      </c>
      <c r="E1875">
        <v>6989</v>
      </c>
      <c r="F1875">
        <v>84</v>
      </c>
      <c r="G1875" t="s">
        <v>20</v>
      </c>
      <c r="H1875" t="str">
        <f>IF(Grammys[[#This Row],[date]] &gt;= DATE(2022, 2, 1), "Grammys", "Grammys + TRA")</f>
        <v>Grammys</v>
      </c>
      <c r="I1875">
        <f>_xlfn.XLOOKUP(Grammys[[#This Row],[date]], mobile_visits[date], mobile_visits[mobile_visitors], 0)</f>
        <v>10821</v>
      </c>
    </row>
    <row r="1876" spans="1:9" x14ac:dyDescent="0.2">
      <c r="A1876" s="1">
        <v>44610</v>
      </c>
      <c r="B1876">
        <v>14732</v>
      </c>
      <c r="C1876">
        <v>23038</v>
      </c>
      <c r="D1876">
        <v>10750</v>
      </c>
      <c r="E1876">
        <v>5179</v>
      </c>
      <c r="F1876">
        <v>83</v>
      </c>
      <c r="G1876" t="s">
        <v>20</v>
      </c>
      <c r="H1876" t="str">
        <f>IF(Grammys[[#This Row],[date]] &gt;= DATE(2022, 2, 1), "Grammys", "Grammys + TRA")</f>
        <v>Grammys</v>
      </c>
      <c r="I1876">
        <f>_xlfn.XLOOKUP(Grammys[[#This Row],[date]], mobile_visits[date], mobile_visits[mobile_visitors], 0)</f>
        <v>8344</v>
      </c>
    </row>
    <row r="1877" spans="1:9" x14ac:dyDescent="0.2">
      <c r="A1877" s="1">
        <v>44611</v>
      </c>
      <c r="B1877">
        <v>13174</v>
      </c>
      <c r="C1877">
        <v>19607</v>
      </c>
      <c r="D1877">
        <v>9024</v>
      </c>
      <c r="E1877">
        <v>4382</v>
      </c>
      <c r="F1877">
        <v>72</v>
      </c>
      <c r="G1877" t="s">
        <v>20</v>
      </c>
      <c r="H1877" t="str">
        <f>IF(Grammys[[#This Row],[date]] &gt;= DATE(2022, 2, 1), "Grammys", "Grammys + TRA")</f>
        <v>Grammys</v>
      </c>
      <c r="I1877">
        <f>_xlfn.XLOOKUP(Grammys[[#This Row],[date]], mobile_visits[date], mobile_visits[mobile_visitors], 0)</f>
        <v>9054</v>
      </c>
    </row>
    <row r="1878" spans="1:9" x14ac:dyDescent="0.2">
      <c r="A1878" s="1">
        <v>44612</v>
      </c>
      <c r="B1878">
        <v>14536</v>
      </c>
      <c r="C1878">
        <v>22723</v>
      </c>
      <c r="D1878">
        <v>10400</v>
      </c>
      <c r="E1878">
        <v>4916</v>
      </c>
      <c r="F1878">
        <v>73</v>
      </c>
      <c r="G1878" t="s">
        <v>20</v>
      </c>
      <c r="H1878" t="str">
        <f>IF(Grammys[[#This Row],[date]] &gt;= DATE(2022, 2, 1), "Grammys", "Grammys + TRA")</f>
        <v>Grammys</v>
      </c>
      <c r="I1878">
        <f>_xlfn.XLOOKUP(Grammys[[#This Row],[date]], mobile_visits[date], mobile_visits[mobile_visitors], 0)</f>
        <v>10781</v>
      </c>
    </row>
    <row r="1879" spans="1:9" x14ac:dyDescent="0.2">
      <c r="A1879" s="1">
        <v>44613</v>
      </c>
      <c r="B1879">
        <v>14081</v>
      </c>
      <c r="C1879">
        <v>22226</v>
      </c>
      <c r="D1879">
        <v>10183</v>
      </c>
      <c r="E1879">
        <v>4925</v>
      </c>
      <c r="F1879">
        <v>72</v>
      </c>
      <c r="G1879" t="s">
        <v>20</v>
      </c>
      <c r="H1879" t="str">
        <f>IF(Grammys[[#This Row],[date]] &gt;= DATE(2022, 2, 1), "Grammys", "Grammys + TRA")</f>
        <v>Grammys</v>
      </c>
      <c r="I1879">
        <f>_xlfn.XLOOKUP(Grammys[[#This Row],[date]], mobile_visits[date], mobile_visits[mobile_visitors], 0)</f>
        <v>8657</v>
      </c>
    </row>
    <row r="1880" spans="1:9" x14ac:dyDescent="0.2">
      <c r="A1880" s="1">
        <v>44614</v>
      </c>
      <c r="B1880">
        <v>16266</v>
      </c>
      <c r="C1880">
        <v>25600</v>
      </c>
      <c r="D1880">
        <v>11882</v>
      </c>
      <c r="E1880">
        <v>5805</v>
      </c>
      <c r="F1880">
        <v>72</v>
      </c>
      <c r="G1880" t="s">
        <v>20</v>
      </c>
      <c r="H1880" t="str">
        <f>IF(Grammys[[#This Row],[date]] &gt;= DATE(2022, 2, 1), "Grammys", "Grammys + TRA")</f>
        <v>Grammys</v>
      </c>
      <c r="I1880">
        <f>_xlfn.XLOOKUP(Grammys[[#This Row],[date]], mobile_visits[date], mobile_visits[mobile_visitors], 0)</f>
        <v>9721</v>
      </c>
    </row>
    <row r="1881" spans="1:9" x14ac:dyDescent="0.2">
      <c r="A1881" s="1">
        <v>44615</v>
      </c>
      <c r="B1881">
        <v>16775</v>
      </c>
      <c r="C1881">
        <v>25088</v>
      </c>
      <c r="D1881">
        <v>11576</v>
      </c>
      <c r="E1881">
        <v>5800</v>
      </c>
      <c r="F1881">
        <v>75</v>
      </c>
      <c r="G1881" t="s">
        <v>20</v>
      </c>
      <c r="H1881" t="str">
        <f>IF(Grammys[[#This Row],[date]] &gt;= DATE(2022, 2, 1), "Grammys", "Grammys + TRA")</f>
        <v>Grammys</v>
      </c>
      <c r="I1881">
        <f>_xlfn.XLOOKUP(Grammys[[#This Row],[date]], mobile_visits[date], mobile_visits[mobile_visitors], 0)</f>
        <v>9813</v>
      </c>
    </row>
    <row r="1882" spans="1:9" x14ac:dyDescent="0.2">
      <c r="A1882" s="1">
        <v>44616</v>
      </c>
      <c r="B1882">
        <v>13671</v>
      </c>
      <c r="C1882">
        <v>20261</v>
      </c>
      <c r="D1882">
        <v>9548</v>
      </c>
      <c r="E1882">
        <v>4921</v>
      </c>
      <c r="F1882">
        <v>78</v>
      </c>
      <c r="G1882" t="s">
        <v>20</v>
      </c>
      <c r="H1882" t="str">
        <f>IF(Grammys[[#This Row],[date]] &gt;= DATE(2022, 2, 1), "Grammys", "Grammys + TRA")</f>
        <v>Grammys</v>
      </c>
      <c r="I1882">
        <f>_xlfn.XLOOKUP(Grammys[[#This Row],[date]], mobile_visits[date], mobile_visits[mobile_visitors], 0)</f>
        <v>8065</v>
      </c>
    </row>
    <row r="1883" spans="1:9" x14ac:dyDescent="0.2">
      <c r="A1883" s="1">
        <v>44617</v>
      </c>
      <c r="B1883">
        <v>20104</v>
      </c>
      <c r="C1883">
        <v>31104</v>
      </c>
      <c r="D1883">
        <v>12733</v>
      </c>
      <c r="E1883">
        <v>6079</v>
      </c>
      <c r="F1883">
        <v>78</v>
      </c>
      <c r="G1883" t="s">
        <v>20</v>
      </c>
      <c r="H1883" t="str">
        <f>IF(Grammys[[#This Row],[date]] &gt;= DATE(2022, 2, 1), "Grammys", "Grammys + TRA")</f>
        <v>Grammys</v>
      </c>
      <c r="I1883">
        <f>_xlfn.XLOOKUP(Grammys[[#This Row],[date]], mobile_visits[date], mobile_visits[mobile_visitors], 0)</f>
        <v>14550</v>
      </c>
    </row>
    <row r="1884" spans="1:9" x14ac:dyDescent="0.2">
      <c r="A1884" s="1">
        <v>44618</v>
      </c>
      <c r="B1884">
        <v>15521</v>
      </c>
      <c r="C1884">
        <v>25252</v>
      </c>
      <c r="D1884">
        <v>10565</v>
      </c>
      <c r="E1884">
        <v>4997</v>
      </c>
      <c r="F1884">
        <v>78</v>
      </c>
      <c r="G1884" t="s">
        <v>20</v>
      </c>
      <c r="H1884" t="str">
        <f>IF(Grammys[[#This Row],[date]] &gt;= DATE(2022, 2, 1), "Grammys", "Grammys + TRA")</f>
        <v>Grammys</v>
      </c>
      <c r="I1884">
        <f>_xlfn.XLOOKUP(Grammys[[#This Row],[date]], mobile_visits[date], mobile_visits[mobile_visitors], 0)</f>
        <v>11505</v>
      </c>
    </row>
    <row r="1885" spans="1:9" x14ac:dyDescent="0.2">
      <c r="A1885" s="1">
        <v>44619</v>
      </c>
      <c r="B1885">
        <v>14265</v>
      </c>
      <c r="C1885">
        <v>23380</v>
      </c>
      <c r="D1885">
        <v>10265</v>
      </c>
      <c r="E1885">
        <v>4823</v>
      </c>
      <c r="F1885">
        <v>75</v>
      </c>
      <c r="G1885" t="s">
        <v>20</v>
      </c>
      <c r="H1885" t="str">
        <f>IF(Grammys[[#This Row],[date]] &gt;= DATE(2022, 2, 1), "Grammys", "Grammys + TRA")</f>
        <v>Grammys</v>
      </c>
      <c r="I1885">
        <f>_xlfn.XLOOKUP(Grammys[[#This Row],[date]], mobile_visits[date], mobile_visits[mobile_visitors], 0)</f>
        <v>9702</v>
      </c>
    </row>
    <row r="1886" spans="1:9" x14ac:dyDescent="0.2">
      <c r="A1886" s="1">
        <v>44620</v>
      </c>
      <c r="B1886">
        <v>14589</v>
      </c>
      <c r="C1886">
        <v>22474</v>
      </c>
      <c r="D1886">
        <v>10376</v>
      </c>
      <c r="E1886">
        <v>5284</v>
      </c>
      <c r="F1886">
        <v>79</v>
      </c>
      <c r="G1886" t="s">
        <v>20</v>
      </c>
      <c r="H1886" t="str">
        <f>IF(Grammys[[#This Row],[date]] &gt;= DATE(2022, 2, 1), "Grammys", "Grammys + TRA")</f>
        <v>Grammys</v>
      </c>
      <c r="I1886">
        <f>_xlfn.XLOOKUP(Grammys[[#This Row],[date]], mobile_visits[date], mobile_visits[mobile_visitors], 0)</f>
        <v>9113</v>
      </c>
    </row>
    <row r="1887" spans="1:9" x14ac:dyDescent="0.2">
      <c r="A1887" s="1">
        <v>44621</v>
      </c>
      <c r="B1887">
        <v>12707</v>
      </c>
      <c r="C1887">
        <v>21191</v>
      </c>
      <c r="D1887">
        <v>9691</v>
      </c>
      <c r="E1887">
        <v>4946</v>
      </c>
      <c r="F1887">
        <v>74</v>
      </c>
      <c r="G1887" t="s">
        <v>20</v>
      </c>
      <c r="H1887" t="str">
        <f>IF(Grammys[[#This Row],[date]] &gt;= DATE(2022, 2, 1), "Grammys", "Grammys + TRA")</f>
        <v>Grammys</v>
      </c>
      <c r="I1887">
        <f>_xlfn.XLOOKUP(Grammys[[#This Row],[date]], mobile_visits[date], mobile_visits[mobile_visitors], 0)</f>
        <v>7336</v>
      </c>
    </row>
    <row r="1888" spans="1:9" x14ac:dyDescent="0.2">
      <c r="A1888" s="1">
        <v>44622</v>
      </c>
      <c r="B1888">
        <v>13615</v>
      </c>
      <c r="C1888">
        <v>23165</v>
      </c>
      <c r="D1888">
        <v>10378</v>
      </c>
      <c r="E1888">
        <v>5095</v>
      </c>
      <c r="F1888">
        <v>75</v>
      </c>
      <c r="G1888" t="s">
        <v>20</v>
      </c>
      <c r="H1888" t="str">
        <f>IF(Grammys[[#This Row],[date]] &gt;= DATE(2022, 2, 1), "Grammys", "Grammys + TRA")</f>
        <v>Grammys</v>
      </c>
      <c r="I1888">
        <f>_xlfn.XLOOKUP(Grammys[[#This Row],[date]], mobile_visits[date], mobile_visits[mobile_visitors], 0)</f>
        <v>7905</v>
      </c>
    </row>
    <row r="1889" spans="1:9" x14ac:dyDescent="0.2">
      <c r="A1889" s="1">
        <v>44623</v>
      </c>
      <c r="B1889">
        <v>15084</v>
      </c>
      <c r="C1889">
        <v>26558</v>
      </c>
      <c r="D1889">
        <v>11563</v>
      </c>
      <c r="E1889">
        <v>5573</v>
      </c>
      <c r="F1889">
        <v>78</v>
      </c>
      <c r="G1889" t="s">
        <v>20</v>
      </c>
      <c r="H1889" t="str">
        <f>IF(Grammys[[#This Row],[date]] &gt;= DATE(2022, 2, 1), "Grammys", "Grammys + TRA")</f>
        <v>Grammys</v>
      </c>
      <c r="I1889">
        <f>_xlfn.XLOOKUP(Grammys[[#This Row],[date]], mobile_visits[date], mobile_visits[mobile_visitors], 0)</f>
        <v>9374</v>
      </c>
    </row>
    <row r="1890" spans="1:9" x14ac:dyDescent="0.2">
      <c r="A1890" s="1">
        <v>44624</v>
      </c>
      <c r="B1890">
        <v>16010</v>
      </c>
      <c r="C1890">
        <v>33121</v>
      </c>
      <c r="D1890">
        <v>13823</v>
      </c>
      <c r="E1890">
        <v>6858</v>
      </c>
      <c r="F1890">
        <v>67</v>
      </c>
      <c r="G1890" t="s">
        <v>20</v>
      </c>
      <c r="H1890" t="str">
        <f>IF(Grammys[[#This Row],[date]] &gt;= DATE(2022, 2, 1), "Grammys", "Grammys + TRA")</f>
        <v>Grammys</v>
      </c>
      <c r="I1890">
        <f>_xlfn.XLOOKUP(Grammys[[#This Row],[date]], mobile_visits[date], mobile_visits[mobile_visitors], 0)</f>
        <v>10977</v>
      </c>
    </row>
    <row r="1891" spans="1:9" x14ac:dyDescent="0.2">
      <c r="A1891" s="1">
        <v>44625</v>
      </c>
      <c r="B1891">
        <v>14263</v>
      </c>
      <c r="C1891">
        <v>31479</v>
      </c>
      <c r="D1891">
        <v>11784</v>
      </c>
      <c r="E1891">
        <v>5441</v>
      </c>
      <c r="F1891">
        <v>66</v>
      </c>
      <c r="G1891" t="s">
        <v>20</v>
      </c>
      <c r="H1891" t="str">
        <f>IF(Grammys[[#This Row],[date]] &gt;= DATE(2022, 2, 1), "Grammys", "Grammys + TRA")</f>
        <v>Grammys</v>
      </c>
      <c r="I1891">
        <f>_xlfn.XLOOKUP(Grammys[[#This Row],[date]], mobile_visits[date], mobile_visits[mobile_visitors], 0)</f>
        <v>10404</v>
      </c>
    </row>
    <row r="1892" spans="1:9" x14ac:dyDescent="0.2">
      <c r="A1892" s="1">
        <v>44626</v>
      </c>
      <c r="B1892">
        <v>13775</v>
      </c>
      <c r="C1892">
        <v>28828</v>
      </c>
      <c r="D1892">
        <v>10936</v>
      </c>
      <c r="E1892">
        <v>4762</v>
      </c>
      <c r="F1892">
        <v>79</v>
      </c>
      <c r="G1892" t="s">
        <v>20</v>
      </c>
      <c r="H1892" t="str">
        <f>IF(Grammys[[#This Row],[date]] &gt;= DATE(2022, 2, 1), "Grammys", "Grammys + TRA")</f>
        <v>Grammys</v>
      </c>
      <c r="I1892">
        <f>_xlfn.XLOOKUP(Grammys[[#This Row],[date]], mobile_visits[date], mobile_visits[mobile_visitors], 0)</f>
        <v>9655</v>
      </c>
    </row>
    <row r="1893" spans="1:9" x14ac:dyDescent="0.2">
      <c r="A1893" s="1">
        <v>44627</v>
      </c>
      <c r="B1893">
        <v>15400</v>
      </c>
      <c r="C1893">
        <v>31321</v>
      </c>
      <c r="D1893">
        <v>12605</v>
      </c>
      <c r="E1893">
        <v>6098</v>
      </c>
      <c r="F1893">
        <v>77</v>
      </c>
      <c r="G1893" t="s">
        <v>20</v>
      </c>
      <c r="H1893" t="str">
        <f>IF(Grammys[[#This Row],[date]] &gt;= DATE(2022, 2, 1), "Grammys", "Grammys + TRA")</f>
        <v>Grammys</v>
      </c>
      <c r="I1893">
        <f>_xlfn.XLOOKUP(Grammys[[#This Row],[date]], mobile_visits[date], mobile_visits[mobile_visitors], 0)</f>
        <v>9351</v>
      </c>
    </row>
    <row r="1894" spans="1:9" x14ac:dyDescent="0.2">
      <c r="A1894" s="1">
        <v>44628</v>
      </c>
      <c r="B1894">
        <v>14808</v>
      </c>
      <c r="C1894">
        <v>29520</v>
      </c>
      <c r="D1894">
        <v>11915</v>
      </c>
      <c r="E1894">
        <v>5559</v>
      </c>
      <c r="F1894">
        <v>80</v>
      </c>
      <c r="G1894" t="s">
        <v>20</v>
      </c>
      <c r="H1894" t="str">
        <f>IF(Grammys[[#This Row],[date]] &gt;= DATE(2022, 2, 1), "Grammys", "Grammys + TRA")</f>
        <v>Grammys</v>
      </c>
      <c r="I1894">
        <f>_xlfn.XLOOKUP(Grammys[[#This Row],[date]], mobile_visits[date], mobile_visits[mobile_visitors], 0)</f>
        <v>9410</v>
      </c>
    </row>
    <row r="1895" spans="1:9" x14ac:dyDescent="0.2">
      <c r="A1895" s="1">
        <v>44629</v>
      </c>
      <c r="B1895">
        <v>14241</v>
      </c>
      <c r="C1895">
        <v>28081</v>
      </c>
      <c r="D1895">
        <v>11249</v>
      </c>
      <c r="E1895">
        <v>5118</v>
      </c>
      <c r="F1895">
        <v>77</v>
      </c>
      <c r="G1895" t="s">
        <v>20</v>
      </c>
      <c r="H1895" t="str">
        <f>IF(Grammys[[#This Row],[date]] &gt;= DATE(2022, 2, 1), "Grammys", "Grammys + TRA")</f>
        <v>Grammys</v>
      </c>
      <c r="I1895">
        <f>_xlfn.XLOOKUP(Grammys[[#This Row],[date]], mobile_visits[date], mobile_visits[mobile_visitors], 0)</f>
        <v>8478</v>
      </c>
    </row>
    <row r="1896" spans="1:9" x14ac:dyDescent="0.2">
      <c r="A1896" s="1">
        <v>44630</v>
      </c>
      <c r="B1896">
        <v>14840</v>
      </c>
      <c r="C1896">
        <v>30453</v>
      </c>
      <c r="D1896">
        <v>12201</v>
      </c>
      <c r="E1896">
        <v>5635</v>
      </c>
      <c r="F1896">
        <v>83</v>
      </c>
      <c r="G1896" t="s">
        <v>20</v>
      </c>
      <c r="H1896" t="str">
        <f>IF(Grammys[[#This Row],[date]] &gt;= DATE(2022, 2, 1), "Grammys", "Grammys + TRA")</f>
        <v>Grammys</v>
      </c>
      <c r="I1896">
        <f>_xlfn.XLOOKUP(Grammys[[#This Row],[date]], mobile_visits[date], mobile_visits[mobile_visitors], 0)</f>
        <v>9234</v>
      </c>
    </row>
    <row r="1897" spans="1:9" x14ac:dyDescent="0.2">
      <c r="A1897" s="1">
        <v>44631</v>
      </c>
      <c r="B1897">
        <v>14701</v>
      </c>
      <c r="C1897">
        <v>29701</v>
      </c>
      <c r="D1897">
        <v>12324</v>
      </c>
      <c r="E1897">
        <v>5928</v>
      </c>
      <c r="F1897">
        <v>81</v>
      </c>
      <c r="G1897" t="s">
        <v>20</v>
      </c>
      <c r="H1897" t="str">
        <f>IF(Grammys[[#This Row],[date]] &gt;= DATE(2022, 2, 1), "Grammys", "Grammys + TRA")</f>
        <v>Grammys</v>
      </c>
      <c r="I1897">
        <f>_xlfn.XLOOKUP(Grammys[[#This Row],[date]], mobile_visits[date], mobile_visits[mobile_visitors], 0)</f>
        <v>9408</v>
      </c>
    </row>
    <row r="1898" spans="1:9" x14ac:dyDescent="0.2">
      <c r="A1898" s="1">
        <v>44632</v>
      </c>
      <c r="B1898">
        <v>14572</v>
      </c>
      <c r="C1898">
        <v>29527</v>
      </c>
      <c r="D1898">
        <v>12313</v>
      </c>
      <c r="E1898">
        <v>6013</v>
      </c>
      <c r="F1898">
        <v>69</v>
      </c>
      <c r="G1898" t="s">
        <v>20</v>
      </c>
      <c r="H1898" t="str">
        <f>IF(Grammys[[#This Row],[date]] &gt;= DATE(2022, 2, 1), "Grammys", "Grammys + TRA")</f>
        <v>Grammys</v>
      </c>
      <c r="I1898">
        <f>_xlfn.XLOOKUP(Grammys[[#This Row],[date]], mobile_visits[date], mobile_visits[mobile_visitors], 0)</f>
        <v>10478</v>
      </c>
    </row>
    <row r="1899" spans="1:9" x14ac:dyDescent="0.2">
      <c r="A1899" s="1">
        <v>44633</v>
      </c>
      <c r="B1899">
        <v>18949</v>
      </c>
      <c r="C1899">
        <v>33107</v>
      </c>
      <c r="D1899">
        <v>14118</v>
      </c>
      <c r="E1899">
        <v>6822</v>
      </c>
      <c r="F1899">
        <v>63</v>
      </c>
      <c r="G1899" t="s">
        <v>20</v>
      </c>
      <c r="H1899" t="str">
        <f>IF(Grammys[[#This Row],[date]] &gt;= DATE(2022, 2, 1), "Grammys", "Grammys + TRA")</f>
        <v>Grammys</v>
      </c>
      <c r="I1899">
        <f>_xlfn.XLOOKUP(Grammys[[#This Row],[date]], mobile_visits[date], mobile_visits[mobile_visitors], 0)</f>
        <v>11570</v>
      </c>
    </row>
    <row r="1900" spans="1:9" x14ac:dyDescent="0.2">
      <c r="A1900" s="1">
        <v>44634</v>
      </c>
      <c r="B1900">
        <v>26073</v>
      </c>
      <c r="C1900">
        <v>48843</v>
      </c>
      <c r="D1900">
        <v>20992</v>
      </c>
      <c r="E1900">
        <v>10434</v>
      </c>
      <c r="F1900">
        <v>66</v>
      </c>
      <c r="G1900" t="s">
        <v>20</v>
      </c>
      <c r="H1900" t="str">
        <f>IF(Grammys[[#This Row],[date]] &gt;= DATE(2022, 2, 1), "Grammys", "Grammys + TRA")</f>
        <v>Grammys</v>
      </c>
      <c r="I1900">
        <f>_xlfn.XLOOKUP(Grammys[[#This Row],[date]], mobile_visits[date], mobile_visits[mobile_visitors], 0)</f>
        <v>14861</v>
      </c>
    </row>
    <row r="1901" spans="1:9" x14ac:dyDescent="0.2">
      <c r="A1901" s="1">
        <v>44635</v>
      </c>
      <c r="B1901">
        <v>48971</v>
      </c>
      <c r="C1901">
        <v>106667</v>
      </c>
      <c r="D1901">
        <v>45121</v>
      </c>
      <c r="E1901">
        <v>21794</v>
      </c>
      <c r="F1901">
        <v>64</v>
      </c>
      <c r="G1901" t="s">
        <v>20</v>
      </c>
      <c r="H1901" t="str">
        <f>IF(Grammys[[#This Row],[date]] &gt;= DATE(2022, 2, 1), "Grammys", "Grammys + TRA")</f>
        <v>Grammys</v>
      </c>
      <c r="I1901">
        <f>_xlfn.XLOOKUP(Grammys[[#This Row],[date]], mobile_visits[date], mobile_visits[mobile_visitors], 0)</f>
        <v>34343</v>
      </c>
    </row>
    <row r="1902" spans="1:9" x14ac:dyDescent="0.2">
      <c r="A1902" s="1">
        <v>44636</v>
      </c>
      <c r="B1902">
        <v>26864</v>
      </c>
      <c r="C1902">
        <v>60009</v>
      </c>
      <c r="D1902">
        <v>24616</v>
      </c>
      <c r="E1902">
        <v>11757</v>
      </c>
      <c r="F1902">
        <v>75</v>
      </c>
      <c r="G1902" t="s">
        <v>20</v>
      </c>
      <c r="H1902" t="str">
        <f>IF(Grammys[[#This Row],[date]] &gt;= DATE(2022, 2, 1), "Grammys", "Grammys + TRA")</f>
        <v>Grammys</v>
      </c>
      <c r="I1902">
        <f>_xlfn.XLOOKUP(Grammys[[#This Row],[date]], mobile_visits[date], mobile_visits[mobile_visitors], 0)</f>
        <v>17294</v>
      </c>
    </row>
    <row r="1903" spans="1:9" x14ac:dyDescent="0.2">
      <c r="A1903" s="1">
        <v>44637</v>
      </c>
      <c r="B1903">
        <v>23775</v>
      </c>
      <c r="C1903">
        <v>57572</v>
      </c>
      <c r="D1903">
        <v>23951</v>
      </c>
      <c r="E1903">
        <v>10913</v>
      </c>
      <c r="F1903">
        <v>86</v>
      </c>
      <c r="G1903" t="s">
        <v>20</v>
      </c>
      <c r="H1903" t="str">
        <f>IF(Grammys[[#This Row],[date]] &gt;= DATE(2022, 2, 1), "Grammys", "Grammys + TRA")</f>
        <v>Grammys</v>
      </c>
      <c r="I1903">
        <f>_xlfn.XLOOKUP(Grammys[[#This Row],[date]], mobile_visits[date], mobile_visits[mobile_visitors], 0)</f>
        <v>14935</v>
      </c>
    </row>
    <row r="1904" spans="1:9" x14ac:dyDescent="0.2">
      <c r="A1904" s="1">
        <v>44638</v>
      </c>
      <c r="B1904">
        <v>26065</v>
      </c>
      <c r="C1904">
        <v>65859</v>
      </c>
      <c r="D1904">
        <v>28685</v>
      </c>
      <c r="E1904">
        <v>13213</v>
      </c>
      <c r="F1904">
        <v>87</v>
      </c>
      <c r="G1904" t="s">
        <v>20</v>
      </c>
      <c r="H1904" t="str">
        <f>IF(Grammys[[#This Row],[date]] &gt;= DATE(2022, 2, 1), "Grammys", "Grammys + TRA")</f>
        <v>Grammys</v>
      </c>
      <c r="I1904">
        <f>_xlfn.XLOOKUP(Grammys[[#This Row],[date]], mobile_visits[date], mobile_visits[mobile_visitors], 0)</f>
        <v>18086</v>
      </c>
    </row>
    <row r="1905" spans="1:9" x14ac:dyDescent="0.2">
      <c r="A1905" s="1">
        <v>44639</v>
      </c>
      <c r="B1905">
        <v>31396</v>
      </c>
      <c r="C1905">
        <v>77684</v>
      </c>
      <c r="D1905">
        <v>34269</v>
      </c>
      <c r="E1905">
        <v>15915</v>
      </c>
      <c r="F1905">
        <v>77</v>
      </c>
      <c r="G1905" t="s">
        <v>20</v>
      </c>
      <c r="H1905" t="str">
        <f>IF(Grammys[[#This Row],[date]] &gt;= DATE(2022, 2, 1), "Grammys", "Grammys + TRA")</f>
        <v>Grammys</v>
      </c>
      <c r="I1905">
        <f>_xlfn.XLOOKUP(Grammys[[#This Row],[date]], mobile_visits[date], mobile_visits[mobile_visitors], 0)</f>
        <v>24121</v>
      </c>
    </row>
    <row r="1906" spans="1:9" x14ac:dyDescent="0.2">
      <c r="A1906" s="1">
        <v>44640</v>
      </c>
      <c r="B1906">
        <v>33350</v>
      </c>
      <c r="C1906">
        <v>83321</v>
      </c>
      <c r="D1906">
        <v>36290</v>
      </c>
      <c r="E1906">
        <v>16277</v>
      </c>
      <c r="F1906">
        <v>80</v>
      </c>
      <c r="G1906" t="s">
        <v>20</v>
      </c>
      <c r="H1906" t="str">
        <f>IF(Grammys[[#This Row],[date]] &gt;= DATE(2022, 2, 1), "Grammys", "Grammys + TRA")</f>
        <v>Grammys</v>
      </c>
      <c r="I1906">
        <f>_xlfn.XLOOKUP(Grammys[[#This Row],[date]], mobile_visits[date], mobile_visits[mobile_visitors], 0)</f>
        <v>24641</v>
      </c>
    </row>
    <row r="1907" spans="1:9" x14ac:dyDescent="0.2">
      <c r="A1907" s="1">
        <v>44641</v>
      </c>
      <c r="B1907">
        <v>32206</v>
      </c>
      <c r="C1907">
        <v>81304</v>
      </c>
      <c r="D1907">
        <v>35331</v>
      </c>
      <c r="E1907">
        <v>15786</v>
      </c>
      <c r="F1907">
        <v>90</v>
      </c>
      <c r="G1907" t="s">
        <v>20</v>
      </c>
      <c r="H1907" t="str">
        <f>IF(Grammys[[#This Row],[date]] &gt;= DATE(2022, 2, 1), "Grammys", "Grammys + TRA")</f>
        <v>Grammys</v>
      </c>
      <c r="I1907">
        <f>_xlfn.XLOOKUP(Grammys[[#This Row],[date]], mobile_visits[date], mobile_visits[mobile_visitors], 0)</f>
        <v>20029</v>
      </c>
    </row>
    <row r="1908" spans="1:9" x14ac:dyDescent="0.2">
      <c r="A1908" s="1">
        <v>44642</v>
      </c>
      <c r="B1908">
        <v>37508</v>
      </c>
      <c r="C1908">
        <v>103033</v>
      </c>
      <c r="D1908">
        <v>42065</v>
      </c>
      <c r="E1908">
        <v>18366</v>
      </c>
      <c r="F1908">
        <v>91</v>
      </c>
      <c r="G1908" t="s">
        <v>20</v>
      </c>
      <c r="H1908" t="str">
        <f>IF(Grammys[[#This Row],[date]] &gt;= DATE(2022, 2, 1), "Grammys", "Grammys + TRA")</f>
        <v>Grammys</v>
      </c>
      <c r="I1908">
        <f>_xlfn.XLOOKUP(Grammys[[#This Row],[date]], mobile_visits[date], mobile_visits[mobile_visitors], 0)</f>
        <v>25122</v>
      </c>
    </row>
    <row r="1909" spans="1:9" x14ac:dyDescent="0.2">
      <c r="A1909" s="1">
        <v>44643</v>
      </c>
      <c r="B1909">
        <v>34953</v>
      </c>
      <c r="C1909">
        <v>95806</v>
      </c>
      <c r="D1909">
        <v>38692</v>
      </c>
      <c r="E1909">
        <v>17187</v>
      </c>
      <c r="F1909">
        <v>101</v>
      </c>
      <c r="G1909" t="s">
        <v>20</v>
      </c>
      <c r="H1909" t="str">
        <f>IF(Grammys[[#This Row],[date]] &gt;= DATE(2022, 2, 1), "Grammys", "Grammys + TRA")</f>
        <v>Grammys</v>
      </c>
      <c r="I1909">
        <f>_xlfn.XLOOKUP(Grammys[[#This Row],[date]], mobile_visits[date], mobile_visits[mobile_visitors], 0)</f>
        <v>23193</v>
      </c>
    </row>
    <row r="1910" spans="1:9" x14ac:dyDescent="0.2">
      <c r="A1910" s="1">
        <v>44644</v>
      </c>
      <c r="B1910">
        <v>33743</v>
      </c>
      <c r="C1910">
        <v>90676</v>
      </c>
      <c r="D1910">
        <v>37781</v>
      </c>
      <c r="E1910">
        <v>16696</v>
      </c>
      <c r="F1910">
        <v>99</v>
      </c>
      <c r="G1910" t="s">
        <v>20</v>
      </c>
      <c r="H1910" t="str">
        <f>IF(Grammys[[#This Row],[date]] &gt;= DATE(2022, 2, 1), "Grammys", "Grammys + TRA")</f>
        <v>Grammys</v>
      </c>
      <c r="I1910">
        <f>_xlfn.XLOOKUP(Grammys[[#This Row],[date]], mobile_visits[date], mobile_visits[mobile_visitors], 0)</f>
        <v>21853</v>
      </c>
    </row>
    <row r="1911" spans="1:9" x14ac:dyDescent="0.2">
      <c r="A1911" s="1">
        <v>44645</v>
      </c>
      <c r="B1911">
        <v>35229</v>
      </c>
      <c r="C1911">
        <v>94117</v>
      </c>
      <c r="D1911">
        <v>39188</v>
      </c>
      <c r="E1911">
        <v>17572</v>
      </c>
      <c r="F1911">
        <v>90</v>
      </c>
      <c r="G1911" t="s">
        <v>20</v>
      </c>
      <c r="H1911" t="str">
        <f>IF(Grammys[[#This Row],[date]] &gt;= DATE(2022, 2, 1), "Grammys", "Grammys + TRA")</f>
        <v>Grammys</v>
      </c>
      <c r="I1911">
        <f>_xlfn.XLOOKUP(Grammys[[#This Row],[date]], mobile_visits[date], mobile_visits[mobile_visitors], 0)</f>
        <v>23730</v>
      </c>
    </row>
    <row r="1912" spans="1:9" x14ac:dyDescent="0.2">
      <c r="A1912" s="1">
        <v>44646</v>
      </c>
      <c r="B1912">
        <v>39481</v>
      </c>
      <c r="C1912">
        <v>104183</v>
      </c>
      <c r="D1912">
        <v>45128</v>
      </c>
      <c r="E1912">
        <v>21337</v>
      </c>
      <c r="F1912">
        <v>84</v>
      </c>
      <c r="G1912" t="s">
        <v>20</v>
      </c>
      <c r="H1912" t="str">
        <f>IF(Grammys[[#This Row],[date]] &gt;= DATE(2022, 2, 1), "Grammys", "Grammys + TRA")</f>
        <v>Grammys</v>
      </c>
      <c r="I1912">
        <f>_xlfn.XLOOKUP(Grammys[[#This Row],[date]], mobile_visits[date], mobile_visits[mobile_visitors], 0)</f>
        <v>31163</v>
      </c>
    </row>
    <row r="1913" spans="1:9" x14ac:dyDescent="0.2">
      <c r="A1913" s="1">
        <v>44647</v>
      </c>
      <c r="B1913">
        <v>81975</v>
      </c>
      <c r="C1913">
        <v>238268</v>
      </c>
      <c r="D1913">
        <v>90662</v>
      </c>
      <c r="E1913">
        <v>35894</v>
      </c>
      <c r="F1913">
        <v>90</v>
      </c>
      <c r="G1913" t="s">
        <v>20</v>
      </c>
      <c r="H1913" t="str">
        <f>IF(Grammys[[#This Row],[date]] &gt;= DATE(2022, 2, 1), "Grammys", "Grammys + TRA")</f>
        <v>Grammys</v>
      </c>
      <c r="I1913">
        <f>_xlfn.XLOOKUP(Grammys[[#This Row],[date]], mobile_visits[date], mobile_visits[mobile_visitors], 0)</f>
        <v>64557</v>
      </c>
    </row>
    <row r="1914" spans="1:9" x14ac:dyDescent="0.2">
      <c r="A1914" s="1">
        <v>44648</v>
      </c>
      <c r="B1914">
        <v>95370</v>
      </c>
      <c r="C1914">
        <v>289065</v>
      </c>
      <c r="D1914">
        <v>108815</v>
      </c>
      <c r="E1914">
        <v>42961</v>
      </c>
      <c r="F1914">
        <v>93</v>
      </c>
      <c r="G1914" t="s">
        <v>20</v>
      </c>
      <c r="H1914" t="str">
        <f>IF(Grammys[[#This Row],[date]] &gt;= DATE(2022, 2, 1), "Grammys", "Grammys + TRA")</f>
        <v>Grammys</v>
      </c>
      <c r="I1914">
        <f>_xlfn.XLOOKUP(Grammys[[#This Row],[date]], mobile_visits[date], mobile_visits[mobile_visitors], 0)</f>
        <v>67000</v>
      </c>
    </row>
    <row r="1915" spans="1:9" x14ac:dyDescent="0.2">
      <c r="A1915" s="1">
        <v>44649</v>
      </c>
      <c r="B1915">
        <v>92539</v>
      </c>
      <c r="C1915">
        <v>282285</v>
      </c>
      <c r="D1915">
        <v>104918</v>
      </c>
      <c r="E1915">
        <v>40583</v>
      </c>
      <c r="F1915">
        <v>102</v>
      </c>
      <c r="G1915" t="s">
        <v>20</v>
      </c>
      <c r="H1915" t="str">
        <f>IF(Grammys[[#This Row],[date]] &gt;= DATE(2022, 2, 1), "Grammys", "Grammys + TRA")</f>
        <v>Grammys</v>
      </c>
      <c r="I1915">
        <f>_xlfn.XLOOKUP(Grammys[[#This Row],[date]], mobile_visits[date], mobile_visits[mobile_visitors], 0)</f>
        <v>64586</v>
      </c>
    </row>
    <row r="1916" spans="1:9" x14ac:dyDescent="0.2">
      <c r="A1916" s="1">
        <v>44650</v>
      </c>
      <c r="B1916">
        <v>98317</v>
      </c>
      <c r="C1916">
        <v>282865</v>
      </c>
      <c r="D1916">
        <v>112650</v>
      </c>
      <c r="E1916">
        <v>46998</v>
      </c>
      <c r="F1916">
        <v>105</v>
      </c>
      <c r="G1916" t="s">
        <v>20</v>
      </c>
      <c r="H1916" t="str">
        <f>IF(Grammys[[#This Row],[date]] &gt;= DATE(2022, 2, 1), "Grammys", "Grammys + TRA")</f>
        <v>Grammys</v>
      </c>
      <c r="I1916">
        <f>_xlfn.XLOOKUP(Grammys[[#This Row],[date]], mobile_visits[date], mobile_visits[mobile_visitors], 0)</f>
        <v>70495</v>
      </c>
    </row>
    <row r="1917" spans="1:9" x14ac:dyDescent="0.2">
      <c r="A1917" s="1">
        <v>44651</v>
      </c>
      <c r="B1917">
        <v>82932</v>
      </c>
      <c r="C1917">
        <v>232120</v>
      </c>
      <c r="D1917">
        <v>95127</v>
      </c>
      <c r="E1917">
        <v>41371</v>
      </c>
      <c r="F1917">
        <v>102</v>
      </c>
      <c r="G1917" t="s">
        <v>20</v>
      </c>
      <c r="H1917" t="str">
        <f>IF(Grammys[[#This Row],[date]] &gt;= DATE(2022, 2, 1), "Grammys", "Grammys + TRA")</f>
        <v>Grammys</v>
      </c>
      <c r="I1917">
        <f>_xlfn.XLOOKUP(Grammys[[#This Row],[date]], mobile_visits[date], mobile_visits[mobile_visitors], 0)</f>
        <v>58734</v>
      </c>
    </row>
    <row r="1918" spans="1:9" x14ac:dyDescent="0.2">
      <c r="A1918" s="1">
        <v>44652</v>
      </c>
      <c r="B1918">
        <v>111046</v>
      </c>
      <c r="C1918">
        <v>318102</v>
      </c>
      <c r="D1918">
        <v>129979</v>
      </c>
      <c r="E1918">
        <v>55073</v>
      </c>
      <c r="F1918">
        <v>95</v>
      </c>
      <c r="G1918" t="s">
        <v>20</v>
      </c>
      <c r="H1918" t="str">
        <f>IF(Grammys[[#This Row],[date]] &gt;= DATE(2022, 2, 1), "Grammys", "Grammys + TRA")</f>
        <v>Grammys</v>
      </c>
      <c r="I1918">
        <f>_xlfn.XLOOKUP(Grammys[[#This Row],[date]], mobile_visits[date], mobile_visits[mobile_visitors], 0)</f>
        <v>81320</v>
      </c>
    </row>
    <row r="1919" spans="1:9" x14ac:dyDescent="0.2">
      <c r="A1919" s="1">
        <v>44653</v>
      </c>
      <c r="B1919">
        <v>219761</v>
      </c>
      <c r="C1919">
        <v>624465</v>
      </c>
      <c r="D1919">
        <v>258029</v>
      </c>
      <c r="E1919">
        <v>111753</v>
      </c>
      <c r="F1919">
        <v>89</v>
      </c>
      <c r="G1919" t="s">
        <v>20</v>
      </c>
      <c r="H1919" t="str">
        <f>IF(Grammys[[#This Row],[date]] &gt;= DATE(2022, 2, 1), "Grammys", "Grammys + TRA")</f>
        <v>Grammys</v>
      </c>
      <c r="I1919">
        <f>_xlfn.XLOOKUP(Grammys[[#This Row],[date]], mobile_visits[date], mobile_visits[mobile_visitors], 0)</f>
        <v>181561</v>
      </c>
    </row>
    <row r="1920" spans="1:9" x14ac:dyDescent="0.2">
      <c r="A1920" s="1">
        <v>44654</v>
      </c>
      <c r="B1920">
        <v>2232007</v>
      </c>
      <c r="C1920">
        <v>7344507</v>
      </c>
      <c r="D1920">
        <v>3086640</v>
      </c>
      <c r="E1920">
        <v>1300402</v>
      </c>
      <c r="F1920">
        <v>130</v>
      </c>
      <c r="G1920" t="s">
        <v>21</v>
      </c>
      <c r="H1920" t="str">
        <f>IF(Grammys[[#This Row],[date]] &gt;= DATE(2022, 2, 1), "Grammys", "Grammys + TRA")</f>
        <v>Grammys</v>
      </c>
      <c r="I1920">
        <f>_xlfn.XLOOKUP(Grammys[[#This Row],[date]], mobile_visits[date], mobile_visits[mobile_visitors], 0)</f>
        <v>1751415</v>
      </c>
    </row>
    <row r="1921" spans="1:9" x14ac:dyDescent="0.2">
      <c r="A1921" s="1">
        <v>44655</v>
      </c>
      <c r="B1921">
        <v>798488</v>
      </c>
      <c r="C1921">
        <v>2168600</v>
      </c>
      <c r="D1921">
        <v>953408</v>
      </c>
      <c r="E1921">
        <v>413494</v>
      </c>
      <c r="F1921">
        <v>80</v>
      </c>
      <c r="G1921" t="s">
        <v>20</v>
      </c>
      <c r="H1921" t="str">
        <f>IF(Grammys[[#This Row],[date]] &gt;= DATE(2022, 2, 1), "Grammys", "Grammys + TRA")</f>
        <v>Grammys</v>
      </c>
      <c r="I1921">
        <f>_xlfn.XLOOKUP(Grammys[[#This Row],[date]], mobile_visits[date], mobile_visits[mobile_visitors], 0)</f>
        <v>568791</v>
      </c>
    </row>
    <row r="1922" spans="1:9" x14ac:dyDescent="0.2">
      <c r="A1922" s="1">
        <v>44656</v>
      </c>
      <c r="B1922">
        <v>226589</v>
      </c>
      <c r="C1922">
        <v>592457</v>
      </c>
      <c r="D1922">
        <v>263082</v>
      </c>
      <c r="E1922">
        <v>116914</v>
      </c>
      <c r="F1922">
        <v>85</v>
      </c>
      <c r="G1922" t="s">
        <v>20</v>
      </c>
      <c r="H1922" t="str">
        <f>IF(Grammys[[#This Row],[date]] &gt;= DATE(2022, 2, 1), "Grammys", "Grammys + TRA")</f>
        <v>Grammys</v>
      </c>
      <c r="I1922">
        <f>_xlfn.XLOOKUP(Grammys[[#This Row],[date]], mobile_visits[date], mobile_visits[mobile_visitors], 0)</f>
        <v>156760</v>
      </c>
    </row>
    <row r="1923" spans="1:9" x14ac:dyDescent="0.2">
      <c r="A1923" s="1">
        <v>44657</v>
      </c>
      <c r="B1923">
        <v>129318</v>
      </c>
      <c r="C1923">
        <v>327200</v>
      </c>
      <c r="D1923">
        <v>146051</v>
      </c>
      <c r="E1923">
        <v>65183</v>
      </c>
      <c r="F1923">
        <v>86</v>
      </c>
      <c r="G1923" t="s">
        <v>20</v>
      </c>
      <c r="H1923" t="str">
        <f>IF(Grammys[[#This Row],[date]] &gt;= DATE(2022, 2, 1), "Grammys", "Grammys + TRA")</f>
        <v>Grammys</v>
      </c>
      <c r="I1923">
        <f>_xlfn.XLOOKUP(Grammys[[#This Row],[date]], mobile_visits[date], mobile_visits[mobile_visitors], 0)</f>
        <v>88797</v>
      </c>
    </row>
    <row r="1924" spans="1:9" x14ac:dyDescent="0.2">
      <c r="A1924" s="1">
        <v>44658</v>
      </c>
      <c r="B1924">
        <v>95852</v>
      </c>
      <c r="C1924">
        <v>259527</v>
      </c>
      <c r="D1924">
        <v>111484</v>
      </c>
      <c r="E1924">
        <v>48017</v>
      </c>
      <c r="F1924">
        <v>88</v>
      </c>
      <c r="G1924" t="s">
        <v>20</v>
      </c>
      <c r="H1924" t="str">
        <f>IF(Grammys[[#This Row],[date]] &gt;= DATE(2022, 2, 1), "Grammys", "Grammys + TRA")</f>
        <v>Grammys</v>
      </c>
      <c r="I1924">
        <f>_xlfn.XLOOKUP(Grammys[[#This Row],[date]], mobile_visits[date], mobile_visits[mobile_visitors], 0)</f>
        <v>64588</v>
      </c>
    </row>
    <row r="1925" spans="1:9" x14ac:dyDescent="0.2">
      <c r="A1925" s="1">
        <v>44659</v>
      </c>
      <c r="B1925">
        <v>79275</v>
      </c>
      <c r="C1925">
        <v>210139</v>
      </c>
      <c r="D1925">
        <v>91964</v>
      </c>
      <c r="E1925">
        <v>40593</v>
      </c>
      <c r="F1925">
        <v>86</v>
      </c>
      <c r="G1925" t="s">
        <v>20</v>
      </c>
      <c r="H1925" t="str">
        <f>IF(Grammys[[#This Row],[date]] &gt;= DATE(2022, 2, 1), "Grammys", "Grammys + TRA")</f>
        <v>Grammys</v>
      </c>
      <c r="I1925">
        <f>_xlfn.XLOOKUP(Grammys[[#This Row],[date]], mobile_visits[date], mobile_visits[mobile_visitors], 0)</f>
        <v>55077</v>
      </c>
    </row>
    <row r="1926" spans="1:9" x14ac:dyDescent="0.2">
      <c r="A1926" s="1">
        <v>44660</v>
      </c>
      <c r="B1926">
        <v>67699</v>
      </c>
      <c r="C1926">
        <v>172244</v>
      </c>
      <c r="D1926">
        <v>76966</v>
      </c>
      <c r="E1926">
        <v>35351</v>
      </c>
      <c r="F1926">
        <v>81</v>
      </c>
      <c r="G1926" t="s">
        <v>20</v>
      </c>
      <c r="H1926" t="str">
        <f>IF(Grammys[[#This Row],[date]] &gt;= DATE(2022, 2, 1), "Grammys", "Grammys + TRA")</f>
        <v>Grammys</v>
      </c>
      <c r="I1926">
        <f>_xlfn.XLOOKUP(Grammys[[#This Row],[date]], mobile_visits[date], mobile_visits[mobile_visitors], 0)</f>
        <v>50750</v>
      </c>
    </row>
    <row r="1927" spans="1:9" x14ac:dyDescent="0.2">
      <c r="A1927" s="1">
        <v>44661</v>
      </c>
      <c r="B1927">
        <v>56971</v>
      </c>
      <c r="C1927">
        <v>143400</v>
      </c>
      <c r="D1927">
        <v>65164</v>
      </c>
      <c r="E1927">
        <v>30276</v>
      </c>
      <c r="F1927">
        <v>80</v>
      </c>
      <c r="G1927" t="s">
        <v>20</v>
      </c>
      <c r="H1927" t="str">
        <f>IF(Grammys[[#This Row],[date]] &gt;= DATE(2022, 2, 1), "Grammys", "Grammys + TRA")</f>
        <v>Grammys</v>
      </c>
      <c r="I1927">
        <f>_xlfn.XLOOKUP(Grammys[[#This Row],[date]], mobile_visits[date], mobile_visits[mobile_visitors], 0)</f>
        <v>41091</v>
      </c>
    </row>
    <row r="1928" spans="1:9" x14ac:dyDescent="0.2">
      <c r="A1928" s="1">
        <v>44662</v>
      </c>
      <c r="B1928">
        <v>47764</v>
      </c>
      <c r="C1928">
        <v>118990</v>
      </c>
      <c r="D1928">
        <v>54806</v>
      </c>
      <c r="E1928">
        <v>25918</v>
      </c>
      <c r="F1928">
        <v>86</v>
      </c>
      <c r="G1928" t="s">
        <v>20</v>
      </c>
      <c r="H1928" t="str">
        <f>IF(Grammys[[#This Row],[date]] &gt;= DATE(2022, 2, 1), "Grammys", "Grammys + TRA")</f>
        <v>Grammys</v>
      </c>
      <c r="I1928">
        <f>_xlfn.XLOOKUP(Grammys[[#This Row],[date]], mobile_visits[date], mobile_visits[mobile_visitors], 0)</f>
        <v>29459</v>
      </c>
    </row>
    <row r="1929" spans="1:9" x14ac:dyDescent="0.2">
      <c r="A1929" s="1">
        <v>44663</v>
      </c>
      <c r="B1929">
        <v>40892</v>
      </c>
      <c r="C1929">
        <v>98622</v>
      </c>
      <c r="D1929">
        <v>46525</v>
      </c>
      <c r="E1929">
        <v>22621</v>
      </c>
      <c r="F1929">
        <v>87</v>
      </c>
      <c r="G1929" t="s">
        <v>20</v>
      </c>
      <c r="H1929" t="str">
        <f>IF(Grammys[[#This Row],[date]] &gt;= DATE(2022, 2, 1), "Grammys", "Grammys + TRA")</f>
        <v>Grammys</v>
      </c>
      <c r="I1929">
        <f>_xlfn.XLOOKUP(Grammys[[#This Row],[date]], mobile_visits[date], mobile_visits[mobile_visitors], 0)</f>
        <v>26759</v>
      </c>
    </row>
    <row r="1930" spans="1:9" x14ac:dyDescent="0.2">
      <c r="A1930" s="1">
        <v>44664</v>
      </c>
      <c r="B1930">
        <v>36954</v>
      </c>
      <c r="C1930">
        <v>88367</v>
      </c>
      <c r="D1930">
        <v>42213</v>
      </c>
      <c r="E1930">
        <v>20807</v>
      </c>
      <c r="F1930">
        <v>88</v>
      </c>
      <c r="G1930" t="s">
        <v>20</v>
      </c>
      <c r="H1930" t="str">
        <f>IF(Grammys[[#This Row],[date]] &gt;= DATE(2022, 2, 1), "Grammys", "Grammys + TRA")</f>
        <v>Grammys</v>
      </c>
      <c r="I1930">
        <f>_xlfn.XLOOKUP(Grammys[[#This Row],[date]], mobile_visits[date], mobile_visits[mobile_visitors], 0)</f>
        <v>23134</v>
      </c>
    </row>
    <row r="1931" spans="1:9" x14ac:dyDescent="0.2">
      <c r="A1931" s="1">
        <v>44665</v>
      </c>
      <c r="B1931">
        <v>32305</v>
      </c>
      <c r="C1931">
        <v>79681</v>
      </c>
      <c r="D1931">
        <v>36634</v>
      </c>
      <c r="E1931">
        <v>17446</v>
      </c>
      <c r="F1931">
        <v>89</v>
      </c>
      <c r="G1931" t="s">
        <v>20</v>
      </c>
      <c r="H1931" t="str">
        <f>IF(Grammys[[#This Row],[date]] &gt;= DATE(2022, 2, 1), "Grammys", "Grammys + TRA")</f>
        <v>Grammys</v>
      </c>
      <c r="I1931">
        <f>_xlfn.XLOOKUP(Grammys[[#This Row],[date]], mobile_visits[date], mobile_visits[mobile_visitors], 0)</f>
        <v>21536</v>
      </c>
    </row>
    <row r="1932" spans="1:9" x14ac:dyDescent="0.2">
      <c r="A1932" s="1">
        <v>44666</v>
      </c>
      <c r="B1932">
        <v>30018</v>
      </c>
      <c r="C1932">
        <v>75580</v>
      </c>
      <c r="D1932">
        <v>33377</v>
      </c>
      <c r="E1932">
        <v>15494</v>
      </c>
      <c r="F1932">
        <v>85</v>
      </c>
      <c r="G1932" t="s">
        <v>20</v>
      </c>
      <c r="H1932" t="str">
        <f>IF(Grammys[[#This Row],[date]] &gt;= DATE(2022, 2, 1), "Grammys", "Grammys + TRA")</f>
        <v>Grammys</v>
      </c>
      <c r="I1932">
        <f>_xlfn.XLOOKUP(Grammys[[#This Row],[date]], mobile_visits[date], mobile_visits[mobile_visitors], 0)</f>
        <v>21387</v>
      </c>
    </row>
    <row r="1933" spans="1:9" x14ac:dyDescent="0.2">
      <c r="A1933" s="1">
        <v>44667</v>
      </c>
      <c r="B1933">
        <v>28244</v>
      </c>
      <c r="C1933">
        <v>71235</v>
      </c>
      <c r="D1933">
        <v>31175</v>
      </c>
      <c r="E1933">
        <v>14519</v>
      </c>
      <c r="F1933">
        <v>81</v>
      </c>
      <c r="G1933" t="s">
        <v>20</v>
      </c>
      <c r="H1933" t="str">
        <f>IF(Grammys[[#This Row],[date]] &gt;= DATE(2022, 2, 1), "Grammys", "Grammys + TRA")</f>
        <v>Grammys</v>
      </c>
      <c r="I1933">
        <f>_xlfn.XLOOKUP(Grammys[[#This Row],[date]], mobile_visits[date], mobile_visits[mobile_visitors], 0)</f>
        <v>20604</v>
      </c>
    </row>
    <row r="1934" spans="1:9" x14ac:dyDescent="0.2">
      <c r="A1934" s="1">
        <v>44668</v>
      </c>
      <c r="B1934">
        <v>27885</v>
      </c>
      <c r="C1934">
        <v>69707</v>
      </c>
      <c r="D1934">
        <v>30808</v>
      </c>
      <c r="E1934">
        <v>14416</v>
      </c>
      <c r="F1934">
        <v>84</v>
      </c>
      <c r="G1934" t="s">
        <v>20</v>
      </c>
      <c r="H1934" t="str">
        <f>IF(Grammys[[#This Row],[date]] &gt;= DATE(2022, 2, 1), "Grammys", "Grammys + TRA")</f>
        <v>Grammys</v>
      </c>
      <c r="I1934">
        <f>_xlfn.XLOOKUP(Grammys[[#This Row],[date]], mobile_visits[date], mobile_visits[mobile_visitors], 0)</f>
        <v>20193</v>
      </c>
    </row>
    <row r="1935" spans="1:9" x14ac:dyDescent="0.2">
      <c r="A1935" s="1">
        <v>44669</v>
      </c>
      <c r="B1935">
        <v>27322</v>
      </c>
      <c r="C1935">
        <v>66029</v>
      </c>
      <c r="D1935">
        <v>30204</v>
      </c>
      <c r="E1935">
        <v>14553</v>
      </c>
      <c r="F1935">
        <v>96</v>
      </c>
      <c r="G1935" t="s">
        <v>20</v>
      </c>
      <c r="H1935" t="str">
        <f>IF(Grammys[[#This Row],[date]] &gt;= DATE(2022, 2, 1), "Grammys", "Grammys + TRA")</f>
        <v>Grammys</v>
      </c>
      <c r="I1935">
        <f>_xlfn.XLOOKUP(Grammys[[#This Row],[date]], mobile_visits[date], mobile_visits[mobile_visitors], 0)</f>
        <v>17961</v>
      </c>
    </row>
    <row r="1936" spans="1:9" x14ac:dyDescent="0.2">
      <c r="A1936" s="1">
        <v>44670</v>
      </c>
      <c r="B1936">
        <v>25837</v>
      </c>
      <c r="C1936">
        <v>62994</v>
      </c>
      <c r="D1936">
        <v>28829</v>
      </c>
      <c r="E1936">
        <v>13804</v>
      </c>
      <c r="F1936">
        <v>97</v>
      </c>
      <c r="G1936" t="s">
        <v>20</v>
      </c>
      <c r="H1936" t="str">
        <f>IF(Grammys[[#This Row],[date]] &gt;= DATE(2022, 2, 1), "Grammys", "Grammys + TRA")</f>
        <v>Grammys</v>
      </c>
      <c r="I1936">
        <f>_xlfn.XLOOKUP(Grammys[[#This Row],[date]], mobile_visits[date], mobile_visits[mobile_visitors], 0)</f>
        <v>15563</v>
      </c>
    </row>
    <row r="1937" spans="1:9" x14ac:dyDescent="0.2">
      <c r="A1937" s="1">
        <v>44671</v>
      </c>
      <c r="B1937">
        <v>23687</v>
      </c>
      <c r="C1937">
        <v>63492</v>
      </c>
      <c r="D1937">
        <v>26353</v>
      </c>
      <c r="E1937">
        <v>10579</v>
      </c>
      <c r="F1937">
        <v>90</v>
      </c>
      <c r="G1937" t="s">
        <v>20</v>
      </c>
      <c r="H1937" t="str">
        <f>IF(Grammys[[#This Row],[date]] &gt;= DATE(2022, 2, 1), "Grammys", "Grammys + TRA")</f>
        <v>Grammys</v>
      </c>
      <c r="I1937">
        <f>_xlfn.XLOOKUP(Grammys[[#This Row],[date]], mobile_visits[date], mobile_visits[mobile_visitors], 0)</f>
        <v>14430</v>
      </c>
    </row>
    <row r="1938" spans="1:9" x14ac:dyDescent="0.2">
      <c r="A1938" s="1">
        <v>44672</v>
      </c>
      <c r="B1938">
        <v>26941</v>
      </c>
      <c r="C1938">
        <v>72875</v>
      </c>
      <c r="D1938">
        <v>30293</v>
      </c>
      <c r="E1938">
        <v>11945</v>
      </c>
      <c r="F1938">
        <v>86</v>
      </c>
      <c r="G1938" t="s">
        <v>20</v>
      </c>
      <c r="H1938" t="str">
        <f>IF(Grammys[[#This Row],[date]] &gt;= DATE(2022, 2, 1), "Grammys", "Grammys + TRA")</f>
        <v>Grammys</v>
      </c>
      <c r="I1938">
        <f>_xlfn.XLOOKUP(Grammys[[#This Row],[date]], mobile_visits[date], mobile_visits[mobile_visitors], 0)</f>
        <v>17867</v>
      </c>
    </row>
    <row r="1939" spans="1:9" x14ac:dyDescent="0.2">
      <c r="A1939" s="1">
        <v>44673</v>
      </c>
      <c r="B1939">
        <v>25546</v>
      </c>
      <c r="C1939">
        <v>57706</v>
      </c>
      <c r="D1939">
        <v>29268</v>
      </c>
      <c r="E1939">
        <v>15410</v>
      </c>
      <c r="F1939">
        <v>73</v>
      </c>
      <c r="G1939" t="s">
        <v>20</v>
      </c>
      <c r="H1939" t="str">
        <f>IF(Grammys[[#This Row],[date]] &gt;= DATE(2022, 2, 1), "Grammys", "Grammys + TRA")</f>
        <v>Grammys</v>
      </c>
      <c r="I1939">
        <f>_xlfn.XLOOKUP(Grammys[[#This Row],[date]], mobile_visits[date], mobile_visits[mobile_visitors], 0)</f>
        <v>17332</v>
      </c>
    </row>
    <row r="1940" spans="1:9" x14ac:dyDescent="0.2">
      <c r="A1940" s="1">
        <v>44674</v>
      </c>
      <c r="B1940">
        <v>22712</v>
      </c>
      <c r="C1940">
        <v>51852</v>
      </c>
      <c r="D1940">
        <v>25348</v>
      </c>
      <c r="E1940">
        <v>13024</v>
      </c>
      <c r="F1940">
        <v>69</v>
      </c>
      <c r="G1940" t="s">
        <v>20</v>
      </c>
      <c r="H1940" t="str">
        <f>IF(Grammys[[#This Row],[date]] &gt;= DATE(2022, 2, 1), "Grammys", "Grammys + TRA")</f>
        <v>Grammys</v>
      </c>
      <c r="I1940">
        <f>_xlfn.XLOOKUP(Grammys[[#This Row],[date]], mobile_visits[date], mobile_visits[mobile_visitors], 0)</f>
        <v>16219</v>
      </c>
    </row>
    <row r="1941" spans="1:9" x14ac:dyDescent="0.2">
      <c r="A1941" s="1">
        <v>44675</v>
      </c>
      <c r="B1941">
        <v>22428</v>
      </c>
      <c r="C1941">
        <v>51040</v>
      </c>
      <c r="D1941">
        <v>24810</v>
      </c>
      <c r="E1941">
        <v>12701</v>
      </c>
      <c r="F1941">
        <v>82</v>
      </c>
      <c r="G1941" t="s">
        <v>20</v>
      </c>
      <c r="H1941" t="str">
        <f>IF(Grammys[[#This Row],[date]] &gt;= DATE(2022, 2, 1), "Grammys", "Grammys + TRA")</f>
        <v>Grammys</v>
      </c>
      <c r="I1941">
        <f>_xlfn.XLOOKUP(Grammys[[#This Row],[date]], mobile_visits[date], mobile_visits[mobile_visitors], 0)</f>
        <v>15779</v>
      </c>
    </row>
    <row r="1942" spans="1:9" x14ac:dyDescent="0.2">
      <c r="A1942" s="1">
        <v>44676</v>
      </c>
      <c r="B1942">
        <v>21356</v>
      </c>
      <c r="C1942">
        <v>49883</v>
      </c>
      <c r="D1942">
        <v>24105</v>
      </c>
      <c r="E1942">
        <v>12157</v>
      </c>
      <c r="F1942">
        <v>93</v>
      </c>
      <c r="G1942" t="s">
        <v>20</v>
      </c>
      <c r="H1942" t="str">
        <f>IF(Grammys[[#This Row],[date]] &gt;= DATE(2022, 2, 1), "Grammys", "Grammys + TRA")</f>
        <v>Grammys</v>
      </c>
      <c r="I1942">
        <f>_xlfn.XLOOKUP(Grammys[[#This Row],[date]], mobile_visits[date], mobile_visits[mobile_visitors], 0)</f>
        <v>12360</v>
      </c>
    </row>
    <row r="1943" spans="1:9" x14ac:dyDescent="0.2">
      <c r="A1943" s="1">
        <v>44677</v>
      </c>
      <c r="B1943">
        <v>21257</v>
      </c>
      <c r="C1943">
        <v>51535</v>
      </c>
      <c r="D1943">
        <v>23947</v>
      </c>
      <c r="E1943">
        <v>11979</v>
      </c>
      <c r="F1943">
        <v>95</v>
      </c>
      <c r="G1943" t="s">
        <v>20</v>
      </c>
      <c r="H1943" t="str">
        <f>IF(Grammys[[#This Row],[date]] &gt;= DATE(2022, 2, 1), "Grammys", "Grammys + TRA")</f>
        <v>Grammys</v>
      </c>
      <c r="I1943">
        <f>_xlfn.XLOOKUP(Grammys[[#This Row],[date]], mobile_visits[date], mobile_visits[mobile_visitors], 0)</f>
        <v>12417</v>
      </c>
    </row>
    <row r="1944" spans="1:9" x14ac:dyDescent="0.2">
      <c r="A1944" s="1">
        <v>44678</v>
      </c>
      <c r="B1944">
        <v>20075</v>
      </c>
      <c r="C1944">
        <v>45732</v>
      </c>
      <c r="D1944">
        <v>22249</v>
      </c>
      <c r="E1944">
        <v>11485</v>
      </c>
      <c r="F1944">
        <v>91</v>
      </c>
      <c r="G1944" t="s">
        <v>20</v>
      </c>
      <c r="H1944" t="str">
        <f>IF(Grammys[[#This Row],[date]] &gt;= DATE(2022, 2, 1), "Grammys", "Grammys + TRA")</f>
        <v>Grammys</v>
      </c>
      <c r="I1944">
        <f>_xlfn.XLOOKUP(Grammys[[#This Row],[date]], mobile_visits[date], mobile_visits[mobile_visitors], 0)</f>
        <v>11444</v>
      </c>
    </row>
    <row r="1945" spans="1:9" x14ac:dyDescent="0.2">
      <c r="A1945" s="1">
        <v>44679</v>
      </c>
      <c r="B1945">
        <v>20883</v>
      </c>
      <c r="C1945">
        <v>48700</v>
      </c>
      <c r="D1945">
        <v>23335</v>
      </c>
      <c r="E1945">
        <v>11376</v>
      </c>
      <c r="F1945">
        <v>86</v>
      </c>
      <c r="G1945" t="s">
        <v>20</v>
      </c>
      <c r="H1945" t="str">
        <f>IF(Grammys[[#This Row],[date]] &gt;= DATE(2022, 2, 1), "Grammys", "Grammys + TRA")</f>
        <v>Grammys</v>
      </c>
      <c r="I1945">
        <f>_xlfn.XLOOKUP(Grammys[[#This Row],[date]], mobile_visits[date], mobile_visits[mobile_visitors], 0)</f>
        <v>12591</v>
      </c>
    </row>
    <row r="1946" spans="1:9" x14ac:dyDescent="0.2">
      <c r="A1946" s="1">
        <v>44680</v>
      </c>
      <c r="B1946">
        <v>20039</v>
      </c>
      <c r="C1946">
        <v>45345</v>
      </c>
      <c r="D1946">
        <v>22049</v>
      </c>
      <c r="E1946">
        <v>11437</v>
      </c>
      <c r="F1946">
        <v>87</v>
      </c>
      <c r="G1946" t="s">
        <v>20</v>
      </c>
      <c r="H1946" t="str">
        <f>IF(Grammys[[#This Row],[date]] &gt;= DATE(2022, 2, 1), "Grammys", "Grammys + TRA")</f>
        <v>Grammys</v>
      </c>
      <c r="I1946">
        <f>_xlfn.XLOOKUP(Grammys[[#This Row],[date]], mobile_visits[date], mobile_visits[mobile_visitors], 0)</f>
        <v>12764</v>
      </c>
    </row>
    <row r="1947" spans="1:9" x14ac:dyDescent="0.2">
      <c r="A1947" s="1">
        <v>44681</v>
      </c>
      <c r="B1947">
        <v>18375</v>
      </c>
      <c r="C1947">
        <v>41477</v>
      </c>
      <c r="D1947">
        <v>20054</v>
      </c>
      <c r="E1947">
        <v>10302</v>
      </c>
      <c r="F1947">
        <v>73</v>
      </c>
      <c r="G1947" t="s">
        <v>20</v>
      </c>
      <c r="H1947" t="str">
        <f>IF(Grammys[[#This Row],[date]] &gt;= DATE(2022, 2, 1), "Grammys", "Grammys + TRA")</f>
        <v>Grammys</v>
      </c>
      <c r="I1947">
        <f>_xlfn.XLOOKUP(Grammys[[#This Row],[date]], mobile_visits[date], mobile_visits[mobile_visitors], 0)</f>
        <v>13395</v>
      </c>
    </row>
    <row r="1948" spans="1:9" x14ac:dyDescent="0.2">
      <c r="A1948" s="1">
        <v>44682</v>
      </c>
      <c r="B1948">
        <v>18836</v>
      </c>
      <c r="C1948">
        <v>41240</v>
      </c>
      <c r="D1948">
        <v>20415</v>
      </c>
      <c r="E1948">
        <v>10651</v>
      </c>
      <c r="F1948">
        <v>75</v>
      </c>
      <c r="G1948" t="s">
        <v>20</v>
      </c>
      <c r="H1948" t="str">
        <f>IF(Grammys[[#This Row],[date]] &gt;= DATE(2022, 2, 1), "Grammys", "Grammys + TRA")</f>
        <v>Grammys</v>
      </c>
      <c r="I1948">
        <f>_xlfn.XLOOKUP(Grammys[[#This Row],[date]], mobile_visits[date], mobile_visits[mobile_visitors], 0)</f>
        <v>13256</v>
      </c>
    </row>
    <row r="1949" spans="1:9" x14ac:dyDescent="0.2">
      <c r="A1949" s="1">
        <v>44683</v>
      </c>
      <c r="B1949">
        <v>19433</v>
      </c>
      <c r="C1949">
        <v>43453</v>
      </c>
      <c r="D1949">
        <v>21773</v>
      </c>
      <c r="E1949">
        <v>11447</v>
      </c>
      <c r="F1949">
        <v>85</v>
      </c>
      <c r="G1949" t="s">
        <v>20</v>
      </c>
      <c r="H1949" t="str">
        <f>IF(Grammys[[#This Row],[date]] &gt;= DATE(2022, 2, 1), "Grammys", "Grammys + TRA")</f>
        <v>Grammys</v>
      </c>
      <c r="I1949">
        <f>_xlfn.XLOOKUP(Grammys[[#This Row],[date]], mobile_visits[date], mobile_visits[mobile_visitors], 0)</f>
        <v>11428</v>
      </c>
    </row>
    <row r="1950" spans="1:9" x14ac:dyDescent="0.2">
      <c r="A1950" s="1">
        <v>44684</v>
      </c>
      <c r="B1950">
        <v>19978</v>
      </c>
      <c r="C1950">
        <v>45328</v>
      </c>
      <c r="D1950">
        <v>22209</v>
      </c>
      <c r="E1950">
        <v>11769</v>
      </c>
      <c r="F1950">
        <v>88</v>
      </c>
      <c r="G1950" t="s">
        <v>20</v>
      </c>
      <c r="H1950" t="str">
        <f>IF(Grammys[[#This Row],[date]] &gt;= DATE(2022, 2, 1), "Grammys", "Grammys + TRA")</f>
        <v>Grammys</v>
      </c>
      <c r="I1950">
        <f>_xlfn.XLOOKUP(Grammys[[#This Row],[date]], mobile_visits[date], mobile_visits[mobile_visitors], 0)</f>
        <v>11634</v>
      </c>
    </row>
    <row r="1951" spans="1:9" x14ac:dyDescent="0.2">
      <c r="A1951" s="1">
        <v>44685</v>
      </c>
      <c r="B1951">
        <v>19977</v>
      </c>
      <c r="C1951">
        <v>45357</v>
      </c>
      <c r="D1951">
        <v>22448</v>
      </c>
      <c r="E1951">
        <v>11815</v>
      </c>
      <c r="F1951">
        <v>86</v>
      </c>
      <c r="G1951" t="s">
        <v>20</v>
      </c>
      <c r="H1951" t="str">
        <f>IF(Grammys[[#This Row],[date]] &gt;= DATE(2022, 2, 1), "Grammys", "Grammys + TRA")</f>
        <v>Grammys</v>
      </c>
      <c r="I1951">
        <f>_xlfn.XLOOKUP(Grammys[[#This Row],[date]], mobile_visits[date], mobile_visits[mobile_visitors], 0)</f>
        <v>11398</v>
      </c>
    </row>
    <row r="1952" spans="1:9" x14ac:dyDescent="0.2">
      <c r="A1952" s="1">
        <v>44686</v>
      </c>
      <c r="B1952">
        <v>17547</v>
      </c>
      <c r="C1952">
        <v>40225</v>
      </c>
      <c r="D1952">
        <v>19565</v>
      </c>
      <c r="E1952">
        <v>10249</v>
      </c>
      <c r="F1952">
        <v>85</v>
      </c>
      <c r="G1952" t="s">
        <v>20</v>
      </c>
      <c r="H1952" t="str">
        <f>IF(Grammys[[#This Row],[date]] &gt;= DATE(2022, 2, 1), "Grammys", "Grammys + TRA")</f>
        <v>Grammys</v>
      </c>
      <c r="I1952">
        <f>_xlfn.XLOOKUP(Grammys[[#This Row],[date]], mobile_visits[date], mobile_visits[mobile_visitors], 0)</f>
        <v>10272</v>
      </c>
    </row>
    <row r="1953" spans="1:9" x14ac:dyDescent="0.2">
      <c r="A1953" s="1">
        <v>44687</v>
      </c>
      <c r="B1953">
        <v>17715</v>
      </c>
      <c r="C1953">
        <v>39910</v>
      </c>
      <c r="D1953">
        <v>19867</v>
      </c>
      <c r="E1953">
        <v>10997</v>
      </c>
      <c r="F1953">
        <v>80</v>
      </c>
      <c r="G1953" t="s">
        <v>20</v>
      </c>
      <c r="H1953" t="str">
        <f>IF(Grammys[[#This Row],[date]] &gt;= DATE(2022, 2, 1), "Grammys", "Grammys + TRA")</f>
        <v>Grammys</v>
      </c>
      <c r="I1953">
        <f>_xlfn.XLOOKUP(Grammys[[#This Row],[date]], mobile_visits[date], mobile_visits[mobile_visitors], 0)</f>
        <v>11848</v>
      </c>
    </row>
    <row r="1954" spans="1:9" x14ac:dyDescent="0.2">
      <c r="A1954" s="1">
        <v>44688</v>
      </c>
      <c r="B1954">
        <v>16185</v>
      </c>
      <c r="C1954">
        <v>35937</v>
      </c>
      <c r="D1954">
        <v>17731</v>
      </c>
      <c r="E1954">
        <v>9701</v>
      </c>
      <c r="F1954">
        <v>78</v>
      </c>
      <c r="G1954" t="s">
        <v>20</v>
      </c>
      <c r="H1954" t="str">
        <f>IF(Grammys[[#This Row],[date]] &gt;= DATE(2022, 2, 1), "Grammys", "Grammys + TRA")</f>
        <v>Grammys</v>
      </c>
      <c r="I1954">
        <f>_xlfn.XLOOKUP(Grammys[[#This Row],[date]], mobile_visits[date], mobile_visits[mobile_visitors], 0)</f>
        <v>11987</v>
      </c>
    </row>
    <row r="1955" spans="1:9" x14ac:dyDescent="0.2">
      <c r="A1955" s="1">
        <v>44689</v>
      </c>
      <c r="B1955">
        <v>16968</v>
      </c>
      <c r="C1955">
        <v>38904</v>
      </c>
      <c r="D1955">
        <v>19149</v>
      </c>
      <c r="E1955">
        <v>10506</v>
      </c>
      <c r="F1955">
        <v>77</v>
      </c>
      <c r="G1955" t="s">
        <v>20</v>
      </c>
      <c r="H1955" t="str">
        <f>IF(Grammys[[#This Row],[date]] &gt;= DATE(2022, 2, 1), "Grammys", "Grammys + TRA")</f>
        <v>Grammys</v>
      </c>
      <c r="I1955">
        <f>_xlfn.XLOOKUP(Grammys[[#This Row],[date]], mobile_visits[date], mobile_visits[mobile_visitors], 0)</f>
        <v>11988</v>
      </c>
    </row>
    <row r="1956" spans="1:9" x14ac:dyDescent="0.2">
      <c r="A1956" s="1">
        <v>44690</v>
      </c>
      <c r="B1956">
        <v>17829</v>
      </c>
      <c r="C1956">
        <v>39983</v>
      </c>
      <c r="D1956">
        <v>19931</v>
      </c>
      <c r="E1956">
        <v>10971</v>
      </c>
      <c r="F1956">
        <v>87</v>
      </c>
      <c r="G1956" t="s">
        <v>20</v>
      </c>
      <c r="H1956" t="str">
        <f>IF(Grammys[[#This Row],[date]] &gt;= DATE(2022, 2, 1), "Grammys", "Grammys + TRA")</f>
        <v>Grammys</v>
      </c>
      <c r="I1956">
        <f>_xlfn.XLOOKUP(Grammys[[#This Row],[date]], mobile_visits[date], mobile_visits[mobile_visitors], 0)</f>
        <v>10033</v>
      </c>
    </row>
    <row r="1957" spans="1:9" x14ac:dyDescent="0.2">
      <c r="A1957" s="1">
        <v>44691</v>
      </c>
      <c r="B1957">
        <v>16427</v>
      </c>
      <c r="C1957">
        <v>37711</v>
      </c>
      <c r="D1957">
        <v>18798</v>
      </c>
      <c r="E1957">
        <v>10465</v>
      </c>
      <c r="F1957">
        <v>87</v>
      </c>
      <c r="G1957" t="s">
        <v>20</v>
      </c>
      <c r="H1957" t="str">
        <f>IF(Grammys[[#This Row],[date]] &gt;= DATE(2022, 2, 1), "Grammys", "Grammys + TRA")</f>
        <v>Grammys</v>
      </c>
      <c r="I1957">
        <f>_xlfn.XLOOKUP(Grammys[[#This Row],[date]], mobile_visits[date], mobile_visits[mobile_visitors], 0)</f>
        <v>8265</v>
      </c>
    </row>
    <row r="1958" spans="1:9" x14ac:dyDescent="0.2">
      <c r="A1958" s="1">
        <v>44692</v>
      </c>
      <c r="B1958">
        <v>16426</v>
      </c>
      <c r="C1958">
        <v>36679</v>
      </c>
      <c r="D1958">
        <v>18727</v>
      </c>
      <c r="E1958">
        <v>10373</v>
      </c>
      <c r="F1958">
        <v>84</v>
      </c>
      <c r="G1958" t="s">
        <v>20</v>
      </c>
      <c r="H1958" t="str">
        <f>IF(Grammys[[#This Row],[date]] &gt;= DATE(2022, 2, 1), "Grammys", "Grammys + TRA")</f>
        <v>Grammys</v>
      </c>
      <c r="I1958">
        <f>_xlfn.XLOOKUP(Grammys[[#This Row],[date]], mobile_visits[date], mobile_visits[mobile_visitors], 0)</f>
        <v>9151</v>
      </c>
    </row>
    <row r="1959" spans="1:9" x14ac:dyDescent="0.2">
      <c r="A1959" s="1">
        <v>44693</v>
      </c>
      <c r="B1959">
        <v>17904</v>
      </c>
      <c r="C1959">
        <v>40027</v>
      </c>
      <c r="D1959">
        <v>20075</v>
      </c>
      <c r="E1959">
        <v>10791</v>
      </c>
      <c r="F1959">
        <v>84</v>
      </c>
      <c r="G1959" t="s">
        <v>20</v>
      </c>
      <c r="H1959" t="str">
        <f>IF(Grammys[[#This Row],[date]] &gt;= DATE(2022, 2, 1), "Grammys", "Grammys + TRA")</f>
        <v>Grammys</v>
      </c>
      <c r="I1959">
        <f>_xlfn.XLOOKUP(Grammys[[#This Row],[date]], mobile_visits[date], mobile_visits[mobile_visitors], 0)</f>
        <v>10890</v>
      </c>
    </row>
    <row r="1960" spans="1:9" x14ac:dyDescent="0.2">
      <c r="A1960" s="1">
        <v>44694</v>
      </c>
      <c r="B1960">
        <v>18736</v>
      </c>
      <c r="C1960">
        <v>42160</v>
      </c>
      <c r="D1960">
        <v>21086</v>
      </c>
      <c r="E1960">
        <v>11319</v>
      </c>
      <c r="F1960">
        <v>81</v>
      </c>
      <c r="G1960" t="s">
        <v>20</v>
      </c>
      <c r="H1960" t="str">
        <f>IF(Grammys[[#This Row],[date]] &gt;= DATE(2022, 2, 1), "Grammys", "Grammys + TRA")</f>
        <v>Grammys</v>
      </c>
      <c r="I1960">
        <f>_xlfn.XLOOKUP(Grammys[[#This Row],[date]], mobile_visits[date], mobile_visits[mobile_visitors], 0)</f>
        <v>11956</v>
      </c>
    </row>
    <row r="1961" spans="1:9" x14ac:dyDescent="0.2">
      <c r="A1961" s="1">
        <v>44695</v>
      </c>
      <c r="B1961">
        <v>17024</v>
      </c>
      <c r="C1961">
        <v>39169</v>
      </c>
      <c r="D1961">
        <v>19378</v>
      </c>
      <c r="E1961">
        <v>10312</v>
      </c>
      <c r="F1961">
        <v>73</v>
      </c>
      <c r="G1961" t="s">
        <v>20</v>
      </c>
      <c r="H1961" t="str">
        <f>IF(Grammys[[#This Row],[date]] &gt;= DATE(2022, 2, 1), "Grammys", "Grammys + TRA")</f>
        <v>Grammys</v>
      </c>
      <c r="I1961">
        <f>_xlfn.XLOOKUP(Grammys[[#This Row],[date]], mobile_visits[date], mobile_visits[mobile_visitors], 0)</f>
        <v>12357</v>
      </c>
    </row>
    <row r="1962" spans="1:9" x14ac:dyDescent="0.2">
      <c r="A1962" s="1">
        <v>44696</v>
      </c>
      <c r="B1962">
        <v>17735</v>
      </c>
      <c r="C1962">
        <v>40322</v>
      </c>
      <c r="D1962">
        <v>19962</v>
      </c>
      <c r="E1962">
        <v>10764</v>
      </c>
      <c r="F1962">
        <v>79</v>
      </c>
      <c r="G1962" t="s">
        <v>20</v>
      </c>
      <c r="H1962" t="str">
        <f>IF(Grammys[[#This Row],[date]] &gt;= DATE(2022, 2, 1), "Grammys", "Grammys + TRA")</f>
        <v>Grammys</v>
      </c>
      <c r="I1962">
        <f>_xlfn.XLOOKUP(Grammys[[#This Row],[date]], mobile_visits[date], mobile_visits[mobile_visitors], 0)</f>
        <v>12572</v>
      </c>
    </row>
    <row r="1963" spans="1:9" x14ac:dyDescent="0.2">
      <c r="A1963" s="1">
        <v>44697</v>
      </c>
      <c r="B1963">
        <v>18330</v>
      </c>
      <c r="C1963">
        <v>41167</v>
      </c>
      <c r="D1963">
        <v>20329</v>
      </c>
      <c r="E1963">
        <v>11169</v>
      </c>
      <c r="F1963">
        <v>86</v>
      </c>
      <c r="G1963" t="s">
        <v>20</v>
      </c>
      <c r="H1963" t="str">
        <f>IF(Grammys[[#This Row],[date]] &gt;= DATE(2022, 2, 1), "Grammys", "Grammys + TRA")</f>
        <v>Grammys</v>
      </c>
      <c r="I1963">
        <f>_xlfn.XLOOKUP(Grammys[[#This Row],[date]], mobile_visits[date], mobile_visits[mobile_visitors], 0)</f>
        <v>10794</v>
      </c>
    </row>
    <row r="1964" spans="1:9" x14ac:dyDescent="0.2">
      <c r="A1964" s="1">
        <v>44698</v>
      </c>
      <c r="B1964">
        <v>16759</v>
      </c>
      <c r="C1964">
        <v>37590</v>
      </c>
      <c r="D1964">
        <v>18778</v>
      </c>
      <c r="E1964">
        <v>10218</v>
      </c>
      <c r="F1964">
        <v>91</v>
      </c>
      <c r="G1964" t="s">
        <v>20</v>
      </c>
      <c r="H1964" t="str">
        <f>IF(Grammys[[#This Row],[date]] &gt;= DATE(2022, 2, 1), "Grammys", "Grammys + TRA")</f>
        <v>Grammys</v>
      </c>
      <c r="I1964">
        <f>_xlfn.XLOOKUP(Grammys[[#This Row],[date]], mobile_visits[date], mobile_visits[mobile_visitors], 0)</f>
        <v>9797</v>
      </c>
    </row>
    <row r="1965" spans="1:9" x14ac:dyDescent="0.2">
      <c r="A1965" s="1">
        <v>44699</v>
      </c>
      <c r="B1965">
        <v>16373</v>
      </c>
      <c r="C1965">
        <v>37459</v>
      </c>
      <c r="D1965">
        <v>18609</v>
      </c>
      <c r="E1965">
        <v>10215</v>
      </c>
      <c r="F1965">
        <v>96</v>
      </c>
      <c r="G1965" t="s">
        <v>20</v>
      </c>
      <c r="H1965" t="str">
        <f>IF(Grammys[[#This Row],[date]] &gt;= DATE(2022, 2, 1), "Grammys", "Grammys + TRA")</f>
        <v>Grammys</v>
      </c>
      <c r="I1965">
        <f>_xlfn.XLOOKUP(Grammys[[#This Row],[date]], mobile_visits[date], mobile_visits[mobile_visitors], 0)</f>
        <v>9463</v>
      </c>
    </row>
    <row r="1966" spans="1:9" x14ac:dyDescent="0.2">
      <c r="A1966" s="1">
        <v>44700</v>
      </c>
      <c r="B1966">
        <v>20000</v>
      </c>
      <c r="C1966">
        <v>43958</v>
      </c>
      <c r="D1966">
        <v>22813</v>
      </c>
      <c r="E1966">
        <v>13417</v>
      </c>
      <c r="F1966">
        <v>79</v>
      </c>
      <c r="G1966" t="s">
        <v>20</v>
      </c>
      <c r="H1966" t="str">
        <f>IF(Grammys[[#This Row],[date]] &gt;= DATE(2022, 2, 1), "Grammys", "Grammys + TRA")</f>
        <v>Grammys</v>
      </c>
      <c r="I1966">
        <f>_xlfn.XLOOKUP(Grammys[[#This Row],[date]], mobile_visits[date], mobile_visits[mobile_visitors], 0)</f>
        <v>12308</v>
      </c>
    </row>
    <row r="1967" spans="1:9" x14ac:dyDescent="0.2">
      <c r="A1967" s="1">
        <v>44701</v>
      </c>
      <c r="B1967">
        <v>17920</v>
      </c>
      <c r="C1967">
        <v>39785</v>
      </c>
      <c r="D1967">
        <v>20034</v>
      </c>
      <c r="E1967">
        <v>11017</v>
      </c>
      <c r="F1967">
        <v>87</v>
      </c>
      <c r="G1967" t="s">
        <v>20</v>
      </c>
      <c r="H1967" t="str">
        <f>IF(Grammys[[#This Row],[date]] &gt;= DATE(2022, 2, 1), "Grammys", "Grammys + TRA")</f>
        <v>Grammys</v>
      </c>
      <c r="I1967">
        <f>_xlfn.XLOOKUP(Grammys[[#This Row],[date]], mobile_visits[date], mobile_visits[mobile_visitors], 0)</f>
        <v>11140</v>
      </c>
    </row>
    <row r="1968" spans="1:9" x14ac:dyDescent="0.2">
      <c r="A1968" s="1">
        <v>44702</v>
      </c>
      <c r="B1968">
        <v>15453</v>
      </c>
      <c r="C1968">
        <v>35273</v>
      </c>
      <c r="D1968">
        <v>17393</v>
      </c>
      <c r="E1968">
        <v>9363</v>
      </c>
      <c r="F1968">
        <v>74</v>
      </c>
      <c r="G1968" t="s">
        <v>20</v>
      </c>
      <c r="H1968" t="str">
        <f>IF(Grammys[[#This Row],[date]] &gt;= DATE(2022, 2, 1), "Grammys", "Grammys + TRA")</f>
        <v>Grammys</v>
      </c>
      <c r="I1968">
        <f>_xlfn.XLOOKUP(Grammys[[#This Row],[date]], mobile_visits[date], mobile_visits[mobile_visitors], 0)</f>
        <v>11411</v>
      </c>
    </row>
    <row r="1969" spans="1:9" x14ac:dyDescent="0.2">
      <c r="A1969" s="1">
        <v>44703</v>
      </c>
      <c r="B1969">
        <v>16225</v>
      </c>
      <c r="C1969">
        <v>37405</v>
      </c>
      <c r="D1969">
        <v>18342</v>
      </c>
      <c r="E1969">
        <v>9707</v>
      </c>
      <c r="F1969">
        <v>77</v>
      </c>
      <c r="G1969" t="s">
        <v>20</v>
      </c>
      <c r="H1969" t="str">
        <f>IF(Grammys[[#This Row],[date]] &gt;= DATE(2022, 2, 1), "Grammys", "Grammys + TRA")</f>
        <v>Grammys</v>
      </c>
      <c r="I1969">
        <f>_xlfn.XLOOKUP(Grammys[[#This Row],[date]], mobile_visits[date], mobile_visits[mobile_visitors], 0)</f>
        <v>11219</v>
      </c>
    </row>
    <row r="1970" spans="1:9" x14ac:dyDescent="0.2">
      <c r="A1970" s="1">
        <v>44704</v>
      </c>
      <c r="B1970">
        <v>16740</v>
      </c>
      <c r="C1970">
        <v>36342</v>
      </c>
      <c r="D1970">
        <v>18850</v>
      </c>
      <c r="E1970">
        <v>10764</v>
      </c>
      <c r="F1970">
        <v>83</v>
      </c>
      <c r="G1970" t="s">
        <v>20</v>
      </c>
      <c r="H1970" t="str">
        <f>IF(Grammys[[#This Row],[date]] &gt;= DATE(2022, 2, 1), "Grammys", "Grammys + TRA")</f>
        <v>Grammys</v>
      </c>
      <c r="I1970">
        <f>_xlfn.XLOOKUP(Grammys[[#This Row],[date]], mobile_visits[date], mobile_visits[mobile_visitors], 0)</f>
        <v>9882</v>
      </c>
    </row>
    <row r="1971" spans="1:9" x14ac:dyDescent="0.2">
      <c r="A1971" s="1">
        <v>44705</v>
      </c>
      <c r="B1971">
        <v>16516</v>
      </c>
      <c r="C1971">
        <v>35444</v>
      </c>
      <c r="D1971">
        <v>18241</v>
      </c>
      <c r="E1971">
        <v>10378</v>
      </c>
      <c r="F1971">
        <v>89</v>
      </c>
      <c r="G1971" t="s">
        <v>20</v>
      </c>
      <c r="H1971" t="str">
        <f>IF(Grammys[[#This Row],[date]] &gt;= DATE(2022, 2, 1), "Grammys", "Grammys + TRA")</f>
        <v>Grammys</v>
      </c>
      <c r="I1971">
        <f>_xlfn.XLOOKUP(Grammys[[#This Row],[date]], mobile_visits[date], mobile_visits[mobile_visitors], 0)</f>
        <v>10101</v>
      </c>
    </row>
    <row r="1972" spans="1:9" x14ac:dyDescent="0.2">
      <c r="A1972" s="1">
        <v>44706</v>
      </c>
      <c r="B1972">
        <v>16286</v>
      </c>
      <c r="C1972">
        <v>36436</v>
      </c>
      <c r="D1972">
        <v>17908</v>
      </c>
      <c r="E1972">
        <v>9556</v>
      </c>
      <c r="F1972">
        <v>88</v>
      </c>
      <c r="G1972" t="s">
        <v>20</v>
      </c>
      <c r="H1972" t="str">
        <f>IF(Grammys[[#This Row],[date]] &gt;= DATE(2022, 2, 1), "Grammys", "Grammys + TRA")</f>
        <v>Grammys</v>
      </c>
      <c r="I1972">
        <f>_xlfn.XLOOKUP(Grammys[[#This Row],[date]], mobile_visits[date], mobile_visits[mobile_visitors], 0)</f>
        <v>10184</v>
      </c>
    </row>
    <row r="1973" spans="1:9" x14ac:dyDescent="0.2">
      <c r="A1973" s="1">
        <v>44707</v>
      </c>
      <c r="B1973">
        <v>16047</v>
      </c>
      <c r="C1973">
        <v>36196</v>
      </c>
      <c r="D1973">
        <v>18021</v>
      </c>
      <c r="E1973">
        <v>9793</v>
      </c>
      <c r="F1973">
        <v>90</v>
      </c>
      <c r="G1973" t="s">
        <v>20</v>
      </c>
      <c r="H1973" t="str">
        <f>IF(Grammys[[#This Row],[date]] &gt;= DATE(2022, 2, 1), "Grammys", "Grammys + TRA")</f>
        <v>Grammys</v>
      </c>
      <c r="I1973">
        <f>_xlfn.XLOOKUP(Grammys[[#This Row],[date]], mobile_visits[date], mobile_visits[mobile_visitors], 0)</f>
        <v>10467</v>
      </c>
    </row>
    <row r="1974" spans="1:9" x14ac:dyDescent="0.2">
      <c r="A1974" s="1">
        <v>44708</v>
      </c>
      <c r="B1974">
        <v>19071</v>
      </c>
      <c r="C1974">
        <v>43271</v>
      </c>
      <c r="D1974">
        <v>24195</v>
      </c>
      <c r="E1974">
        <v>15287</v>
      </c>
      <c r="F1974">
        <v>70</v>
      </c>
      <c r="G1974" t="s">
        <v>20</v>
      </c>
      <c r="H1974" t="str">
        <f>IF(Grammys[[#This Row],[date]] &gt;= DATE(2022, 2, 1), "Grammys", "Grammys + TRA")</f>
        <v>Grammys</v>
      </c>
      <c r="I1974">
        <f>_xlfn.XLOOKUP(Grammys[[#This Row],[date]], mobile_visits[date], mobile_visits[mobile_visitors], 0)</f>
        <v>13647</v>
      </c>
    </row>
    <row r="1975" spans="1:9" x14ac:dyDescent="0.2">
      <c r="A1975" s="1">
        <v>44709</v>
      </c>
      <c r="B1975">
        <v>13187</v>
      </c>
      <c r="C1975">
        <v>29792</v>
      </c>
      <c r="D1975">
        <v>15101</v>
      </c>
      <c r="E1975">
        <v>8591</v>
      </c>
      <c r="F1975">
        <v>77</v>
      </c>
      <c r="G1975" t="s">
        <v>20</v>
      </c>
      <c r="H1975" t="str">
        <f>IF(Grammys[[#This Row],[date]] &gt;= DATE(2022, 2, 1), "Grammys", "Grammys + TRA")</f>
        <v>Grammys</v>
      </c>
      <c r="I1975">
        <f>_xlfn.XLOOKUP(Grammys[[#This Row],[date]], mobile_visits[date], mobile_visits[mobile_visitors], 0)</f>
        <v>9615</v>
      </c>
    </row>
    <row r="1976" spans="1:9" x14ac:dyDescent="0.2">
      <c r="A1976" s="1">
        <v>44710</v>
      </c>
      <c r="B1976">
        <v>13145</v>
      </c>
      <c r="C1976">
        <v>29366</v>
      </c>
      <c r="D1976">
        <v>14712</v>
      </c>
      <c r="E1976">
        <v>8145</v>
      </c>
      <c r="F1976">
        <v>80</v>
      </c>
      <c r="G1976" t="s">
        <v>20</v>
      </c>
      <c r="H1976" t="str">
        <f>IF(Grammys[[#This Row],[date]] &gt;= DATE(2022, 2, 1), "Grammys", "Grammys + TRA")</f>
        <v>Grammys</v>
      </c>
      <c r="I1976">
        <f>_xlfn.XLOOKUP(Grammys[[#This Row],[date]], mobile_visits[date], mobile_visits[mobile_visitors], 0)</f>
        <v>8738</v>
      </c>
    </row>
    <row r="1977" spans="1:9" x14ac:dyDescent="0.2">
      <c r="A1977" s="1">
        <v>44711</v>
      </c>
      <c r="B1977">
        <v>14439</v>
      </c>
      <c r="C1977">
        <v>32368</v>
      </c>
      <c r="D1977">
        <v>16675</v>
      </c>
      <c r="E1977">
        <v>9525</v>
      </c>
      <c r="F1977">
        <v>75</v>
      </c>
      <c r="G1977" t="s">
        <v>20</v>
      </c>
      <c r="H1977" t="str">
        <f>IF(Grammys[[#This Row],[date]] &gt;= DATE(2022, 2, 1), "Grammys", "Grammys + TRA")</f>
        <v>Grammys</v>
      </c>
      <c r="I1977">
        <f>_xlfn.XLOOKUP(Grammys[[#This Row],[date]], mobile_visits[date], mobile_visits[mobile_visitors], 0)</f>
        <v>9641</v>
      </c>
    </row>
    <row r="1978" spans="1:9" x14ac:dyDescent="0.2">
      <c r="A1978" s="1">
        <v>44712</v>
      </c>
      <c r="B1978">
        <v>13836</v>
      </c>
      <c r="C1978">
        <v>30743</v>
      </c>
      <c r="D1978">
        <v>15518</v>
      </c>
      <c r="E1978">
        <v>8602</v>
      </c>
      <c r="F1978">
        <v>86</v>
      </c>
      <c r="G1978" t="s">
        <v>20</v>
      </c>
      <c r="H1978" t="str">
        <f>IF(Grammys[[#This Row],[date]] &gt;= DATE(2022, 2, 1), "Grammys", "Grammys + TRA")</f>
        <v>Grammys</v>
      </c>
      <c r="I1978">
        <f>_xlfn.XLOOKUP(Grammys[[#This Row],[date]], mobile_visits[date], mobile_visits[mobile_visitors], 0)</f>
        <v>8517</v>
      </c>
    </row>
    <row r="1979" spans="1:9" x14ac:dyDescent="0.2">
      <c r="A1979" s="1">
        <v>44713</v>
      </c>
      <c r="B1979">
        <v>14341</v>
      </c>
      <c r="C1979">
        <v>32659</v>
      </c>
      <c r="D1979">
        <v>16180</v>
      </c>
      <c r="E1979">
        <v>8778</v>
      </c>
      <c r="F1979">
        <v>85</v>
      </c>
      <c r="G1979" t="s">
        <v>20</v>
      </c>
      <c r="H1979" t="str">
        <f>IF(Grammys[[#This Row],[date]] &gt;= DATE(2022, 2, 1), "Grammys", "Grammys + TRA")</f>
        <v>Grammys</v>
      </c>
      <c r="I1979">
        <f>_xlfn.XLOOKUP(Grammys[[#This Row],[date]], mobile_visits[date], mobile_visits[mobile_visitors], 0)</f>
        <v>9204</v>
      </c>
    </row>
    <row r="1980" spans="1:9" x14ac:dyDescent="0.2">
      <c r="A1980" s="1">
        <v>44714</v>
      </c>
      <c r="B1980">
        <v>14193</v>
      </c>
      <c r="C1980">
        <v>32029</v>
      </c>
      <c r="D1980">
        <v>16129</v>
      </c>
      <c r="E1980">
        <v>8755</v>
      </c>
      <c r="F1980">
        <v>84</v>
      </c>
      <c r="G1980" t="s">
        <v>20</v>
      </c>
      <c r="H1980" t="str">
        <f>IF(Grammys[[#This Row],[date]] &gt;= DATE(2022, 2, 1), "Grammys", "Grammys + TRA")</f>
        <v>Grammys</v>
      </c>
      <c r="I1980">
        <f>_xlfn.XLOOKUP(Grammys[[#This Row],[date]], mobile_visits[date], mobile_visits[mobile_visitors], 0)</f>
        <v>9134</v>
      </c>
    </row>
    <row r="1981" spans="1:9" x14ac:dyDescent="0.2">
      <c r="A1981" s="1">
        <v>44715</v>
      </c>
      <c r="B1981">
        <v>13029</v>
      </c>
      <c r="C1981">
        <v>29514</v>
      </c>
      <c r="D1981">
        <v>14818</v>
      </c>
      <c r="E1981">
        <v>8205</v>
      </c>
      <c r="F1981">
        <v>78</v>
      </c>
      <c r="G1981" t="s">
        <v>20</v>
      </c>
      <c r="H1981" t="str">
        <f>IF(Grammys[[#This Row],[date]] &gt;= DATE(2022, 2, 1), "Grammys", "Grammys + TRA")</f>
        <v>Grammys</v>
      </c>
      <c r="I1981">
        <f>_xlfn.XLOOKUP(Grammys[[#This Row],[date]], mobile_visits[date], mobile_visits[mobile_visitors], 0)</f>
        <v>7944</v>
      </c>
    </row>
    <row r="1982" spans="1:9" x14ac:dyDescent="0.2">
      <c r="A1982" s="1">
        <v>44716</v>
      </c>
      <c r="B1982">
        <v>11962</v>
      </c>
      <c r="C1982">
        <v>27349</v>
      </c>
      <c r="D1982">
        <v>13160</v>
      </c>
      <c r="E1982">
        <v>6945</v>
      </c>
      <c r="F1982">
        <v>83</v>
      </c>
      <c r="G1982" t="s">
        <v>20</v>
      </c>
      <c r="H1982" t="str">
        <f>IF(Grammys[[#This Row],[date]] &gt;= DATE(2022, 2, 1), "Grammys", "Grammys + TRA")</f>
        <v>Grammys</v>
      </c>
      <c r="I1982">
        <f>_xlfn.XLOOKUP(Grammys[[#This Row],[date]], mobile_visits[date], mobile_visits[mobile_visitors], 0)</f>
        <v>8937</v>
      </c>
    </row>
    <row r="1983" spans="1:9" x14ac:dyDescent="0.2">
      <c r="A1983" s="1">
        <v>44717</v>
      </c>
      <c r="B1983">
        <v>12620</v>
      </c>
      <c r="C1983">
        <v>28516</v>
      </c>
      <c r="D1983">
        <v>13880</v>
      </c>
      <c r="E1983">
        <v>7629</v>
      </c>
      <c r="F1983">
        <v>85</v>
      </c>
      <c r="G1983" t="s">
        <v>20</v>
      </c>
      <c r="H1983" t="str">
        <f>IF(Grammys[[#This Row],[date]] &gt;= DATE(2022, 2, 1), "Grammys", "Grammys + TRA")</f>
        <v>Grammys</v>
      </c>
      <c r="I1983">
        <f>_xlfn.XLOOKUP(Grammys[[#This Row],[date]], mobile_visits[date], mobile_visits[mobile_visitors], 0)</f>
        <v>8709</v>
      </c>
    </row>
    <row r="1984" spans="1:9" x14ac:dyDescent="0.2">
      <c r="A1984" s="1">
        <v>44718</v>
      </c>
      <c r="B1984">
        <v>12713</v>
      </c>
      <c r="C1984">
        <v>29847</v>
      </c>
      <c r="D1984">
        <v>14340</v>
      </c>
      <c r="E1984">
        <v>7616</v>
      </c>
      <c r="F1984">
        <v>87</v>
      </c>
      <c r="G1984" t="s">
        <v>20</v>
      </c>
      <c r="H1984" t="str">
        <f>IF(Grammys[[#This Row],[date]] &gt;= DATE(2022, 2, 1), "Grammys", "Grammys + TRA")</f>
        <v>Grammys</v>
      </c>
      <c r="I1984">
        <f>_xlfn.XLOOKUP(Grammys[[#This Row],[date]], mobile_visits[date], mobile_visits[mobile_visitors], 0)</f>
        <v>7237</v>
      </c>
    </row>
    <row r="1985" spans="1:9" x14ac:dyDescent="0.2">
      <c r="A1985" s="1">
        <v>44719</v>
      </c>
      <c r="B1985">
        <v>12716</v>
      </c>
      <c r="C1985">
        <v>29405</v>
      </c>
      <c r="D1985">
        <v>14333</v>
      </c>
      <c r="E1985">
        <v>7528</v>
      </c>
      <c r="F1985">
        <v>86</v>
      </c>
      <c r="G1985" t="s">
        <v>20</v>
      </c>
      <c r="H1985" t="str">
        <f>IF(Grammys[[#This Row],[date]] &gt;= DATE(2022, 2, 1), "Grammys", "Grammys + TRA")</f>
        <v>Grammys</v>
      </c>
      <c r="I1985">
        <f>_xlfn.XLOOKUP(Grammys[[#This Row],[date]], mobile_visits[date], mobile_visits[mobile_visitors], 0)</f>
        <v>7657</v>
      </c>
    </row>
    <row r="1986" spans="1:9" x14ac:dyDescent="0.2">
      <c r="A1986" s="1">
        <v>44720</v>
      </c>
      <c r="B1986">
        <v>18533</v>
      </c>
      <c r="C1986">
        <v>43318</v>
      </c>
      <c r="D1986">
        <v>20685</v>
      </c>
      <c r="E1986">
        <v>10258</v>
      </c>
      <c r="F1986">
        <v>86</v>
      </c>
      <c r="G1986" t="s">
        <v>20</v>
      </c>
      <c r="H1986" t="str">
        <f>IF(Grammys[[#This Row],[date]] &gt;= DATE(2022, 2, 1), "Grammys", "Grammys + TRA")</f>
        <v>Grammys</v>
      </c>
      <c r="I1986">
        <f>_xlfn.XLOOKUP(Grammys[[#This Row],[date]], mobile_visits[date], mobile_visits[mobile_visitors], 0)</f>
        <v>13109</v>
      </c>
    </row>
    <row r="1987" spans="1:9" x14ac:dyDescent="0.2">
      <c r="A1987" s="1">
        <v>44721</v>
      </c>
      <c r="B1987">
        <v>26238</v>
      </c>
      <c r="C1987">
        <v>58460</v>
      </c>
      <c r="D1987">
        <v>30134</v>
      </c>
      <c r="E1987">
        <v>15956</v>
      </c>
      <c r="F1987">
        <v>70</v>
      </c>
      <c r="G1987" t="s">
        <v>20</v>
      </c>
      <c r="H1987" t="str">
        <f>IF(Grammys[[#This Row],[date]] &gt;= DATE(2022, 2, 1), "Grammys", "Grammys + TRA")</f>
        <v>Grammys</v>
      </c>
      <c r="I1987">
        <f>_xlfn.XLOOKUP(Grammys[[#This Row],[date]], mobile_visits[date], mobile_visits[mobile_visitors], 0)</f>
        <v>18442</v>
      </c>
    </row>
    <row r="1988" spans="1:9" x14ac:dyDescent="0.2">
      <c r="A1988" s="1">
        <v>44722</v>
      </c>
      <c r="B1988">
        <v>45469</v>
      </c>
      <c r="C1988">
        <v>82355</v>
      </c>
      <c r="D1988">
        <v>49172</v>
      </c>
      <c r="E1988">
        <v>31731</v>
      </c>
      <c r="F1988">
        <v>64</v>
      </c>
      <c r="G1988" t="s">
        <v>20</v>
      </c>
      <c r="H1988" t="str">
        <f>IF(Grammys[[#This Row],[date]] &gt;= DATE(2022, 2, 1), "Grammys", "Grammys + TRA")</f>
        <v>Grammys</v>
      </c>
      <c r="I1988">
        <f>_xlfn.XLOOKUP(Grammys[[#This Row],[date]], mobile_visits[date], mobile_visits[mobile_visitors], 0)</f>
        <v>22236</v>
      </c>
    </row>
    <row r="1989" spans="1:9" x14ac:dyDescent="0.2">
      <c r="A1989" s="1">
        <v>44723</v>
      </c>
      <c r="B1989">
        <v>37018</v>
      </c>
      <c r="C1989">
        <v>64873</v>
      </c>
      <c r="D1989">
        <v>39899</v>
      </c>
      <c r="E1989">
        <v>26888</v>
      </c>
      <c r="F1989">
        <v>62</v>
      </c>
      <c r="G1989" t="s">
        <v>20</v>
      </c>
      <c r="H1989" t="str">
        <f>IF(Grammys[[#This Row],[date]] &gt;= DATE(2022, 2, 1), "Grammys", "Grammys + TRA")</f>
        <v>Grammys</v>
      </c>
      <c r="I1989">
        <f>_xlfn.XLOOKUP(Grammys[[#This Row],[date]], mobile_visits[date], mobile_visits[mobile_visitors], 0)</f>
        <v>15349</v>
      </c>
    </row>
    <row r="1990" spans="1:9" x14ac:dyDescent="0.2">
      <c r="A1990" s="1">
        <v>44724</v>
      </c>
      <c r="B1990">
        <v>17783</v>
      </c>
      <c r="C1990">
        <v>39700</v>
      </c>
      <c r="D1990">
        <v>19679</v>
      </c>
      <c r="E1990">
        <v>10157</v>
      </c>
      <c r="F1990">
        <v>79</v>
      </c>
      <c r="G1990" t="s">
        <v>20</v>
      </c>
      <c r="H1990" t="str">
        <f>IF(Grammys[[#This Row],[date]] &gt;= DATE(2022, 2, 1), "Grammys", "Grammys + TRA")</f>
        <v>Grammys</v>
      </c>
      <c r="I1990">
        <f>_xlfn.XLOOKUP(Grammys[[#This Row],[date]], mobile_visits[date], mobile_visits[mobile_visitors], 0)</f>
        <v>11890</v>
      </c>
    </row>
    <row r="1991" spans="1:9" x14ac:dyDescent="0.2">
      <c r="A1991" s="1">
        <v>44725</v>
      </c>
      <c r="B1991">
        <v>16613</v>
      </c>
      <c r="C1991">
        <v>37355</v>
      </c>
      <c r="D1991">
        <v>18723</v>
      </c>
      <c r="E1991">
        <v>10023</v>
      </c>
      <c r="F1991">
        <v>85</v>
      </c>
      <c r="G1991" t="s">
        <v>20</v>
      </c>
      <c r="H1991" t="str">
        <f>IF(Grammys[[#This Row],[date]] &gt;= DATE(2022, 2, 1), "Grammys", "Grammys + TRA")</f>
        <v>Grammys</v>
      </c>
      <c r="I1991">
        <f>_xlfn.XLOOKUP(Grammys[[#This Row],[date]], mobile_visits[date], mobile_visits[mobile_visitors], 0)</f>
        <v>10433</v>
      </c>
    </row>
    <row r="1992" spans="1:9" x14ac:dyDescent="0.2">
      <c r="A1992" s="1">
        <v>44726</v>
      </c>
      <c r="B1992">
        <v>17487</v>
      </c>
      <c r="C1992">
        <v>39628</v>
      </c>
      <c r="D1992">
        <v>19717</v>
      </c>
      <c r="E1992">
        <v>10736</v>
      </c>
      <c r="F1992">
        <v>78</v>
      </c>
      <c r="G1992" t="s">
        <v>20</v>
      </c>
      <c r="H1992" t="str">
        <f>IF(Grammys[[#This Row],[date]] &gt;= DATE(2022, 2, 1), "Grammys", "Grammys + TRA")</f>
        <v>Grammys</v>
      </c>
      <c r="I1992">
        <f>_xlfn.XLOOKUP(Grammys[[#This Row],[date]], mobile_visits[date], mobile_visits[mobile_visitors], 0)</f>
        <v>10968</v>
      </c>
    </row>
    <row r="1993" spans="1:9" x14ac:dyDescent="0.2">
      <c r="A1993" s="1">
        <v>44727</v>
      </c>
      <c r="B1993">
        <v>15027</v>
      </c>
      <c r="C1993">
        <v>35065</v>
      </c>
      <c r="D1993">
        <v>17297</v>
      </c>
      <c r="E1993">
        <v>9241</v>
      </c>
      <c r="F1993">
        <v>82</v>
      </c>
      <c r="G1993" t="s">
        <v>20</v>
      </c>
      <c r="H1993" t="str">
        <f>IF(Grammys[[#This Row],[date]] &gt;= DATE(2022, 2, 1), "Grammys", "Grammys + TRA")</f>
        <v>Grammys</v>
      </c>
      <c r="I1993">
        <f>_xlfn.XLOOKUP(Grammys[[#This Row],[date]], mobile_visits[date], mobile_visits[mobile_visitors], 0)</f>
        <v>8899</v>
      </c>
    </row>
    <row r="1994" spans="1:9" x14ac:dyDescent="0.2">
      <c r="A1994" s="1">
        <v>44728</v>
      </c>
      <c r="B1994">
        <v>17098</v>
      </c>
      <c r="C1994">
        <v>38634</v>
      </c>
      <c r="D1994">
        <v>19083</v>
      </c>
      <c r="E1994">
        <v>10109</v>
      </c>
      <c r="F1994">
        <v>75</v>
      </c>
      <c r="G1994" t="s">
        <v>20</v>
      </c>
      <c r="H1994" t="str">
        <f>IF(Grammys[[#This Row],[date]] &gt;= DATE(2022, 2, 1), "Grammys", "Grammys + TRA")</f>
        <v>Grammys</v>
      </c>
      <c r="I1994">
        <f>_xlfn.XLOOKUP(Grammys[[#This Row],[date]], mobile_visits[date], mobile_visits[mobile_visitors], 0)</f>
        <v>11492</v>
      </c>
    </row>
    <row r="1995" spans="1:9" x14ac:dyDescent="0.2">
      <c r="A1995" s="1">
        <v>44729</v>
      </c>
      <c r="B1995">
        <v>16714</v>
      </c>
      <c r="C1995">
        <v>37291</v>
      </c>
      <c r="D1995">
        <v>18581</v>
      </c>
      <c r="E1995">
        <v>9778</v>
      </c>
      <c r="F1995">
        <v>76</v>
      </c>
      <c r="G1995" t="s">
        <v>20</v>
      </c>
      <c r="H1995" t="str">
        <f>IF(Grammys[[#This Row],[date]] &gt;= DATE(2022, 2, 1), "Grammys", "Grammys + TRA")</f>
        <v>Grammys</v>
      </c>
      <c r="I1995">
        <f>_xlfn.XLOOKUP(Grammys[[#This Row],[date]], mobile_visits[date], mobile_visits[mobile_visitors], 0)</f>
        <v>12255</v>
      </c>
    </row>
    <row r="1996" spans="1:9" x14ac:dyDescent="0.2">
      <c r="A1996" s="1">
        <v>44730</v>
      </c>
      <c r="B1996">
        <v>13139</v>
      </c>
      <c r="C1996">
        <v>31116</v>
      </c>
      <c r="D1996">
        <v>14523</v>
      </c>
      <c r="E1996">
        <v>7265</v>
      </c>
      <c r="F1996">
        <v>85</v>
      </c>
      <c r="G1996" t="s">
        <v>20</v>
      </c>
      <c r="H1996" t="str">
        <f>IF(Grammys[[#This Row],[date]] &gt;= DATE(2022, 2, 1), "Grammys", "Grammys + TRA")</f>
        <v>Grammys</v>
      </c>
      <c r="I1996">
        <f>_xlfn.XLOOKUP(Grammys[[#This Row],[date]], mobile_visits[date], mobile_visits[mobile_visitors], 0)</f>
        <v>9358</v>
      </c>
    </row>
    <row r="1997" spans="1:9" x14ac:dyDescent="0.2">
      <c r="A1997" s="1">
        <v>44731</v>
      </c>
      <c r="B1997">
        <v>13386</v>
      </c>
      <c r="C1997">
        <v>31183</v>
      </c>
      <c r="D1997">
        <v>15013</v>
      </c>
      <c r="E1997">
        <v>7582</v>
      </c>
      <c r="F1997">
        <v>74</v>
      </c>
      <c r="G1997" t="s">
        <v>20</v>
      </c>
      <c r="H1997" t="str">
        <f>IF(Grammys[[#This Row],[date]] &gt;= DATE(2022, 2, 1), "Grammys", "Grammys + TRA")</f>
        <v>Grammys</v>
      </c>
      <c r="I1997">
        <f>_xlfn.XLOOKUP(Grammys[[#This Row],[date]], mobile_visits[date], mobile_visits[mobile_visitors], 0)</f>
        <v>9579</v>
      </c>
    </row>
    <row r="1998" spans="1:9" x14ac:dyDescent="0.2">
      <c r="A1998" s="1">
        <v>44732</v>
      </c>
      <c r="B1998">
        <v>14666</v>
      </c>
      <c r="C1998">
        <v>32816</v>
      </c>
      <c r="D1998">
        <v>16194</v>
      </c>
      <c r="E1998">
        <v>8114</v>
      </c>
      <c r="F1998">
        <v>81</v>
      </c>
      <c r="G1998" t="s">
        <v>20</v>
      </c>
      <c r="H1998" t="str">
        <f>IF(Grammys[[#This Row],[date]] &gt;= DATE(2022, 2, 1), "Grammys", "Grammys + TRA")</f>
        <v>Grammys</v>
      </c>
      <c r="I1998">
        <f>_xlfn.XLOOKUP(Grammys[[#This Row],[date]], mobile_visits[date], mobile_visits[mobile_visitors], 0)</f>
        <v>9868</v>
      </c>
    </row>
    <row r="1999" spans="1:9" x14ac:dyDescent="0.2">
      <c r="A1999" s="1">
        <v>44733</v>
      </c>
      <c r="B1999">
        <v>13925</v>
      </c>
      <c r="C1999">
        <v>31781</v>
      </c>
      <c r="D1999">
        <v>15843</v>
      </c>
      <c r="E1999">
        <v>8366</v>
      </c>
      <c r="F1999">
        <v>88</v>
      </c>
      <c r="G1999" t="s">
        <v>20</v>
      </c>
      <c r="H1999" t="str">
        <f>IF(Grammys[[#This Row],[date]] &gt;= DATE(2022, 2, 1), "Grammys", "Grammys + TRA")</f>
        <v>Grammys</v>
      </c>
      <c r="I1999">
        <f>_xlfn.XLOOKUP(Grammys[[#This Row],[date]], mobile_visits[date], mobile_visits[mobile_visitors], 0)</f>
        <v>9075</v>
      </c>
    </row>
    <row r="2000" spans="1:9" x14ac:dyDescent="0.2">
      <c r="A2000" s="1">
        <v>44734</v>
      </c>
      <c r="B2000">
        <v>13454</v>
      </c>
      <c r="C2000">
        <v>30214</v>
      </c>
      <c r="D2000">
        <v>15169</v>
      </c>
      <c r="E2000">
        <v>8122</v>
      </c>
      <c r="F2000">
        <v>90</v>
      </c>
      <c r="G2000" t="s">
        <v>20</v>
      </c>
      <c r="H2000" t="str">
        <f>IF(Grammys[[#This Row],[date]] &gt;= DATE(2022, 2, 1), "Grammys", "Grammys + TRA")</f>
        <v>Grammys</v>
      </c>
      <c r="I2000">
        <f>_xlfn.XLOOKUP(Grammys[[#This Row],[date]], mobile_visits[date], mobile_visits[mobile_visitors], 0)</f>
        <v>8343</v>
      </c>
    </row>
    <row r="2001" spans="1:9" x14ac:dyDescent="0.2">
      <c r="A2001" s="1">
        <v>44735</v>
      </c>
      <c r="B2001">
        <v>12772</v>
      </c>
      <c r="C2001">
        <v>29122</v>
      </c>
      <c r="D2001">
        <v>14493</v>
      </c>
      <c r="E2001">
        <v>7763</v>
      </c>
      <c r="F2001">
        <v>90</v>
      </c>
      <c r="G2001" t="s">
        <v>20</v>
      </c>
      <c r="H2001" t="str">
        <f>IF(Grammys[[#This Row],[date]] &gt;= DATE(2022, 2, 1), "Grammys", "Grammys + TRA")</f>
        <v>Grammys</v>
      </c>
      <c r="I2001">
        <f>_xlfn.XLOOKUP(Grammys[[#This Row],[date]], mobile_visits[date], mobile_visits[mobile_visitors], 0)</f>
        <v>8078</v>
      </c>
    </row>
    <row r="2002" spans="1:9" x14ac:dyDescent="0.2">
      <c r="A2002" s="1">
        <v>44736</v>
      </c>
      <c r="B2002">
        <v>11694</v>
      </c>
      <c r="C2002">
        <v>26523</v>
      </c>
      <c r="D2002">
        <v>12962</v>
      </c>
      <c r="E2002">
        <v>6786</v>
      </c>
      <c r="F2002">
        <v>87</v>
      </c>
      <c r="G2002" t="s">
        <v>20</v>
      </c>
      <c r="H2002" t="str">
        <f>IF(Grammys[[#This Row],[date]] &gt;= DATE(2022, 2, 1), "Grammys", "Grammys + TRA")</f>
        <v>Grammys</v>
      </c>
      <c r="I2002">
        <f>_xlfn.XLOOKUP(Grammys[[#This Row],[date]], mobile_visits[date], mobile_visits[mobile_visitors], 0)</f>
        <v>8148</v>
      </c>
    </row>
    <row r="2003" spans="1:9" x14ac:dyDescent="0.2">
      <c r="A2003" s="1">
        <v>44737</v>
      </c>
      <c r="B2003">
        <v>10238</v>
      </c>
      <c r="C2003">
        <v>23664</v>
      </c>
      <c r="D2003">
        <v>11298</v>
      </c>
      <c r="E2003">
        <v>5971</v>
      </c>
      <c r="F2003">
        <v>86</v>
      </c>
      <c r="G2003" t="s">
        <v>20</v>
      </c>
      <c r="H2003" t="str">
        <f>IF(Grammys[[#This Row],[date]] &gt;= DATE(2022, 2, 1), "Grammys", "Grammys + TRA")</f>
        <v>Grammys</v>
      </c>
      <c r="I2003">
        <f>_xlfn.XLOOKUP(Grammys[[#This Row],[date]], mobile_visits[date], mobile_visits[mobile_visitors], 0)</f>
        <v>7657</v>
      </c>
    </row>
    <row r="2004" spans="1:9" x14ac:dyDescent="0.2">
      <c r="A2004" s="1">
        <v>44738</v>
      </c>
      <c r="B2004">
        <v>11475</v>
      </c>
      <c r="C2004">
        <v>26986</v>
      </c>
      <c r="D2004">
        <v>12581</v>
      </c>
      <c r="E2004">
        <v>6599</v>
      </c>
      <c r="F2004">
        <v>80</v>
      </c>
      <c r="G2004" t="s">
        <v>20</v>
      </c>
      <c r="H2004" t="str">
        <f>IF(Grammys[[#This Row],[date]] &gt;= DATE(2022, 2, 1), "Grammys", "Grammys + TRA")</f>
        <v>Grammys</v>
      </c>
      <c r="I2004">
        <f>_xlfn.XLOOKUP(Grammys[[#This Row],[date]], mobile_visits[date], mobile_visits[mobile_visitors], 0)</f>
        <v>8268</v>
      </c>
    </row>
    <row r="2005" spans="1:9" x14ac:dyDescent="0.2">
      <c r="A2005" s="1">
        <v>44739</v>
      </c>
      <c r="B2005">
        <v>12283</v>
      </c>
      <c r="C2005">
        <v>28034</v>
      </c>
      <c r="D2005">
        <v>13568</v>
      </c>
      <c r="E2005">
        <v>7243</v>
      </c>
      <c r="F2005">
        <v>85</v>
      </c>
      <c r="G2005" t="s">
        <v>20</v>
      </c>
      <c r="H2005" t="str">
        <f>IF(Grammys[[#This Row],[date]] &gt;= DATE(2022, 2, 1), "Grammys", "Grammys + TRA")</f>
        <v>Grammys</v>
      </c>
      <c r="I2005">
        <f>_xlfn.XLOOKUP(Grammys[[#This Row],[date]], mobile_visits[date], mobile_visits[mobile_visitors], 0)</f>
        <v>7772</v>
      </c>
    </row>
    <row r="2006" spans="1:9" x14ac:dyDescent="0.2">
      <c r="A2006" s="1">
        <v>44740</v>
      </c>
      <c r="B2006">
        <v>11902</v>
      </c>
      <c r="C2006">
        <v>27279</v>
      </c>
      <c r="D2006">
        <v>13372</v>
      </c>
      <c r="E2006">
        <v>7066</v>
      </c>
      <c r="F2006">
        <v>92</v>
      </c>
      <c r="G2006" t="s">
        <v>20</v>
      </c>
      <c r="H2006" t="str">
        <f>IF(Grammys[[#This Row],[date]] &gt;= DATE(2022, 2, 1), "Grammys", "Grammys + TRA")</f>
        <v>Grammys</v>
      </c>
      <c r="I2006">
        <f>_xlfn.XLOOKUP(Grammys[[#This Row],[date]], mobile_visits[date], mobile_visits[mobile_visitors], 0)</f>
        <v>7860</v>
      </c>
    </row>
    <row r="2007" spans="1:9" x14ac:dyDescent="0.2">
      <c r="A2007" s="1">
        <v>44741</v>
      </c>
      <c r="B2007">
        <v>26488</v>
      </c>
      <c r="C2007">
        <v>57994</v>
      </c>
      <c r="D2007">
        <v>28865</v>
      </c>
      <c r="E2007">
        <v>13512</v>
      </c>
      <c r="F2007">
        <v>125</v>
      </c>
      <c r="G2007" t="s">
        <v>20</v>
      </c>
      <c r="H2007" t="str">
        <f>IF(Grammys[[#This Row],[date]] &gt;= DATE(2022, 2, 1), "Grammys", "Grammys + TRA")</f>
        <v>Grammys</v>
      </c>
      <c r="I2007">
        <f>_xlfn.XLOOKUP(Grammys[[#This Row],[date]], mobile_visits[date], mobile_visits[mobile_visitors], 0)</f>
        <v>20986</v>
      </c>
    </row>
    <row r="2008" spans="1:9" x14ac:dyDescent="0.2">
      <c r="A2008" s="1">
        <v>44742</v>
      </c>
      <c r="B2008">
        <v>16166</v>
      </c>
      <c r="C2008">
        <v>35566</v>
      </c>
      <c r="D2008">
        <v>18078</v>
      </c>
      <c r="E2008">
        <v>9323</v>
      </c>
      <c r="F2008">
        <v>96</v>
      </c>
      <c r="G2008" t="s">
        <v>20</v>
      </c>
      <c r="H2008" t="str">
        <f>IF(Grammys[[#This Row],[date]] &gt;= DATE(2022, 2, 1), "Grammys", "Grammys + TRA")</f>
        <v>Grammys</v>
      </c>
      <c r="I2008">
        <f>_xlfn.XLOOKUP(Grammys[[#This Row],[date]], mobile_visits[date], mobile_visits[mobile_visitors], 0)</f>
        <v>11811</v>
      </c>
    </row>
    <row r="2009" spans="1:9" x14ac:dyDescent="0.2">
      <c r="A2009" s="1">
        <v>44743</v>
      </c>
      <c r="B2009">
        <v>13709</v>
      </c>
      <c r="C2009">
        <v>30283</v>
      </c>
      <c r="D2009">
        <v>15104</v>
      </c>
      <c r="E2009">
        <v>7580</v>
      </c>
      <c r="F2009">
        <v>88</v>
      </c>
      <c r="G2009" t="s">
        <v>20</v>
      </c>
      <c r="H2009" t="str">
        <f>IF(Grammys[[#This Row],[date]] &gt;= DATE(2022, 2, 1), "Grammys", "Grammys + TRA")</f>
        <v>Grammys</v>
      </c>
      <c r="I2009">
        <f>_xlfn.XLOOKUP(Grammys[[#This Row],[date]], mobile_visits[date], mobile_visits[mobile_visitors], 0)</f>
        <v>10215</v>
      </c>
    </row>
    <row r="2010" spans="1:9" x14ac:dyDescent="0.2">
      <c r="A2010" s="1">
        <v>44744</v>
      </c>
      <c r="B2010">
        <v>14755</v>
      </c>
      <c r="C2010">
        <v>32510</v>
      </c>
      <c r="D2010">
        <v>16195</v>
      </c>
      <c r="E2010">
        <v>8469</v>
      </c>
      <c r="F2010">
        <v>84</v>
      </c>
      <c r="G2010" t="s">
        <v>20</v>
      </c>
      <c r="H2010" t="str">
        <f>IF(Grammys[[#This Row],[date]] &gt;= DATE(2022, 2, 1), "Grammys", "Grammys + TRA")</f>
        <v>Grammys</v>
      </c>
      <c r="I2010">
        <f>_xlfn.XLOOKUP(Grammys[[#This Row],[date]], mobile_visits[date], mobile_visits[mobile_visitors], 0)</f>
        <v>11704</v>
      </c>
    </row>
    <row r="2011" spans="1:9" x14ac:dyDescent="0.2">
      <c r="A2011" s="1">
        <v>44745</v>
      </c>
      <c r="B2011">
        <v>13397</v>
      </c>
      <c r="C2011">
        <v>30864</v>
      </c>
      <c r="D2011">
        <v>14895</v>
      </c>
      <c r="E2011">
        <v>7371</v>
      </c>
      <c r="F2011">
        <v>81</v>
      </c>
      <c r="G2011" t="s">
        <v>20</v>
      </c>
      <c r="H2011" t="str">
        <f>IF(Grammys[[#This Row],[date]] &gt;= DATE(2022, 2, 1), "Grammys", "Grammys + TRA")</f>
        <v>Grammys</v>
      </c>
      <c r="I2011">
        <f>_xlfn.XLOOKUP(Grammys[[#This Row],[date]], mobile_visits[date], mobile_visits[mobile_visitors], 0)</f>
        <v>10138</v>
      </c>
    </row>
    <row r="2012" spans="1:9" x14ac:dyDescent="0.2">
      <c r="A2012" s="1">
        <v>44746</v>
      </c>
      <c r="B2012">
        <v>12725</v>
      </c>
      <c r="C2012">
        <v>28977</v>
      </c>
      <c r="D2012">
        <v>13978</v>
      </c>
      <c r="E2012">
        <v>7078</v>
      </c>
      <c r="F2012">
        <v>77</v>
      </c>
      <c r="G2012" t="s">
        <v>20</v>
      </c>
      <c r="H2012" t="str">
        <f>IF(Grammys[[#This Row],[date]] &gt;= DATE(2022, 2, 1), "Grammys", "Grammys + TRA")</f>
        <v>Grammys</v>
      </c>
      <c r="I2012">
        <f>_xlfn.XLOOKUP(Grammys[[#This Row],[date]], mobile_visits[date], mobile_visits[mobile_visitors], 0)</f>
        <v>9361</v>
      </c>
    </row>
    <row r="2013" spans="1:9" x14ac:dyDescent="0.2">
      <c r="A2013" s="1">
        <v>44747</v>
      </c>
      <c r="B2013">
        <v>16349</v>
      </c>
      <c r="C2013">
        <v>38460</v>
      </c>
      <c r="D2013">
        <v>18443</v>
      </c>
      <c r="E2013">
        <v>9194</v>
      </c>
      <c r="F2013">
        <v>89</v>
      </c>
      <c r="G2013" t="s">
        <v>20</v>
      </c>
      <c r="H2013" t="str">
        <f>IF(Grammys[[#This Row],[date]] &gt;= DATE(2022, 2, 1), "Grammys", "Grammys + TRA")</f>
        <v>Grammys</v>
      </c>
      <c r="I2013">
        <f>_xlfn.XLOOKUP(Grammys[[#This Row],[date]], mobile_visits[date], mobile_visits[mobile_visitors], 0)</f>
        <v>11760</v>
      </c>
    </row>
    <row r="2014" spans="1:9" x14ac:dyDescent="0.2">
      <c r="A2014" s="1">
        <v>44748</v>
      </c>
      <c r="B2014">
        <v>15172</v>
      </c>
      <c r="C2014">
        <v>36118</v>
      </c>
      <c r="D2014">
        <v>16887</v>
      </c>
      <c r="E2014">
        <v>8373</v>
      </c>
      <c r="F2014">
        <v>85</v>
      </c>
      <c r="G2014" t="s">
        <v>20</v>
      </c>
      <c r="H2014" t="str">
        <f>IF(Grammys[[#This Row],[date]] &gt;= DATE(2022, 2, 1), "Grammys", "Grammys + TRA")</f>
        <v>Grammys</v>
      </c>
      <c r="I2014">
        <f>_xlfn.XLOOKUP(Grammys[[#This Row],[date]], mobile_visits[date], mobile_visits[mobile_visitors], 0)</f>
        <v>10296</v>
      </c>
    </row>
    <row r="2015" spans="1:9" x14ac:dyDescent="0.2">
      <c r="A2015" s="1">
        <v>44749</v>
      </c>
      <c r="B2015">
        <v>14743</v>
      </c>
      <c r="C2015">
        <v>33813</v>
      </c>
      <c r="D2015">
        <v>15902</v>
      </c>
      <c r="E2015">
        <v>7614</v>
      </c>
      <c r="F2015">
        <v>90</v>
      </c>
      <c r="G2015" t="s">
        <v>20</v>
      </c>
      <c r="H2015" t="str">
        <f>IF(Grammys[[#This Row],[date]] &gt;= DATE(2022, 2, 1), "Grammys", "Grammys + TRA")</f>
        <v>Grammys</v>
      </c>
      <c r="I2015">
        <f>_xlfn.XLOOKUP(Grammys[[#This Row],[date]], mobile_visits[date], mobile_visits[mobile_visitors], 0)</f>
        <v>10806</v>
      </c>
    </row>
    <row r="2016" spans="1:9" x14ac:dyDescent="0.2">
      <c r="A2016" s="1">
        <v>44750</v>
      </c>
      <c r="B2016">
        <v>13523</v>
      </c>
      <c r="C2016">
        <v>30984</v>
      </c>
      <c r="D2016">
        <v>14655</v>
      </c>
      <c r="E2016">
        <v>7288</v>
      </c>
      <c r="F2016">
        <v>85</v>
      </c>
      <c r="G2016" t="s">
        <v>20</v>
      </c>
      <c r="H2016" t="str">
        <f>IF(Grammys[[#This Row],[date]] &gt;= DATE(2022, 2, 1), "Grammys", "Grammys + TRA")</f>
        <v>Grammys</v>
      </c>
      <c r="I2016">
        <f>_xlfn.XLOOKUP(Grammys[[#This Row],[date]], mobile_visits[date], mobile_visits[mobile_visitors], 0)</f>
        <v>9690</v>
      </c>
    </row>
    <row r="2017" spans="1:9" x14ac:dyDescent="0.2">
      <c r="A2017" s="1">
        <v>44751</v>
      </c>
      <c r="B2017">
        <v>11128</v>
      </c>
      <c r="C2017">
        <v>25615</v>
      </c>
      <c r="D2017">
        <v>12309</v>
      </c>
      <c r="E2017">
        <v>6276</v>
      </c>
      <c r="F2017">
        <v>83</v>
      </c>
      <c r="G2017" t="s">
        <v>20</v>
      </c>
      <c r="H2017" t="str">
        <f>IF(Grammys[[#This Row],[date]] &gt;= DATE(2022, 2, 1), "Grammys", "Grammys + TRA")</f>
        <v>Grammys</v>
      </c>
      <c r="I2017">
        <f>_xlfn.XLOOKUP(Grammys[[#This Row],[date]], mobile_visits[date], mobile_visits[mobile_visitors], 0)</f>
        <v>8807</v>
      </c>
    </row>
    <row r="2018" spans="1:9" x14ac:dyDescent="0.2">
      <c r="A2018" s="1">
        <v>44752</v>
      </c>
      <c r="B2018">
        <v>10700</v>
      </c>
      <c r="C2018">
        <v>24668</v>
      </c>
      <c r="D2018">
        <v>11843</v>
      </c>
      <c r="E2018">
        <v>6083</v>
      </c>
      <c r="F2018">
        <v>83</v>
      </c>
      <c r="G2018" t="s">
        <v>20</v>
      </c>
      <c r="H2018" t="str">
        <f>IF(Grammys[[#This Row],[date]] &gt;= DATE(2022, 2, 1), "Grammys", "Grammys + TRA")</f>
        <v>Grammys</v>
      </c>
      <c r="I2018">
        <f>_xlfn.XLOOKUP(Grammys[[#This Row],[date]], mobile_visits[date], mobile_visits[mobile_visitors], 0)</f>
        <v>7675</v>
      </c>
    </row>
    <row r="2019" spans="1:9" x14ac:dyDescent="0.2">
      <c r="A2019" s="1">
        <v>44753</v>
      </c>
      <c r="B2019">
        <v>14960</v>
      </c>
      <c r="C2019">
        <v>34317</v>
      </c>
      <c r="D2019">
        <v>16525</v>
      </c>
      <c r="E2019">
        <v>7822</v>
      </c>
      <c r="F2019">
        <v>106</v>
      </c>
      <c r="G2019" t="s">
        <v>20</v>
      </c>
      <c r="H2019" t="str">
        <f>IF(Grammys[[#This Row],[date]] &gt;= DATE(2022, 2, 1), "Grammys", "Grammys + TRA")</f>
        <v>Grammys</v>
      </c>
      <c r="I2019">
        <f>_xlfn.XLOOKUP(Grammys[[#This Row],[date]], mobile_visits[date], mobile_visits[mobile_visitors], 0)</f>
        <v>9797</v>
      </c>
    </row>
    <row r="2020" spans="1:9" x14ac:dyDescent="0.2">
      <c r="A2020" s="1">
        <v>44754</v>
      </c>
      <c r="B2020">
        <v>15789</v>
      </c>
      <c r="C2020">
        <v>35827</v>
      </c>
      <c r="D2020">
        <v>17508</v>
      </c>
      <c r="E2020">
        <v>8371</v>
      </c>
      <c r="F2020">
        <v>95</v>
      </c>
      <c r="G2020" t="s">
        <v>20</v>
      </c>
      <c r="H2020" t="str">
        <f>IF(Grammys[[#This Row],[date]] &gt;= DATE(2022, 2, 1), "Grammys", "Grammys + TRA")</f>
        <v>Grammys</v>
      </c>
      <c r="I2020">
        <f>_xlfn.XLOOKUP(Grammys[[#This Row],[date]], mobile_visits[date], mobile_visits[mobile_visitors], 0)</f>
        <v>10548</v>
      </c>
    </row>
    <row r="2021" spans="1:9" x14ac:dyDescent="0.2">
      <c r="A2021" s="1">
        <v>44755</v>
      </c>
      <c r="B2021">
        <v>14306</v>
      </c>
      <c r="C2021">
        <v>32762</v>
      </c>
      <c r="D2021">
        <v>15766</v>
      </c>
      <c r="E2021">
        <v>7688</v>
      </c>
      <c r="F2021">
        <v>95</v>
      </c>
      <c r="G2021" t="s">
        <v>20</v>
      </c>
      <c r="H2021" t="str">
        <f>IF(Grammys[[#This Row],[date]] &gt;= DATE(2022, 2, 1), "Grammys", "Grammys + TRA")</f>
        <v>Grammys</v>
      </c>
      <c r="I2021">
        <f>_xlfn.XLOOKUP(Grammys[[#This Row],[date]], mobile_visits[date], mobile_visits[mobile_visitors], 0)</f>
        <v>9586</v>
      </c>
    </row>
    <row r="2022" spans="1:9" x14ac:dyDescent="0.2">
      <c r="A2022" s="1">
        <v>44756</v>
      </c>
      <c r="B2022">
        <v>15147</v>
      </c>
      <c r="C2022">
        <v>33933</v>
      </c>
      <c r="D2022">
        <v>16743</v>
      </c>
      <c r="E2022">
        <v>8411</v>
      </c>
      <c r="F2022">
        <v>87</v>
      </c>
      <c r="G2022" t="s">
        <v>20</v>
      </c>
      <c r="H2022" t="str">
        <f>IF(Grammys[[#This Row],[date]] &gt;= DATE(2022, 2, 1), "Grammys", "Grammys + TRA")</f>
        <v>Grammys</v>
      </c>
      <c r="I2022">
        <f>_xlfn.XLOOKUP(Grammys[[#This Row],[date]], mobile_visits[date], mobile_visits[mobile_visitors], 0)</f>
        <v>10245</v>
      </c>
    </row>
    <row r="2023" spans="1:9" x14ac:dyDescent="0.2">
      <c r="A2023" s="1">
        <v>44757</v>
      </c>
      <c r="B2023">
        <v>21402</v>
      </c>
      <c r="C2023">
        <v>43295</v>
      </c>
      <c r="D2023">
        <v>23258</v>
      </c>
      <c r="E2023">
        <v>13358</v>
      </c>
      <c r="F2023">
        <v>80</v>
      </c>
      <c r="G2023" t="s">
        <v>20</v>
      </c>
      <c r="H2023" t="str">
        <f>IF(Grammys[[#This Row],[date]] &gt;= DATE(2022, 2, 1), "Grammys", "Grammys + TRA")</f>
        <v>Grammys</v>
      </c>
      <c r="I2023">
        <f>_xlfn.XLOOKUP(Grammys[[#This Row],[date]], mobile_visits[date], mobile_visits[mobile_visitors], 0)</f>
        <v>13501</v>
      </c>
    </row>
    <row r="2024" spans="1:9" x14ac:dyDescent="0.2">
      <c r="A2024" s="1">
        <v>44758</v>
      </c>
      <c r="B2024">
        <v>19870</v>
      </c>
      <c r="C2024">
        <v>38393</v>
      </c>
      <c r="D2024">
        <v>21469</v>
      </c>
      <c r="E2024">
        <v>13019</v>
      </c>
      <c r="F2024">
        <v>67</v>
      </c>
      <c r="G2024" t="s">
        <v>20</v>
      </c>
      <c r="H2024" t="str">
        <f>IF(Grammys[[#This Row],[date]] &gt;= DATE(2022, 2, 1), "Grammys", "Grammys + TRA")</f>
        <v>Grammys</v>
      </c>
      <c r="I2024">
        <f>_xlfn.XLOOKUP(Grammys[[#This Row],[date]], mobile_visits[date], mobile_visits[mobile_visitors], 0)</f>
        <v>11995</v>
      </c>
    </row>
    <row r="2025" spans="1:9" x14ac:dyDescent="0.2">
      <c r="A2025" s="1">
        <v>44759</v>
      </c>
      <c r="B2025">
        <v>15648</v>
      </c>
      <c r="C2025">
        <v>34175</v>
      </c>
      <c r="D2025">
        <v>16805</v>
      </c>
      <c r="E2025">
        <v>8512</v>
      </c>
      <c r="F2025">
        <v>84</v>
      </c>
      <c r="G2025" t="s">
        <v>20</v>
      </c>
      <c r="H2025" t="str">
        <f>IF(Grammys[[#This Row],[date]] &gt;= DATE(2022, 2, 1), "Grammys", "Grammys + TRA")</f>
        <v>Grammys</v>
      </c>
      <c r="I2025">
        <f>_xlfn.XLOOKUP(Grammys[[#This Row],[date]], mobile_visits[date], mobile_visits[mobile_visitors], 0)</f>
        <v>12154</v>
      </c>
    </row>
    <row r="2026" spans="1:9" x14ac:dyDescent="0.2">
      <c r="A2026" s="1">
        <v>44760</v>
      </c>
      <c r="B2026">
        <v>12023</v>
      </c>
      <c r="C2026">
        <v>23667</v>
      </c>
      <c r="D2026">
        <v>13171</v>
      </c>
      <c r="E2026">
        <v>7363</v>
      </c>
      <c r="F2026">
        <v>80</v>
      </c>
      <c r="G2026" t="s">
        <v>20</v>
      </c>
      <c r="H2026" t="str">
        <f>IF(Grammys[[#This Row],[date]] &gt;= DATE(2022, 2, 1), "Grammys", "Grammys + TRA")</f>
        <v>Grammys</v>
      </c>
      <c r="I2026">
        <f>_xlfn.XLOOKUP(Grammys[[#This Row],[date]], mobile_visits[date], mobile_visits[mobile_visitors], 0)</f>
        <v>8633</v>
      </c>
    </row>
    <row r="2027" spans="1:9" x14ac:dyDescent="0.2">
      <c r="A2027" s="1">
        <v>44761</v>
      </c>
      <c r="B2027">
        <v>7554</v>
      </c>
      <c r="C2027">
        <v>13952</v>
      </c>
      <c r="D2027">
        <v>8438</v>
      </c>
      <c r="E2027">
        <v>5262</v>
      </c>
      <c r="F2027">
        <v>86</v>
      </c>
      <c r="G2027" t="s">
        <v>20</v>
      </c>
      <c r="H2027" t="str">
        <f>IF(Grammys[[#This Row],[date]] &gt;= DATE(2022, 2, 1), "Grammys", "Grammys + TRA")</f>
        <v>Grammys</v>
      </c>
      <c r="I2027">
        <f>_xlfn.XLOOKUP(Grammys[[#This Row],[date]], mobile_visits[date], mobile_visits[mobile_visitors], 0)</f>
        <v>4581</v>
      </c>
    </row>
    <row r="2028" spans="1:9" x14ac:dyDescent="0.2">
      <c r="A2028" s="1">
        <v>44762</v>
      </c>
      <c r="B2028">
        <v>7749</v>
      </c>
      <c r="C2028">
        <v>14172</v>
      </c>
      <c r="D2028">
        <v>8693</v>
      </c>
      <c r="E2028">
        <v>5499</v>
      </c>
      <c r="F2028">
        <v>92</v>
      </c>
      <c r="G2028" t="s">
        <v>20</v>
      </c>
      <c r="H2028" t="str">
        <f>IF(Grammys[[#This Row],[date]] &gt;= DATE(2022, 2, 1), "Grammys", "Grammys + TRA")</f>
        <v>Grammys</v>
      </c>
      <c r="I2028">
        <f>_xlfn.XLOOKUP(Grammys[[#This Row],[date]], mobile_visits[date], mobile_visits[mobile_visitors], 0)</f>
        <v>4698</v>
      </c>
    </row>
    <row r="2029" spans="1:9" x14ac:dyDescent="0.2">
      <c r="A2029" s="1">
        <v>44763</v>
      </c>
      <c r="B2029">
        <v>10785</v>
      </c>
      <c r="C2029">
        <v>21857</v>
      </c>
      <c r="D2029">
        <v>11718</v>
      </c>
      <c r="E2029">
        <v>6518</v>
      </c>
      <c r="F2029">
        <v>86</v>
      </c>
      <c r="G2029" t="s">
        <v>20</v>
      </c>
      <c r="H2029" t="str">
        <f>IF(Grammys[[#This Row],[date]] &gt;= DATE(2022, 2, 1), "Grammys", "Grammys + TRA")</f>
        <v>Grammys</v>
      </c>
      <c r="I2029">
        <f>_xlfn.XLOOKUP(Grammys[[#This Row],[date]], mobile_visits[date], mobile_visits[mobile_visitors], 0)</f>
        <v>7134</v>
      </c>
    </row>
    <row r="2030" spans="1:9" x14ac:dyDescent="0.2">
      <c r="A2030" s="1">
        <v>44764</v>
      </c>
      <c r="B2030">
        <v>13596</v>
      </c>
      <c r="C2030">
        <v>31363</v>
      </c>
      <c r="D2030">
        <v>15203</v>
      </c>
      <c r="E2030">
        <v>7745</v>
      </c>
      <c r="F2030">
        <v>90</v>
      </c>
      <c r="G2030" t="s">
        <v>20</v>
      </c>
      <c r="H2030" t="str">
        <f>IF(Grammys[[#This Row],[date]] &gt;= DATE(2022, 2, 1), "Grammys", "Grammys + TRA")</f>
        <v>Grammys</v>
      </c>
      <c r="I2030">
        <f>_xlfn.XLOOKUP(Grammys[[#This Row],[date]], mobile_visits[date], mobile_visits[mobile_visitors], 0)</f>
        <v>8850</v>
      </c>
    </row>
    <row r="2031" spans="1:9" x14ac:dyDescent="0.2">
      <c r="A2031" s="1">
        <v>44765</v>
      </c>
      <c r="B2031">
        <v>12225</v>
      </c>
      <c r="C2031">
        <v>27433</v>
      </c>
      <c r="D2031">
        <v>13258</v>
      </c>
      <c r="E2031">
        <v>6827</v>
      </c>
      <c r="F2031">
        <v>78</v>
      </c>
      <c r="G2031" t="s">
        <v>20</v>
      </c>
      <c r="H2031" t="str">
        <f>IF(Grammys[[#This Row],[date]] &gt;= DATE(2022, 2, 1), "Grammys", "Grammys + TRA")</f>
        <v>Grammys</v>
      </c>
      <c r="I2031">
        <f>_xlfn.XLOOKUP(Grammys[[#This Row],[date]], mobile_visits[date], mobile_visits[mobile_visitors], 0)</f>
        <v>8627</v>
      </c>
    </row>
    <row r="2032" spans="1:9" x14ac:dyDescent="0.2">
      <c r="A2032" s="1">
        <v>44766</v>
      </c>
      <c r="B2032">
        <v>11431</v>
      </c>
      <c r="C2032">
        <v>26081</v>
      </c>
      <c r="D2032">
        <v>12432</v>
      </c>
      <c r="E2032">
        <v>6149</v>
      </c>
      <c r="F2032">
        <v>84</v>
      </c>
      <c r="G2032" t="s">
        <v>20</v>
      </c>
      <c r="H2032" t="str">
        <f>IF(Grammys[[#This Row],[date]] &gt;= DATE(2022, 2, 1), "Grammys", "Grammys + TRA")</f>
        <v>Grammys</v>
      </c>
      <c r="I2032">
        <f>_xlfn.XLOOKUP(Grammys[[#This Row],[date]], mobile_visits[date], mobile_visits[mobile_visitors], 0)</f>
        <v>8119</v>
      </c>
    </row>
    <row r="2033" spans="1:9" x14ac:dyDescent="0.2">
      <c r="A2033" s="1">
        <v>44767</v>
      </c>
      <c r="B2033">
        <v>11959</v>
      </c>
      <c r="C2033">
        <v>26890</v>
      </c>
      <c r="D2033">
        <v>13238</v>
      </c>
      <c r="E2033">
        <v>6859</v>
      </c>
      <c r="F2033">
        <v>84</v>
      </c>
      <c r="G2033" t="s">
        <v>20</v>
      </c>
      <c r="H2033" t="str">
        <f>IF(Grammys[[#This Row],[date]] &gt;= DATE(2022, 2, 1), "Grammys", "Grammys + TRA")</f>
        <v>Grammys</v>
      </c>
      <c r="I2033">
        <f>_xlfn.XLOOKUP(Grammys[[#This Row],[date]], mobile_visits[date], mobile_visits[mobile_visitors], 0)</f>
        <v>7526</v>
      </c>
    </row>
    <row r="2034" spans="1:9" x14ac:dyDescent="0.2">
      <c r="A2034" s="1">
        <v>44768</v>
      </c>
      <c r="B2034">
        <v>12474</v>
      </c>
      <c r="C2034">
        <v>28876</v>
      </c>
      <c r="D2034">
        <v>13900</v>
      </c>
      <c r="E2034">
        <v>7035</v>
      </c>
      <c r="F2034">
        <v>84</v>
      </c>
      <c r="G2034" t="s">
        <v>20</v>
      </c>
      <c r="H2034" t="str">
        <f>IF(Grammys[[#This Row],[date]] &gt;= DATE(2022, 2, 1), "Grammys", "Grammys + TRA")</f>
        <v>Grammys</v>
      </c>
      <c r="I2034">
        <f>_xlfn.XLOOKUP(Grammys[[#This Row],[date]], mobile_visits[date], mobile_visits[mobile_visitors], 0)</f>
        <v>8198</v>
      </c>
    </row>
    <row r="2035" spans="1:9" x14ac:dyDescent="0.2">
      <c r="A2035" s="1">
        <v>44769</v>
      </c>
      <c r="B2035">
        <v>21822</v>
      </c>
      <c r="C2035">
        <v>58870</v>
      </c>
      <c r="D2035">
        <v>23379</v>
      </c>
      <c r="E2035">
        <v>8122</v>
      </c>
      <c r="F2035">
        <v>85</v>
      </c>
      <c r="G2035" t="s">
        <v>20</v>
      </c>
      <c r="H2035" t="str">
        <f>IF(Grammys[[#This Row],[date]] &gt;= DATE(2022, 2, 1), "Grammys", "Grammys + TRA")</f>
        <v>Grammys</v>
      </c>
      <c r="I2035">
        <f>_xlfn.XLOOKUP(Grammys[[#This Row],[date]], mobile_visits[date], mobile_visits[mobile_visitors], 0)</f>
        <v>17024</v>
      </c>
    </row>
    <row r="2036" spans="1:9" x14ac:dyDescent="0.2">
      <c r="A2036" s="1">
        <v>44770</v>
      </c>
      <c r="B2036">
        <v>19871</v>
      </c>
      <c r="C2036">
        <v>50883</v>
      </c>
      <c r="D2036">
        <v>21362</v>
      </c>
      <c r="E2036">
        <v>8391</v>
      </c>
      <c r="F2036">
        <v>84</v>
      </c>
      <c r="G2036" t="s">
        <v>20</v>
      </c>
      <c r="H2036" t="str">
        <f>IF(Grammys[[#This Row],[date]] &gt;= DATE(2022, 2, 1), "Grammys", "Grammys + TRA")</f>
        <v>Grammys</v>
      </c>
      <c r="I2036">
        <f>_xlfn.XLOOKUP(Grammys[[#This Row],[date]], mobile_visits[date], mobile_visits[mobile_visitors], 0)</f>
        <v>14734</v>
      </c>
    </row>
    <row r="2037" spans="1:9" x14ac:dyDescent="0.2">
      <c r="A2037" s="1">
        <v>44771</v>
      </c>
      <c r="B2037">
        <v>13088</v>
      </c>
      <c r="C2037">
        <v>30358</v>
      </c>
      <c r="D2037">
        <v>14370</v>
      </c>
      <c r="E2037">
        <v>7102</v>
      </c>
      <c r="F2037">
        <v>83</v>
      </c>
      <c r="G2037" t="s">
        <v>20</v>
      </c>
      <c r="H2037" t="str">
        <f>IF(Grammys[[#This Row],[date]] &gt;= DATE(2022, 2, 1), "Grammys", "Grammys + TRA")</f>
        <v>Grammys</v>
      </c>
      <c r="I2037">
        <f>_xlfn.XLOOKUP(Grammys[[#This Row],[date]], mobile_visits[date], mobile_visits[mobile_visitors], 0)</f>
        <v>8994</v>
      </c>
    </row>
    <row r="2038" spans="1:9" x14ac:dyDescent="0.2">
      <c r="A2038" s="1">
        <v>44772</v>
      </c>
      <c r="B2038">
        <v>11719</v>
      </c>
      <c r="C2038">
        <v>26386</v>
      </c>
      <c r="D2038">
        <v>12656</v>
      </c>
      <c r="E2038">
        <v>6336</v>
      </c>
      <c r="F2038">
        <v>76</v>
      </c>
      <c r="G2038" t="s">
        <v>20</v>
      </c>
      <c r="H2038" t="str">
        <f>IF(Grammys[[#This Row],[date]] &gt;= DATE(2022, 2, 1), "Grammys", "Grammys + TRA")</f>
        <v>Grammys</v>
      </c>
      <c r="I2038">
        <f>_xlfn.XLOOKUP(Grammys[[#This Row],[date]], mobile_visits[date], mobile_visits[mobile_visitors], 0)</f>
        <v>8694</v>
      </c>
    </row>
    <row r="2039" spans="1:9" x14ac:dyDescent="0.2">
      <c r="A2039" s="1">
        <v>44773</v>
      </c>
      <c r="B2039">
        <v>12228</v>
      </c>
      <c r="C2039">
        <v>27681</v>
      </c>
      <c r="D2039">
        <v>13154</v>
      </c>
      <c r="E2039">
        <v>6546</v>
      </c>
      <c r="F2039">
        <v>82</v>
      </c>
      <c r="G2039" t="s">
        <v>20</v>
      </c>
      <c r="H2039" t="str">
        <f>IF(Grammys[[#This Row],[date]] &gt;= DATE(2022, 2, 1), "Grammys", "Grammys + TRA")</f>
        <v>Grammys</v>
      </c>
      <c r="I2039">
        <f>_xlfn.XLOOKUP(Grammys[[#This Row],[date]], mobile_visits[date], mobile_visits[mobile_visitors], 0)</f>
        <v>9151</v>
      </c>
    </row>
    <row r="2040" spans="1:9" x14ac:dyDescent="0.2">
      <c r="A2040" s="1">
        <v>44774</v>
      </c>
      <c r="B2040">
        <v>12316</v>
      </c>
      <c r="C2040">
        <v>28465</v>
      </c>
      <c r="D2040">
        <v>13607</v>
      </c>
      <c r="E2040">
        <v>6698</v>
      </c>
      <c r="F2040">
        <v>83</v>
      </c>
      <c r="G2040" t="s">
        <v>20</v>
      </c>
      <c r="H2040" t="str">
        <f>IF(Grammys[[#This Row],[date]] &gt;= DATE(2022, 2, 1), "Grammys", "Grammys + TRA")</f>
        <v>Grammys</v>
      </c>
      <c r="I2040">
        <f>_xlfn.XLOOKUP(Grammys[[#This Row],[date]], mobile_visits[date], mobile_visits[mobile_visitors], 0)</f>
        <v>8274</v>
      </c>
    </row>
    <row r="2041" spans="1:9" x14ac:dyDescent="0.2">
      <c r="A2041" s="1">
        <v>44775</v>
      </c>
      <c r="B2041">
        <v>12952</v>
      </c>
      <c r="C2041">
        <v>29553</v>
      </c>
      <c r="D2041">
        <v>14369</v>
      </c>
      <c r="E2041">
        <v>7211</v>
      </c>
      <c r="F2041">
        <v>86</v>
      </c>
      <c r="G2041" t="s">
        <v>20</v>
      </c>
      <c r="H2041" t="str">
        <f>IF(Grammys[[#This Row],[date]] &gt;= DATE(2022, 2, 1), "Grammys", "Grammys + TRA")</f>
        <v>Grammys</v>
      </c>
      <c r="I2041">
        <f>_xlfn.XLOOKUP(Grammys[[#This Row],[date]], mobile_visits[date], mobile_visits[mobile_visitors], 0)</f>
        <v>8624</v>
      </c>
    </row>
    <row r="2042" spans="1:9" x14ac:dyDescent="0.2">
      <c r="A2042" s="1">
        <v>44776</v>
      </c>
      <c r="B2042">
        <v>13172</v>
      </c>
      <c r="C2042">
        <v>30852</v>
      </c>
      <c r="D2042">
        <v>14770</v>
      </c>
      <c r="E2042">
        <v>7455</v>
      </c>
      <c r="F2042">
        <v>87</v>
      </c>
      <c r="G2042" t="s">
        <v>20</v>
      </c>
      <c r="H2042" t="str">
        <f>IF(Grammys[[#This Row],[date]] &gt;= DATE(2022, 2, 1), "Grammys", "Grammys + TRA")</f>
        <v>Grammys</v>
      </c>
      <c r="I2042">
        <f>_xlfn.XLOOKUP(Grammys[[#This Row],[date]], mobile_visits[date], mobile_visits[mobile_visitors], 0)</f>
        <v>8557</v>
      </c>
    </row>
    <row r="2043" spans="1:9" x14ac:dyDescent="0.2">
      <c r="A2043" s="1">
        <v>44777</v>
      </c>
      <c r="B2043">
        <v>13603</v>
      </c>
      <c r="C2043">
        <v>30836</v>
      </c>
      <c r="D2043">
        <v>15061</v>
      </c>
      <c r="E2043">
        <v>7655</v>
      </c>
      <c r="F2043">
        <v>77</v>
      </c>
      <c r="G2043" t="s">
        <v>20</v>
      </c>
      <c r="H2043" t="str">
        <f>IF(Grammys[[#This Row],[date]] &gt;= DATE(2022, 2, 1), "Grammys", "Grammys + TRA")</f>
        <v>Grammys</v>
      </c>
      <c r="I2043">
        <f>_xlfn.XLOOKUP(Grammys[[#This Row],[date]], mobile_visits[date], mobile_visits[mobile_visitors], 0)</f>
        <v>8857</v>
      </c>
    </row>
    <row r="2044" spans="1:9" x14ac:dyDescent="0.2">
      <c r="A2044" s="1">
        <v>44778</v>
      </c>
      <c r="B2044">
        <v>13386</v>
      </c>
      <c r="C2044">
        <v>30885</v>
      </c>
      <c r="D2044">
        <v>14688</v>
      </c>
      <c r="E2044">
        <v>7418</v>
      </c>
      <c r="F2044">
        <v>81</v>
      </c>
      <c r="G2044" t="s">
        <v>20</v>
      </c>
      <c r="H2044" t="str">
        <f>IF(Grammys[[#This Row],[date]] &gt;= DATE(2022, 2, 1), "Grammys", "Grammys + TRA")</f>
        <v>Grammys</v>
      </c>
      <c r="I2044">
        <f>_xlfn.XLOOKUP(Grammys[[#This Row],[date]], mobile_visits[date], mobile_visits[mobile_visitors], 0)</f>
        <v>9058</v>
      </c>
    </row>
    <row r="2045" spans="1:9" x14ac:dyDescent="0.2">
      <c r="A2045" s="1">
        <v>44779</v>
      </c>
      <c r="B2045">
        <v>12694</v>
      </c>
      <c r="C2045">
        <v>29087</v>
      </c>
      <c r="D2045">
        <v>13819</v>
      </c>
      <c r="E2045">
        <v>6972</v>
      </c>
      <c r="F2045">
        <v>81</v>
      </c>
      <c r="G2045" t="s">
        <v>20</v>
      </c>
      <c r="H2045" t="str">
        <f>IF(Grammys[[#This Row],[date]] &gt;= DATE(2022, 2, 1), "Grammys", "Grammys + TRA")</f>
        <v>Grammys</v>
      </c>
      <c r="I2045">
        <f>_xlfn.XLOOKUP(Grammys[[#This Row],[date]], mobile_visits[date], mobile_visits[mobile_visitors], 0)</f>
        <v>9409</v>
      </c>
    </row>
    <row r="2046" spans="1:9" x14ac:dyDescent="0.2">
      <c r="A2046" s="1">
        <v>44780</v>
      </c>
      <c r="B2046">
        <v>14196</v>
      </c>
      <c r="C2046">
        <v>33043</v>
      </c>
      <c r="D2046">
        <v>15174</v>
      </c>
      <c r="E2046">
        <v>7155</v>
      </c>
      <c r="F2046">
        <v>75</v>
      </c>
      <c r="G2046" t="s">
        <v>20</v>
      </c>
      <c r="H2046" t="str">
        <f>IF(Grammys[[#This Row],[date]] &gt;= DATE(2022, 2, 1), "Grammys", "Grammys + TRA")</f>
        <v>Grammys</v>
      </c>
      <c r="I2046">
        <f>_xlfn.XLOOKUP(Grammys[[#This Row],[date]], mobile_visits[date], mobile_visits[mobile_visitors], 0)</f>
        <v>10702</v>
      </c>
    </row>
    <row r="2047" spans="1:9" x14ac:dyDescent="0.2">
      <c r="A2047" s="1">
        <v>44781</v>
      </c>
      <c r="B2047">
        <v>15694</v>
      </c>
      <c r="C2047">
        <v>38040</v>
      </c>
      <c r="D2047">
        <v>16847</v>
      </c>
      <c r="E2047">
        <v>8050</v>
      </c>
      <c r="F2047">
        <v>81</v>
      </c>
      <c r="G2047" t="s">
        <v>20</v>
      </c>
      <c r="H2047" t="str">
        <f>IF(Grammys[[#This Row],[date]] &gt;= DATE(2022, 2, 1), "Grammys", "Grammys + TRA")</f>
        <v>Grammys</v>
      </c>
      <c r="I2047">
        <f>_xlfn.XLOOKUP(Grammys[[#This Row],[date]], mobile_visits[date], mobile_visits[mobile_visitors], 0)</f>
        <v>10088</v>
      </c>
    </row>
    <row r="2048" spans="1:9" x14ac:dyDescent="0.2">
      <c r="A2048" s="1">
        <v>44782</v>
      </c>
      <c r="B2048">
        <v>15516</v>
      </c>
      <c r="C2048">
        <v>37196</v>
      </c>
      <c r="D2048">
        <v>17068</v>
      </c>
      <c r="E2048">
        <v>8497</v>
      </c>
      <c r="F2048">
        <v>83</v>
      </c>
      <c r="G2048" t="s">
        <v>20</v>
      </c>
      <c r="H2048" t="str">
        <f>IF(Grammys[[#This Row],[date]] &gt;= DATE(2022, 2, 1), "Grammys", "Grammys + TRA")</f>
        <v>Grammys</v>
      </c>
      <c r="I2048">
        <f>_xlfn.XLOOKUP(Grammys[[#This Row],[date]], mobile_visits[date], mobile_visits[mobile_visitors], 0)</f>
        <v>10171</v>
      </c>
    </row>
    <row r="2049" spans="1:9" x14ac:dyDescent="0.2">
      <c r="A2049" s="1">
        <v>44783</v>
      </c>
      <c r="B2049">
        <v>12616</v>
      </c>
      <c r="C2049">
        <v>28181</v>
      </c>
      <c r="D2049">
        <v>13765</v>
      </c>
      <c r="E2049">
        <v>7135</v>
      </c>
      <c r="F2049">
        <v>91</v>
      </c>
      <c r="G2049" t="s">
        <v>20</v>
      </c>
      <c r="H2049" t="str">
        <f>IF(Grammys[[#This Row],[date]] &gt;= DATE(2022, 2, 1), "Grammys", "Grammys + TRA")</f>
        <v>Grammys</v>
      </c>
      <c r="I2049">
        <f>_xlfn.XLOOKUP(Grammys[[#This Row],[date]], mobile_visits[date], mobile_visits[mobile_visitors], 0)</f>
        <v>7844</v>
      </c>
    </row>
    <row r="2050" spans="1:9" x14ac:dyDescent="0.2">
      <c r="A2050" s="1">
        <v>44784</v>
      </c>
      <c r="B2050">
        <v>13488</v>
      </c>
      <c r="C2050">
        <v>29614</v>
      </c>
      <c r="D2050">
        <v>14667</v>
      </c>
      <c r="E2050">
        <v>7655</v>
      </c>
      <c r="F2050">
        <v>90</v>
      </c>
      <c r="G2050" t="s">
        <v>20</v>
      </c>
      <c r="H2050" t="str">
        <f>IF(Grammys[[#This Row],[date]] &gt;= DATE(2022, 2, 1), "Grammys", "Grammys + TRA")</f>
        <v>Grammys</v>
      </c>
      <c r="I2050">
        <f>_xlfn.XLOOKUP(Grammys[[#This Row],[date]], mobile_visits[date], mobile_visits[mobile_visitors], 0)</f>
        <v>8586</v>
      </c>
    </row>
    <row r="2051" spans="1:9" x14ac:dyDescent="0.2">
      <c r="A2051" s="1">
        <v>44785</v>
      </c>
      <c r="B2051">
        <v>16914</v>
      </c>
      <c r="C2051">
        <v>37303</v>
      </c>
      <c r="D2051">
        <v>18306</v>
      </c>
      <c r="E2051">
        <v>9415</v>
      </c>
      <c r="F2051">
        <v>85</v>
      </c>
      <c r="G2051" t="s">
        <v>20</v>
      </c>
      <c r="H2051" t="str">
        <f>IF(Grammys[[#This Row],[date]] &gt;= DATE(2022, 2, 1), "Grammys", "Grammys + TRA")</f>
        <v>Grammys</v>
      </c>
      <c r="I2051">
        <f>_xlfn.XLOOKUP(Grammys[[#This Row],[date]], mobile_visits[date], mobile_visits[mobile_visitors], 0)</f>
        <v>12142</v>
      </c>
    </row>
    <row r="2052" spans="1:9" x14ac:dyDescent="0.2">
      <c r="A2052" s="1">
        <v>44786</v>
      </c>
      <c r="B2052">
        <v>14944</v>
      </c>
      <c r="C2052">
        <v>34538</v>
      </c>
      <c r="D2052">
        <v>16161</v>
      </c>
      <c r="E2052">
        <v>8094</v>
      </c>
      <c r="F2052">
        <v>84</v>
      </c>
      <c r="G2052" t="s">
        <v>20</v>
      </c>
      <c r="H2052" t="str">
        <f>IF(Grammys[[#This Row],[date]] &gt;= DATE(2022, 2, 1), "Grammys", "Grammys + TRA")</f>
        <v>Grammys</v>
      </c>
      <c r="I2052">
        <f>_xlfn.XLOOKUP(Grammys[[#This Row],[date]], mobile_visits[date], mobile_visits[mobile_visitors], 0)</f>
        <v>10824</v>
      </c>
    </row>
    <row r="2053" spans="1:9" x14ac:dyDescent="0.2">
      <c r="A2053" s="1">
        <v>44787</v>
      </c>
      <c r="B2053">
        <v>13311</v>
      </c>
      <c r="C2053">
        <v>29417</v>
      </c>
      <c r="D2053">
        <v>14329</v>
      </c>
      <c r="E2053">
        <v>7278</v>
      </c>
      <c r="F2053">
        <v>74</v>
      </c>
      <c r="G2053" t="s">
        <v>20</v>
      </c>
      <c r="H2053" t="str">
        <f>IF(Grammys[[#This Row],[date]] &gt;= DATE(2022, 2, 1), "Grammys", "Grammys + TRA")</f>
        <v>Grammys</v>
      </c>
      <c r="I2053">
        <f>_xlfn.XLOOKUP(Grammys[[#This Row],[date]], mobile_visits[date], mobile_visits[mobile_visitors], 0)</f>
        <v>10521</v>
      </c>
    </row>
    <row r="2054" spans="1:9" x14ac:dyDescent="0.2">
      <c r="A2054" s="1">
        <v>44788</v>
      </c>
      <c r="B2054">
        <v>19371</v>
      </c>
      <c r="C2054">
        <v>43773</v>
      </c>
      <c r="D2054">
        <v>20777</v>
      </c>
      <c r="E2054">
        <v>9735</v>
      </c>
      <c r="F2054">
        <v>101</v>
      </c>
      <c r="G2054" t="s">
        <v>20</v>
      </c>
      <c r="H2054" t="str">
        <f>IF(Grammys[[#This Row],[date]] &gt;= DATE(2022, 2, 1), "Grammys", "Grammys + TRA")</f>
        <v>Grammys</v>
      </c>
      <c r="I2054">
        <f>_xlfn.XLOOKUP(Grammys[[#This Row],[date]], mobile_visits[date], mobile_visits[mobile_visitors], 0)</f>
        <v>14312</v>
      </c>
    </row>
    <row r="2055" spans="1:9" x14ac:dyDescent="0.2">
      <c r="A2055" s="1">
        <v>44789</v>
      </c>
      <c r="B2055">
        <v>15829</v>
      </c>
      <c r="C2055">
        <v>36501</v>
      </c>
      <c r="D2055">
        <v>17394</v>
      </c>
      <c r="E2055">
        <v>8584</v>
      </c>
      <c r="F2055">
        <v>94</v>
      </c>
      <c r="G2055" t="s">
        <v>20</v>
      </c>
      <c r="H2055" t="str">
        <f>IF(Grammys[[#This Row],[date]] &gt;= DATE(2022, 2, 1), "Grammys", "Grammys + TRA")</f>
        <v>Grammys</v>
      </c>
      <c r="I2055">
        <f>_xlfn.XLOOKUP(Grammys[[#This Row],[date]], mobile_visits[date], mobile_visits[mobile_visitors], 0)</f>
        <v>10770</v>
      </c>
    </row>
    <row r="2056" spans="1:9" x14ac:dyDescent="0.2">
      <c r="A2056" s="1">
        <v>44790</v>
      </c>
      <c r="B2056">
        <v>14771</v>
      </c>
      <c r="C2056">
        <v>33625</v>
      </c>
      <c r="D2056">
        <v>16333</v>
      </c>
      <c r="E2056">
        <v>8381</v>
      </c>
      <c r="F2056">
        <v>91</v>
      </c>
      <c r="G2056" t="s">
        <v>20</v>
      </c>
      <c r="H2056" t="str">
        <f>IF(Grammys[[#This Row],[date]] &gt;= DATE(2022, 2, 1), "Grammys", "Grammys + TRA")</f>
        <v>Grammys</v>
      </c>
      <c r="I2056">
        <f>_xlfn.XLOOKUP(Grammys[[#This Row],[date]], mobile_visits[date], mobile_visits[mobile_visitors], 0)</f>
        <v>9347</v>
      </c>
    </row>
    <row r="2057" spans="1:9" x14ac:dyDescent="0.2">
      <c r="A2057" s="1">
        <v>44791</v>
      </c>
      <c r="B2057">
        <v>14224</v>
      </c>
      <c r="C2057">
        <v>32375</v>
      </c>
      <c r="D2057">
        <v>15799</v>
      </c>
      <c r="E2057">
        <v>8194</v>
      </c>
      <c r="F2057">
        <v>85</v>
      </c>
      <c r="G2057" t="s">
        <v>20</v>
      </c>
      <c r="H2057" t="str">
        <f>IF(Grammys[[#This Row],[date]] &gt;= DATE(2022, 2, 1), "Grammys", "Grammys + TRA")</f>
        <v>Grammys</v>
      </c>
      <c r="I2057">
        <f>_xlfn.XLOOKUP(Grammys[[#This Row],[date]], mobile_visits[date], mobile_visits[mobile_visitors], 0)</f>
        <v>9270</v>
      </c>
    </row>
    <row r="2058" spans="1:9" x14ac:dyDescent="0.2">
      <c r="A2058" s="1">
        <v>44792</v>
      </c>
      <c r="B2058">
        <v>15151</v>
      </c>
      <c r="C2058">
        <v>33882</v>
      </c>
      <c r="D2058">
        <v>16484</v>
      </c>
      <c r="E2058">
        <v>8538</v>
      </c>
      <c r="F2058">
        <v>80</v>
      </c>
      <c r="G2058" t="s">
        <v>20</v>
      </c>
      <c r="H2058" t="str">
        <f>IF(Grammys[[#This Row],[date]] &gt;= DATE(2022, 2, 1), "Grammys", "Grammys + TRA")</f>
        <v>Grammys</v>
      </c>
      <c r="I2058">
        <f>_xlfn.XLOOKUP(Grammys[[#This Row],[date]], mobile_visits[date], mobile_visits[mobile_visitors], 0)</f>
        <v>10770</v>
      </c>
    </row>
    <row r="2059" spans="1:9" x14ac:dyDescent="0.2">
      <c r="A2059" s="1">
        <v>44793</v>
      </c>
      <c r="B2059">
        <v>13505</v>
      </c>
      <c r="C2059">
        <v>30359</v>
      </c>
      <c r="D2059">
        <v>14454</v>
      </c>
      <c r="E2059">
        <v>7514</v>
      </c>
      <c r="F2059">
        <v>73</v>
      </c>
      <c r="G2059" t="s">
        <v>20</v>
      </c>
      <c r="H2059" t="str">
        <f>IF(Grammys[[#This Row],[date]] &gt;= DATE(2022, 2, 1), "Grammys", "Grammys + TRA")</f>
        <v>Grammys</v>
      </c>
      <c r="I2059">
        <f>_xlfn.XLOOKUP(Grammys[[#This Row],[date]], mobile_visits[date], mobile_visits[mobile_visitors], 0)</f>
        <v>10141</v>
      </c>
    </row>
    <row r="2060" spans="1:9" x14ac:dyDescent="0.2">
      <c r="A2060" s="1">
        <v>44794</v>
      </c>
      <c r="B2060">
        <v>12725</v>
      </c>
      <c r="C2060">
        <v>29389</v>
      </c>
      <c r="D2060">
        <v>13832</v>
      </c>
      <c r="E2060">
        <v>7123</v>
      </c>
      <c r="F2060">
        <v>79</v>
      </c>
      <c r="G2060" t="s">
        <v>20</v>
      </c>
      <c r="H2060" t="str">
        <f>IF(Grammys[[#This Row],[date]] &gt;= DATE(2022, 2, 1), "Grammys", "Grammys + TRA")</f>
        <v>Grammys</v>
      </c>
      <c r="I2060">
        <f>_xlfn.XLOOKUP(Grammys[[#This Row],[date]], mobile_visits[date], mobile_visits[mobile_visitors], 0)</f>
        <v>8996</v>
      </c>
    </row>
    <row r="2061" spans="1:9" x14ac:dyDescent="0.2">
      <c r="A2061" s="1">
        <v>44795</v>
      </c>
      <c r="B2061">
        <v>14104</v>
      </c>
      <c r="C2061">
        <v>33078</v>
      </c>
      <c r="D2061">
        <v>15577</v>
      </c>
      <c r="E2061">
        <v>7605</v>
      </c>
      <c r="F2061">
        <v>91</v>
      </c>
      <c r="G2061" t="s">
        <v>20</v>
      </c>
      <c r="H2061" t="str">
        <f>IF(Grammys[[#This Row],[date]] &gt;= DATE(2022, 2, 1), "Grammys", "Grammys + TRA")</f>
        <v>Grammys</v>
      </c>
      <c r="I2061">
        <f>_xlfn.XLOOKUP(Grammys[[#This Row],[date]], mobile_visits[date], mobile_visits[mobile_visitors], 0)</f>
        <v>8941</v>
      </c>
    </row>
    <row r="2062" spans="1:9" x14ac:dyDescent="0.2">
      <c r="A2062" s="1">
        <v>44796</v>
      </c>
      <c r="B2062">
        <v>14076</v>
      </c>
      <c r="C2062">
        <v>30045</v>
      </c>
      <c r="D2062">
        <v>15732</v>
      </c>
      <c r="E2062">
        <v>9430</v>
      </c>
      <c r="F2062">
        <v>88</v>
      </c>
      <c r="G2062" t="s">
        <v>20</v>
      </c>
      <c r="H2062" t="str">
        <f>IF(Grammys[[#This Row],[date]] &gt;= DATE(2022, 2, 1), "Grammys", "Grammys + TRA")</f>
        <v>Grammys</v>
      </c>
      <c r="I2062">
        <f>_xlfn.XLOOKUP(Grammys[[#This Row],[date]], mobile_visits[date], mobile_visits[mobile_visitors], 0)</f>
        <v>8600</v>
      </c>
    </row>
    <row r="2063" spans="1:9" x14ac:dyDescent="0.2">
      <c r="A2063" s="1">
        <v>44797</v>
      </c>
      <c r="B2063">
        <v>23193</v>
      </c>
      <c r="C2063">
        <v>53721</v>
      </c>
      <c r="D2063">
        <v>25271</v>
      </c>
      <c r="E2063">
        <v>12896</v>
      </c>
      <c r="F2063">
        <v>121</v>
      </c>
      <c r="G2063" t="s">
        <v>20</v>
      </c>
      <c r="H2063" t="str">
        <f>IF(Grammys[[#This Row],[date]] &gt;= DATE(2022, 2, 1), "Grammys", "Grammys + TRA")</f>
        <v>Grammys</v>
      </c>
      <c r="I2063">
        <f>_xlfn.XLOOKUP(Grammys[[#This Row],[date]], mobile_visits[date], mobile_visits[mobile_visitors], 0)</f>
        <v>16935</v>
      </c>
    </row>
    <row r="2064" spans="1:9" x14ac:dyDescent="0.2">
      <c r="A2064" s="1">
        <v>44798</v>
      </c>
      <c r="B2064">
        <v>19653</v>
      </c>
      <c r="C2064">
        <v>44169</v>
      </c>
      <c r="D2064">
        <v>21482</v>
      </c>
      <c r="E2064">
        <v>11180</v>
      </c>
      <c r="F2064">
        <v>98</v>
      </c>
      <c r="G2064" t="s">
        <v>20</v>
      </c>
      <c r="H2064" t="str">
        <f>IF(Grammys[[#This Row],[date]] &gt;= DATE(2022, 2, 1), "Grammys", "Grammys + TRA")</f>
        <v>Grammys</v>
      </c>
      <c r="I2064">
        <f>_xlfn.XLOOKUP(Grammys[[#This Row],[date]], mobile_visits[date], mobile_visits[mobile_visitors], 0)</f>
        <v>13291</v>
      </c>
    </row>
    <row r="2065" spans="1:9" x14ac:dyDescent="0.2">
      <c r="A2065" s="1">
        <v>44799</v>
      </c>
      <c r="B2065">
        <v>18555</v>
      </c>
      <c r="C2065">
        <v>41191</v>
      </c>
      <c r="D2065">
        <v>20307</v>
      </c>
      <c r="E2065">
        <v>10375</v>
      </c>
      <c r="F2065">
        <v>98</v>
      </c>
      <c r="G2065" t="s">
        <v>20</v>
      </c>
      <c r="H2065" t="str">
        <f>IF(Grammys[[#This Row],[date]] &gt;= DATE(2022, 2, 1), "Grammys", "Grammys + TRA")</f>
        <v>Grammys</v>
      </c>
      <c r="I2065">
        <f>_xlfn.XLOOKUP(Grammys[[#This Row],[date]], mobile_visits[date], mobile_visits[mobile_visitors], 0)</f>
        <v>12975</v>
      </c>
    </row>
    <row r="2066" spans="1:9" x14ac:dyDescent="0.2">
      <c r="A2066" s="1">
        <v>44800</v>
      </c>
      <c r="B2066">
        <v>16368</v>
      </c>
      <c r="C2066">
        <v>37216</v>
      </c>
      <c r="D2066">
        <v>17866</v>
      </c>
      <c r="E2066">
        <v>9182</v>
      </c>
      <c r="F2066">
        <v>81</v>
      </c>
      <c r="G2066" t="s">
        <v>20</v>
      </c>
      <c r="H2066" t="str">
        <f>IF(Grammys[[#This Row],[date]] &gt;= DATE(2022, 2, 1), "Grammys", "Grammys + TRA")</f>
        <v>Grammys</v>
      </c>
      <c r="I2066">
        <f>_xlfn.XLOOKUP(Grammys[[#This Row],[date]], mobile_visits[date], mobile_visits[mobile_visitors], 0)</f>
        <v>12040</v>
      </c>
    </row>
    <row r="2067" spans="1:9" x14ac:dyDescent="0.2">
      <c r="A2067" s="1">
        <v>44801</v>
      </c>
      <c r="B2067">
        <v>18079</v>
      </c>
      <c r="C2067">
        <v>41662</v>
      </c>
      <c r="D2067">
        <v>19417</v>
      </c>
      <c r="E2067">
        <v>9655</v>
      </c>
      <c r="F2067">
        <v>77</v>
      </c>
      <c r="G2067" t="s">
        <v>20</v>
      </c>
      <c r="H2067" t="str">
        <f>IF(Grammys[[#This Row],[date]] &gt;= DATE(2022, 2, 1), "Grammys", "Grammys + TRA")</f>
        <v>Grammys</v>
      </c>
      <c r="I2067">
        <f>_xlfn.XLOOKUP(Grammys[[#This Row],[date]], mobile_visits[date], mobile_visits[mobile_visitors], 0)</f>
        <v>14455</v>
      </c>
    </row>
    <row r="2068" spans="1:9" x14ac:dyDescent="0.2">
      <c r="A2068" s="1">
        <v>44802</v>
      </c>
      <c r="B2068">
        <v>19023</v>
      </c>
      <c r="C2068">
        <v>45154</v>
      </c>
      <c r="D2068">
        <v>20832</v>
      </c>
      <c r="E2068">
        <v>10062</v>
      </c>
      <c r="F2068">
        <v>85</v>
      </c>
      <c r="G2068" t="s">
        <v>20</v>
      </c>
      <c r="H2068" t="str">
        <f>IF(Grammys[[#This Row],[date]] &gt;= DATE(2022, 2, 1), "Grammys", "Grammys + TRA")</f>
        <v>Grammys</v>
      </c>
      <c r="I2068">
        <f>_xlfn.XLOOKUP(Grammys[[#This Row],[date]], mobile_visits[date], mobile_visits[mobile_visitors], 0)</f>
        <v>12556</v>
      </c>
    </row>
    <row r="2069" spans="1:9" x14ac:dyDescent="0.2">
      <c r="A2069" s="1">
        <v>44803</v>
      </c>
      <c r="B2069">
        <v>16726</v>
      </c>
      <c r="C2069">
        <v>38697</v>
      </c>
      <c r="D2069">
        <v>18511</v>
      </c>
      <c r="E2069">
        <v>9158</v>
      </c>
      <c r="F2069">
        <v>92</v>
      </c>
      <c r="G2069" t="s">
        <v>20</v>
      </c>
      <c r="H2069" t="str">
        <f>IF(Grammys[[#This Row],[date]] &gt;= DATE(2022, 2, 1), "Grammys", "Grammys + TRA")</f>
        <v>Grammys</v>
      </c>
      <c r="I2069">
        <f>_xlfn.XLOOKUP(Grammys[[#This Row],[date]], mobile_visits[date], mobile_visits[mobile_visitors], 0)</f>
        <v>10963</v>
      </c>
    </row>
    <row r="2070" spans="1:9" x14ac:dyDescent="0.2">
      <c r="A2070" s="1">
        <v>44804</v>
      </c>
      <c r="B2070">
        <v>15906</v>
      </c>
      <c r="C2070">
        <v>35815</v>
      </c>
      <c r="D2070">
        <v>17452</v>
      </c>
      <c r="E2070">
        <v>8849</v>
      </c>
      <c r="F2070">
        <v>86</v>
      </c>
      <c r="G2070" t="s">
        <v>20</v>
      </c>
      <c r="H2070" t="str">
        <f>IF(Grammys[[#This Row],[date]] &gt;= DATE(2022, 2, 1), "Grammys", "Grammys + TRA")</f>
        <v>Grammys</v>
      </c>
      <c r="I2070">
        <f>_xlfn.XLOOKUP(Grammys[[#This Row],[date]], mobile_visits[date], mobile_visits[mobile_visitors], 0)</f>
        <v>9804</v>
      </c>
    </row>
    <row r="2071" spans="1:9" x14ac:dyDescent="0.2">
      <c r="A2071" s="1">
        <v>44805</v>
      </c>
      <c r="B2071">
        <v>14717</v>
      </c>
      <c r="C2071">
        <v>34183</v>
      </c>
      <c r="D2071">
        <v>16162</v>
      </c>
      <c r="E2071">
        <v>8348</v>
      </c>
      <c r="F2071">
        <v>84</v>
      </c>
      <c r="G2071" t="s">
        <v>20</v>
      </c>
      <c r="H2071" t="str">
        <f>IF(Grammys[[#This Row],[date]] &gt;= DATE(2022, 2, 1), "Grammys", "Grammys + TRA")</f>
        <v>Grammys</v>
      </c>
      <c r="I2071">
        <f>_xlfn.XLOOKUP(Grammys[[#This Row],[date]], mobile_visits[date], mobile_visits[mobile_visitors], 0)</f>
        <v>9398</v>
      </c>
    </row>
    <row r="2072" spans="1:9" x14ac:dyDescent="0.2">
      <c r="A2072" s="1">
        <v>44806</v>
      </c>
      <c r="B2072">
        <v>13537</v>
      </c>
      <c r="C2072">
        <v>32010</v>
      </c>
      <c r="D2072">
        <v>14926</v>
      </c>
      <c r="E2072">
        <v>7489</v>
      </c>
      <c r="F2072">
        <v>85</v>
      </c>
      <c r="G2072" t="s">
        <v>20</v>
      </c>
      <c r="H2072" t="str">
        <f>IF(Grammys[[#This Row],[date]] &gt;= DATE(2022, 2, 1), "Grammys", "Grammys + TRA")</f>
        <v>Grammys</v>
      </c>
      <c r="I2072">
        <f>_xlfn.XLOOKUP(Grammys[[#This Row],[date]], mobile_visits[date], mobile_visits[mobile_visitors], 0)</f>
        <v>9469</v>
      </c>
    </row>
    <row r="2073" spans="1:9" x14ac:dyDescent="0.2">
      <c r="A2073" s="1">
        <v>44807</v>
      </c>
      <c r="B2073">
        <v>12640</v>
      </c>
      <c r="C2073">
        <v>29167</v>
      </c>
      <c r="D2073">
        <v>13564</v>
      </c>
      <c r="E2073">
        <v>6712</v>
      </c>
      <c r="F2073">
        <v>84</v>
      </c>
      <c r="G2073" t="s">
        <v>20</v>
      </c>
      <c r="H2073" t="str">
        <f>IF(Grammys[[#This Row],[date]] &gt;= DATE(2022, 2, 1), "Grammys", "Grammys + TRA")</f>
        <v>Grammys</v>
      </c>
      <c r="I2073">
        <f>_xlfn.XLOOKUP(Grammys[[#This Row],[date]], mobile_visits[date], mobile_visits[mobile_visitors], 0)</f>
        <v>9615</v>
      </c>
    </row>
    <row r="2074" spans="1:9" x14ac:dyDescent="0.2">
      <c r="A2074" s="1">
        <v>44808</v>
      </c>
      <c r="B2074">
        <v>16173</v>
      </c>
      <c r="C2074">
        <v>38673</v>
      </c>
      <c r="D2074">
        <v>17332</v>
      </c>
      <c r="E2074">
        <v>7762</v>
      </c>
      <c r="F2074">
        <v>80</v>
      </c>
      <c r="G2074" t="s">
        <v>20</v>
      </c>
      <c r="H2074" t="str">
        <f>IF(Grammys[[#This Row],[date]] &gt;= DATE(2022, 2, 1), "Grammys", "Grammys + TRA")</f>
        <v>Grammys</v>
      </c>
      <c r="I2074">
        <f>_xlfn.XLOOKUP(Grammys[[#This Row],[date]], mobile_visits[date], mobile_visits[mobile_visitors], 0)</f>
        <v>12314</v>
      </c>
    </row>
    <row r="2075" spans="1:9" x14ac:dyDescent="0.2">
      <c r="A2075" s="1">
        <v>44809</v>
      </c>
      <c r="B2075">
        <v>14463</v>
      </c>
      <c r="C2075">
        <v>35491</v>
      </c>
      <c r="D2075">
        <v>15808</v>
      </c>
      <c r="E2075">
        <v>7609</v>
      </c>
      <c r="F2075">
        <v>88</v>
      </c>
      <c r="G2075" t="s">
        <v>20</v>
      </c>
      <c r="H2075" t="str">
        <f>IF(Grammys[[#This Row],[date]] &gt;= DATE(2022, 2, 1), "Grammys", "Grammys + TRA")</f>
        <v>Grammys</v>
      </c>
      <c r="I2075">
        <f>_xlfn.XLOOKUP(Grammys[[#This Row],[date]], mobile_visits[date], mobile_visits[mobile_visitors], 0)</f>
        <v>10552</v>
      </c>
    </row>
    <row r="2076" spans="1:9" x14ac:dyDescent="0.2">
      <c r="A2076" s="1">
        <v>44810</v>
      </c>
      <c r="B2076">
        <v>14006</v>
      </c>
      <c r="C2076">
        <v>33333</v>
      </c>
      <c r="D2076">
        <v>15649</v>
      </c>
      <c r="E2076">
        <v>7916</v>
      </c>
      <c r="F2076">
        <v>90</v>
      </c>
      <c r="G2076" t="s">
        <v>20</v>
      </c>
      <c r="H2076" t="str">
        <f>IF(Grammys[[#This Row],[date]] &gt;= DATE(2022, 2, 1), "Grammys", "Grammys + TRA")</f>
        <v>Grammys</v>
      </c>
      <c r="I2076">
        <f>_xlfn.XLOOKUP(Grammys[[#This Row],[date]], mobile_visits[date], mobile_visits[mobile_visitors], 0)</f>
        <v>7878</v>
      </c>
    </row>
    <row r="2077" spans="1:9" x14ac:dyDescent="0.2">
      <c r="A2077" s="1">
        <v>44811</v>
      </c>
      <c r="B2077">
        <v>13985</v>
      </c>
      <c r="C2077">
        <v>32380</v>
      </c>
      <c r="D2077">
        <v>15478</v>
      </c>
      <c r="E2077">
        <v>7972</v>
      </c>
      <c r="F2077">
        <v>84</v>
      </c>
      <c r="G2077" t="s">
        <v>20</v>
      </c>
      <c r="H2077" t="str">
        <f>IF(Grammys[[#This Row],[date]] &gt;= DATE(2022, 2, 1), "Grammys", "Grammys + TRA")</f>
        <v>Grammys</v>
      </c>
      <c r="I2077">
        <f>_xlfn.XLOOKUP(Grammys[[#This Row],[date]], mobile_visits[date], mobile_visits[mobile_visitors], 0)</f>
        <v>8822</v>
      </c>
    </row>
    <row r="2078" spans="1:9" x14ac:dyDescent="0.2">
      <c r="A2078" s="1">
        <v>44812</v>
      </c>
      <c r="B2078">
        <v>12302</v>
      </c>
      <c r="C2078">
        <v>28366</v>
      </c>
      <c r="D2078">
        <v>13848</v>
      </c>
      <c r="E2078">
        <v>7470</v>
      </c>
      <c r="F2078">
        <v>85</v>
      </c>
      <c r="G2078" t="s">
        <v>20</v>
      </c>
      <c r="H2078" t="str">
        <f>IF(Grammys[[#This Row],[date]] &gt;= DATE(2022, 2, 1), "Grammys", "Grammys + TRA")</f>
        <v>Grammys</v>
      </c>
      <c r="I2078">
        <f>_xlfn.XLOOKUP(Grammys[[#This Row],[date]], mobile_visits[date], mobile_visits[mobile_visitors], 0)</f>
        <v>8182</v>
      </c>
    </row>
    <row r="2079" spans="1:9" x14ac:dyDescent="0.2">
      <c r="A2079" s="1">
        <v>44813</v>
      </c>
      <c r="B2079">
        <v>13770</v>
      </c>
      <c r="C2079">
        <v>31668</v>
      </c>
      <c r="D2079">
        <v>15120</v>
      </c>
      <c r="E2079">
        <v>7837</v>
      </c>
      <c r="F2079">
        <v>86</v>
      </c>
      <c r="G2079" t="s">
        <v>20</v>
      </c>
      <c r="H2079" t="str">
        <f>IF(Grammys[[#This Row],[date]] &gt;= DATE(2022, 2, 1), "Grammys", "Grammys + TRA")</f>
        <v>Grammys</v>
      </c>
      <c r="I2079">
        <f>_xlfn.XLOOKUP(Grammys[[#This Row],[date]], mobile_visits[date], mobile_visits[mobile_visitors], 0)</f>
        <v>8529</v>
      </c>
    </row>
    <row r="2080" spans="1:9" x14ac:dyDescent="0.2">
      <c r="A2080" s="1">
        <v>44814</v>
      </c>
      <c r="B2080">
        <v>12699</v>
      </c>
      <c r="C2080">
        <v>29441</v>
      </c>
      <c r="D2080">
        <v>13744</v>
      </c>
      <c r="E2080">
        <v>6981</v>
      </c>
      <c r="F2080">
        <v>95</v>
      </c>
      <c r="G2080" t="s">
        <v>20</v>
      </c>
      <c r="H2080" t="str">
        <f>IF(Grammys[[#This Row],[date]] &gt;= DATE(2022, 2, 1), "Grammys", "Grammys + TRA")</f>
        <v>Grammys</v>
      </c>
      <c r="I2080">
        <f>_xlfn.XLOOKUP(Grammys[[#This Row],[date]], mobile_visits[date], mobile_visits[mobile_visitors], 0)</f>
        <v>9648</v>
      </c>
    </row>
    <row r="2081" spans="1:9" x14ac:dyDescent="0.2">
      <c r="A2081" s="1">
        <v>44815</v>
      </c>
      <c r="B2081">
        <v>12298</v>
      </c>
      <c r="C2081">
        <v>30299</v>
      </c>
      <c r="D2081">
        <v>13473</v>
      </c>
      <c r="E2081">
        <v>6531</v>
      </c>
      <c r="F2081">
        <v>94</v>
      </c>
      <c r="G2081" t="s">
        <v>20</v>
      </c>
      <c r="H2081" t="str">
        <f>IF(Grammys[[#This Row],[date]] &gt;= DATE(2022, 2, 1), "Grammys", "Grammys + TRA")</f>
        <v>Grammys</v>
      </c>
      <c r="I2081">
        <f>_xlfn.XLOOKUP(Grammys[[#This Row],[date]], mobile_visits[date], mobile_visits[mobile_visitors], 0)</f>
        <v>8152</v>
      </c>
    </row>
    <row r="2082" spans="1:9" x14ac:dyDescent="0.2">
      <c r="A2082" s="1">
        <v>44816</v>
      </c>
      <c r="B2082">
        <v>15940</v>
      </c>
      <c r="C2082">
        <v>36708</v>
      </c>
      <c r="D2082">
        <v>17339</v>
      </c>
      <c r="E2082">
        <v>9084</v>
      </c>
      <c r="F2082">
        <v>78</v>
      </c>
      <c r="G2082" t="s">
        <v>20</v>
      </c>
      <c r="H2082" t="str">
        <f>IF(Grammys[[#This Row],[date]] &gt;= DATE(2022, 2, 1), "Grammys", "Grammys + TRA")</f>
        <v>Grammys</v>
      </c>
      <c r="I2082">
        <f>_xlfn.XLOOKUP(Grammys[[#This Row],[date]], mobile_visits[date], mobile_visits[mobile_visitors], 0)</f>
        <v>9604</v>
      </c>
    </row>
    <row r="2083" spans="1:9" x14ac:dyDescent="0.2">
      <c r="A2083" s="1">
        <v>44817</v>
      </c>
      <c r="B2083">
        <v>17884</v>
      </c>
      <c r="C2083">
        <v>42043</v>
      </c>
      <c r="D2083">
        <v>19440</v>
      </c>
      <c r="E2083">
        <v>9860</v>
      </c>
      <c r="F2083">
        <v>75</v>
      </c>
      <c r="G2083" t="s">
        <v>20</v>
      </c>
      <c r="H2083" t="str">
        <f>IF(Grammys[[#This Row],[date]] &gt;= DATE(2022, 2, 1), "Grammys", "Grammys + TRA")</f>
        <v>Grammys</v>
      </c>
      <c r="I2083">
        <f>_xlfn.XLOOKUP(Grammys[[#This Row],[date]], mobile_visits[date], mobile_visits[mobile_visitors], 0)</f>
        <v>10922</v>
      </c>
    </row>
    <row r="2084" spans="1:9" x14ac:dyDescent="0.2">
      <c r="A2084" s="1">
        <v>44818</v>
      </c>
      <c r="B2084">
        <v>14750</v>
      </c>
      <c r="C2084">
        <v>33644</v>
      </c>
      <c r="D2084">
        <v>16105</v>
      </c>
      <c r="E2084">
        <v>8398</v>
      </c>
      <c r="F2084">
        <v>86</v>
      </c>
      <c r="G2084" t="s">
        <v>20</v>
      </c>
      <c r="H2084" t="str">
        <f>IF(Grammys[[#This Row],[date]] &gt;= DATE(2022, 2, 1), "Grammys", "Grammys + TRA")</f>
        <v>Grammys</v>
      </c>
      <c r="I2084">
        <f>_xlfn.XLOOKUP(Grammys[[#This Row],[date]], mobile_visits[date], mobile_visits[mobile_visitors], 0)</f>
        <v>8701</v>
      </c>
    </row>
    <row r="2085" spans="1:9" x14ac:dyDescent="0.2">
      <c r="A2085" s="1">
        <v>44819</v>
      </c>
      <c r="B2085">
        <v>15206</v>
      </c>
      <c r="C2085">
        <v>34872</v>
      </c>
      <c r="D2085">
        <v>17144</v>
      </c>
      <c r="E2085">
        <v>9075</v>
      </c>
      <c r="F2085">
        <v>86</v>
      </c>
      <c r="G2085" t="s">
        <v>20</v>
      </c>
      <c r="H2085" t="str">
        <f>IF(Grammys[[#This Row],[date]] &gt;= DATE(2022, 2, 1), "Grammys", "Grammys + TRA")</f>
        <v>Grammys</v>
      </c>
      <c r="I2085">
        <f>_xlfn.XLOOKUP(Grammys[[#This Row],[date]], mobile_visits[date], mobile_visits[mobile_visitors], 0)</f>
        <v>9365</v>
      </c>
    </row>
    <row r="2086" spans="1:9" x14ac:dyDescent="0.2">
      <c r="A2086" s="1">
        <v>44820</v>
      </c>
      <c r="B2086">
        <v>14188</v>
      </c>
      <c r="C2086">
        <v>32761</v>
      </c>
      <c r="D2086">
        <v>15767</v>
      </c>
      <c r="E2086">
        <v>8259</v>
      </c>
      <c r="F2086">
        <v>79</v>
      </c>
      <c r="G2086" t="s">
        <v>20</v>
      </c>
      <c r="H2086" t="str">
        <f>IF(Grammys[[#This Row],[date]] &gt;= DATE(2022, 2, 1), "Grammys", "Grammys + TRA")</f>
        <v>Grammys</v>
      </c>
      <c r="I2086">
        <f>_xlfn.XLOOKUP(Grammys[[#This Row],[date]], mobile_visits[date], mobile_visits[mobile_visitors], 0)</f>
        <v>9416</v>
      </c>
    </row>
    <row r="2087" spans="1:9" x14ac:dyDescent="0.2">
      <c r="A2087" s="1">
        <v>44821</v>
      </c>
      <c r="B2087">
        <v>13156</v>
      </c>
      <c r="C2087">
        <v>30360</v>
      </c>
      <c r="D2087">
        <v>14330</v>
      </c>
      <c r="E2087">
        <v>7005</v>
      </c>
      <c r="F2087">
        <v>82</v>
      </c>
      <c r="G2087" t="s">
        <v>20</v>
      </c>
      <c r="H2087" t="str">
        <f>IF(Grammys[[#This Row],[date]] &gt;= DATE(2022, 2, 1), "Grammys", "Grammys + TRA")</f>
        <v>Grammys</v>
      </c>
      <c r="I2087">
        <f>_xlfn.XLOOKUP(Grammys[[#This Row],[date]], mobile_visits[date], mobile_visits[mobile_visitors], 0)</f>
        <v>9792</v>
      </c>
    </row>
    <row r="2088" spans="1:9" x14ac:dyDescent="0.2">
      <c r="A2088" s="1">
        <v>44822</v>
      </c>
      <c r="B2088">
        <v>12928</v>
      </c>
      <c r="C2088">
        <v>30167</v>
      </c>
      <c r="D2088">
        <v>13997</v>
      </c>
      <c r="E2088">
        <v>6832</v>
      </c>
      <c r="F2088">
        <v>75</v>
      </c>
      <c r="G2088" t="s">
        <v>20</v>
      </c>
      <c r="H2088" t="str">
        <f>IF(Grammys[[#This Row],[date]] &gt;= DATE(2022, 2, 1), "Grammys", "Grammys + TRA")</f>
        <v>Grammys</v>
      </c>
      <c r="I2088">
        <f>_xlfn.XLOOKUP(Grammys[[#This Row],[date]], mobile_visits[date], mobile_visits[mobile_visitors], 0)</f>
        <v>9434</v>
      </c>
    </row>
    <row r="2089" spans="1:9" x14ac:dyDescent="0.2">
      <c r="A2089" s="1">
        <v>44823</v>
      </c>
      <c r="B2089">
        <v>15726</v>
      </c>
      <c r="C2089">
        <v>35402</v>
      </c>
      <c r="D2089">
        <v>17245</v>
      </c>
      <c r="E2089">
        <v>8664</v>
      </c>
      <c r="F2089">
        <v>83</v>
      </c>
      <c r="G2089" t="s">
        <v>20</v>
      </c>
      <c r="H2089" t="str">
        <f>IF(Grammys[[#This Row],[date]] &gt;= DATE(2022, 2, 1), "Grammys", "Grammys + TRA")</f>
        <v>Grammys</v>
      </c>
      <c r="I2089">
        <f>_xlfn.XLOOKUP(Grammys[[#This Row],[date]], mobile_visits[date], mobile_visits[mobile_visitors], 0)</f>
        <v>10224</v>
      </c>
    </row>
    <row r="2090" spans="1:9" x14ac:dyDescent="0.2">
      <c r="A2090" s="1">
        <v>44824</v>
      </c>
      <c r="B2090">
        <v>28219</v>
      </c>
      <c r="C2090">
        <v>74195</v>
      </c>
      <c r="D2090">
        <v>31193</v>
      </c>
      <c r="E2090">
        <v>12952</v>
      </c>
      <c r="F2090">
        <v>87</v>
      </c>
      <c r="G2090" t="s">
        <v>20</v>
      </c>
      <c r="H2090" t="str">
        <f>IF(Grammys[[#This Row],[date]] &gt;= DATE(2022, 2, 1), "Grammys", "Grammys + TRA")</f>
        <v>Grammys</v>
      </c>
      <c r="I2090">
        <f>_xlfn.XLOOKUP(Grammys[[#This Row],[date]], mobile_visits[date], mobile_visits[mobile_visitors], 0)</f>
        <v>20136</v>
      </c>
    </row>
    <row r="2091" spans="1:9" x14ac:dyDescent="0.2">
      <c r="A2091" s="1">
        <v>44825</v>
      </c>
      <c r="B2091">
        <v>22555</v>
      </c>
      <c r="C2091">
        <v>59741</v>
      </c>
      <c r="D2091">
        <v>25163</v>
      </c>
      <c r="E2091">
        <v>11445</v>
      </c>
      <c r="F2091">
        <v>87</v>
      </c>
      <c r="G2091" t="s">
        <v>20</v>
      </c>
      <c r="H2091" t="str">
        <f>IF(Grammys[[#This Row],[date]] &gt;= DATE(2022, 2, 1), "Grammys", "Grammys + TRA")</f>
        <v>Grammys</v>
      </c>
      <c r="I2091">
        <f>_xlfn.XLOOKUP(Grammys[[#This Row],[date]], mobile_visits[date], mobile_visits[mobile_visitors], 0)</f>
        <v>15984</v>
      </c>
    </row>
    <row r="2092" spans="1:9" x14ac:dyDescent="0.2">
      <c r="A2092" s="1">
        <v>44826</v>
      </c>
      <c r="B2092">
        <v>17196</v>
      </c>
      <c r="C2092">
        <v>42621</v>
      </c>
      <c r="D2092">
        <v>19107</v>
      </c>
      <c r="E2092">
        <v>9181</v>
      </c>
      <c r="F2092">
        <v>87</v>
      </c>
      <c r="G2092" t="s">
        <v>20</v>
      </c>
      <c r="H2092" t="str">
        <f>IF(Grammys[[#This Row],[date]] &gt;= DATE(2022, 2, 1), "Grammys", "Grammys + TRA")</f>
        <v>Grammys</v>
      </c>
      <c r="I2092">
        <f>_xlfn.XLOOKUP(Grammys[[#This Row],[date]], mobile_visits[date], mobile_visits[mobile_visitors], 0)</f>
        <v>11225</v>
      </c>
    </row>
    <row r="2093" spans="1:9" x14ac:dyDescent="0.2">
      <c r="A2093" s="1">
        <v>44827</v>
      </c>
      <c r="B2093">
        <v>15413</v>
      </c>
      <c r="C2093">
        <v>37637</v>
      </c>
      <c r="D2093">
        <v>17088</v>
      </c>
      <c r="E2093">
        <v>8473</v>
      </c>
      <c r="F2093">
        <v>99</v>
      </c>
      <c r="G2093" t="s">
        <v>20</v>
      </c>
      <c r="H2093" t="str">
        <f>IF(Grammys[[#This Row],[date]] &gt;= DATE(2022, 2, 1), "Grammys", "Grammys + TRA")</f>
        <v>Grammys</v>
      </c>
      <c r="I2093">
        <f>_xlfn.XLOOKUP(Grammys[[#This Row],[date]], mobile_visits[date], mobile_visits[mobile_visitors], 0)</f>
        <v>10328</v>
      </c>
    </row>
    <row r="2094" spans="1:9" x14ac:dyDescent="0.2">
      <c r="A2094" s="1">
        <v>44828</v>
      </c>
      <c r="B2094">
        <v>20170</v>
      </c>
      <c r="C2094">
        <v>46625</v>
      </c>
      <c r="D2094">
        <v>21667</v>
      </c>
      <c r="E2094">
        <v>9829</v>
      </c>
      <c r="F2094">
        <v>90</v>
      </c>
      <c r="G2094" t="s">
        <v>20</v>
      </c>
      <c r="H2094" t="str">
        <f>IF(Grammys[[#This Row],[date]] &gt;= DATE(2022, 2, 1), "Grammys", "Grammys + TRA")</f>
        <v>Grammys</v>
      </c>
      <c r="I2094">
        <f>_xlfn.XLOOKUP(Grammys[[#This Row],[date]], mobile_visits[date], mobile_visits[mobile_visitors], 0)</f>
        <v>14799</v>
      </c>
    </row>
    <row r="2095" spans="1:9" x14ac:dyDescent="0.2">
      <c r="A2095" s="1">
        <v>44829</v>
      </c>
      <c r="B2095">
        <v>23476</v>
      </c>
      <c r="C2095">
        <v>53094</v>
      </c>
      <c r="D2095">
        <v>25057</v>
      </c>
      <c r="E2095">
        <v>11604</v>
      </c>
      <c r="F2095">
        <v>91</v>
      </c>
      <c r="G2095" t="s">
        <v>20</v>
      </c>
      <c r="H2095" t="str">
        <f>IF(Grammys[[#This Row],[date]] &gt;= DATE(2022, 2, 1), "Grammys", "Grammys + TRA")</f>
        <v>Grammys</v>
      </c>
      <c r="I2095">
        <f>_xlfn.XLOOKUP(Grammys[[#This Row],[date]], mobile_visits[date], mobile_visits[mobile_visitors], 0)</f>
        <v>17766</v>
      </c>
    </row>
    <row r="2096" spans="1:9" x14ac:dyDescent="0.2">
      <c r="A2096" s="1">
        <v>44830</v>
      </c>
      <c r="B2096">
        <v>23366</v>
      </c>
      <c r="C2096">
        <v>51900</v>
      </c>
      <c r="D2096">
        <v>25167</v>
      </c>
      <c r="E2096">
        <v>12894</v>
      </c>
      <c r="F2096">
        <v>91</v>
      </c>
      <c r="G2096" t="s">
        <v>20</v>
      </c>
      <c r="H2096" t="str">
        <f>IF(Grammys[[#This Row],[date]] &gt;= DATE(2022, 2, 1), "Grammys", "Grammys + TRA")</f>
        <v>Grammys</v>
      </c>
      <c r="I2096">
        <f>_xlfn.XLOOKUP(Grammys[[#This Row],[date]], mobile_visits[date], mobile_visits[mobile_visitors], 0)</f>
        <v>16404</v>
      </c>
    </row>
    <row r="2097" spans="1:9" x14ac:dyDescent="0.2">
      <c r="A2097" s="1">
        <v>44831</v>
      </c>
      <c r="B2097">
        <v>19241</v>
      </c>
      <c r="C2097">
        <v>44098</v>
      </c>
      <c r="D2097">
        <v>21410</v>
      </c>
      <c r="E2097">
        <v>11018</v>
      </c>
      <c r="F2097">
        <v>91</v>
      </c>
      <c r="G2097" t="s">
        <v>20</v>
      </c>
      <c r="H2097" t="str">
        <f>IF(Grammys[[#This Row],[date]] &gt;= DATE(2022, 2, 1), "Grammys", "Grammys + TRA")</f>
        <v>Grammys</v>
      </c>
      <c r="I2097">
        <f>_xlfn.XLOOKUP(Grammys[[#This Row],[date]], mobile_visits[date], mobile_visits[mobile_visitors], 0)</f>
        <v>13765</v>
      </c>
    </row>
    <row r="2098" spans="1:9" x14ac:dyDescent="0.2">
      <c r="A2098" s="1">
        <v>44832</v>
      </c>
      <c r="B2098">
        <v>17284</v>
      </c>
      <c r="C2098">
        <v>39640</v>
      </c>
      <c r="D2098">
        <v>19179</v>
      </c>
      <c r="E2098">
        <v>10014</v>
      </c>
      <c r="F2098">
        <v>88</v>
      </c>
      <c r="G2098" t="s">
        <v>20</v>
      </c>
      <c r="H2098" t="str">
        <f>IF(Grammys[[#This Row],[date]] &gt;= DATE(2022, 2, 1), "Grammys", "Grammys + TRA")</f>
        <v>Grammys</v>
      </c>
      <c r="I2098">
        <f>_xlfn.XLOOKUP(Grammys[[#This Row],[date]], mobile_visits[date], mobile_visits[mobile_visitors], 0)</f>
        <v>11078</v>
      </c>
    </row>
    <row r="2099" spans="1:9" x14ac:dyDescent="0.2">
      <c r="A2099" s="1">
        <v>44833</v>
      </c>
      <c r="B2099">
        <v>16730</v>
      </c>
      <c r="C2099">
        <v>39594</v>
      </c>
      <c r="D2099">
        <v>18873</v>
      </c>
      <c r="E2099">
        <v>9769</v>
      </c>
      <c r="F2099">
        <v>86</v>
      </c>
      <c r="G2099" t="s">
        <v>20</v>
      </c>
      <c r="H2099" t="str">
        <f>IF(Grammys[[#This Row],[date]] &gt;= DATE(2022, 2, 1), "Grammys", "Grammys + TRA")</f>
        <v>Grammys</v>
      </c>
      <c r="I2099">
        <f>_xlfn.XLOOKUP(Grammys[[#This Row],[date]], mobile_visits[date], mobile_visits[mobile_visitors], 0)</f>
        <v>10707</v>
      </c>
    </row>
    <row r="2100" spans="1:9" x14ac:dyDescent="0.2">
      <c r="A2100" s="1">
        <v>44834</v>
      </c>
      <c r="B2100">
        <v>15226</v>
      </c>
      <c r="C2100">
        <v>35978</v>
      </c>
      <c r="D2100">
        <v>17018</v>
      </c>
      <c r="E2100">
        <v>8766</v>
      </c>
      <c r="F2100">
        <v>87</v>
      </c>
      <c r="G2100" t="s">
        <v>20</v>
      </c>
      <c r="H2100" t="str">
        <f>IF(Grammys[[#This Row],[date]] &gt;= DATE(2022, 2, 1), "Grammys", "Grammys + TRA")</f>
        <v>Grammys</v>
      </c>
      <c r="I2100">
        <f>_xlfn.XLOOKUP(Grammys[[#This Row],[date]], mobile_visits[date], mobile_visits[mobile_visitors], 0)</f>
        <v>9724</v>
      </c>
    </row>
    <row r="2101" spans="1:9" x14ac:dyDescent="0.2">
      <c r="A2101" s="1">
        <v>44835</v>
      </c>
      <c r="B2101">
        <v>13580</v>
      </c>
      <c r="C2101">
        <v>31322</v>
      </c>
      <c r="D2101">
        <v>14808</v>
      </c>
      <c r="E2101">
        <v>7458</v>
      </c>
      <c r="F2101">
        <v>74</v>
      </c>
      <c r="G2101" t="s">
        <v>20</v>
      </c>
      <c r="H2101" t="str">
        <f>IF(Grammys[[#This Row],[date]] &gt;= DATE(2022, 2, 1), "Grammys", "Grammys + TRA")</f>
        <v>Grammys</v>
      </c>
      <c r="I2101">
        <f>_xlfn.XLOOKUP(Grammys[[#This Row],[date]], mobile_visits[date], mobile_visits[mobile_visitors], 0)</f>
        <v>10555</v>
      </c>
    </row>
    <row r="2102" spans="1:9" x14ac:dyDescent="0.2">
      <c r="A2102" s="1">
        <v>44836</v>
      </c>
      <c r="B2102">
        <v>15936</v>
      </c>
      <c r="C2102">
        <v>37142</v>
      </c>
      <c r="D2102">
        <v>17322</v>
      </c>
      <c r="E2102">
        <v>8779</v>
      </c>
      <c r="F2102">
        <v>75</v>
      </c>
      <c r="G2102" t="s">
        <v>20</v>
      </c>
      <c r="H2102" t="str">
        <f>IF(Grammys[[#This Row],[date]] &gt;= DATE(2022, 2, 1), "Grammys", "Grammys + TRA")</f>
        <v>Grammys</v>
      </c>
      <c r="I2102">
        <f>_xlfn.XLOOKUP(Grammys[[#This Row],[date]], mobile_visits[date], mobile_visits[mobile_visitors], 0)</f>
        <v>12155</v>
      </c>
    </row>
    <row r="2103" spans="1:9" x14ac:dyDescent="0.2">
      <c r="A2103" s="1">
        <v>44837</v>
      </c>
      <c r="B2103">
        <v>15386</v>
      </c>
      <c r="C2103">
        <v>38577</v>
      </c>
      <c r="D2103">
        <v>17163</v>
      </c>
      <c r="E2103">
        <v>8520</v>
      </c>
      <c r="F2103">
        <v>88</v>
      </c>
      <c r="G2103" t="s">
        <v>20</v>
      </c>
      <c r="H2103" t="str">
        <f>IF(Grammys[[#This Row],[date]] &gt;= DATE(2022, 2, 1), "Grammys", "Grammys + TRA")</f>
        <v>Grammys</v>
      </c>
      <c r="I2103">
        <f>_xlfn.XLOOKUP(Grammys[[#This Row],[date]], mobile_visits[date], mobile_visits[mobile_visitors], 0)</f>
        <v>9310</v>
      </c>
    </row>
    <row r="2104" spans="1:9" x14ac:dyDescent="0.2">
      <c r="A2104" s="1">
        <v>44838</v>
      </c>
      <c r="B2104">
        <v>16843</v>
      </c>
      <c r="C2104">
        <v>39832</v>
      </c>
      <c r="D2104">
        <v>18769</v>
      </c>
      <c r="E2104">
        <v>9781</v>
      </c>
      <c r="F2104">
        <v>95</v>
      </c>
      <c r="G2104" t="s">
        <v>20</v>
      </c>
      <c r="H2104" t="str">
        <f>IF(Grammys[[#This Row],[date]] &gt;= DATE(2022, 2, 1), "Grammys", "Grammys + TRA")</f>
        <v>Grammys</v>
      </c>
      <c r="I2104">
        <f>_xlfn.XLOOKUP(Grammys[[#This Row],[date]], mobile_visits[date], mobile_visits[mobile_visitors], 0)</f>
        <v>10402</v>
      </c>
    </row>
    <row r="2105" spans="1:9" x14ac:dyDescent="0.2">
      <c r="A2105" s="1">
        <v>44839</v>
      </c>
      <c r="B2105">
        <v>16405</v>
      </c>
      <c r="C2105">
        <v>38588</v>
      </c>
      <c r="D2105">
        <v>18026</v>
      </c>
      <c r="E2105">
        <v>9098</v>
      </c>
      <c r="F2105">
        <v>94</v>
      </c>
      <c r="G2105" t="s">
        <v>20</v>
      </c>
      <c r="H2105" t="str">
        <f>IF(Grammys[[#This Row],[date]] &gt;= DATE(2022, 2, 1), "Grammys", "Grammys + TRA")</f>
        <v>Grammys</v>
      </c>
      <c r="I2105">
        <f>_xlfn.XLOOKUP(Grammys[[#This Row],[date]], mobile_visits[date], mobile_visits[mobile_visitors], 0)</f>
        <v>10434</v>
      </c>
    </row>
    <row r="2106" spans="1:9" x14ac:dyDescent="0.2">
      <c r="A2106" s="1">
        <v>44840</v>
      </c>
      <c r="B2106">
        <v>24494</v>
      </c>
      <c r="C2106">
        <v>55519</v>
      </c>
      <c r="D2106">
        <v>27301</v>
      </c>
      <c r="E2106">
        <v>14246</v>
      </c>
      <c r="F2106">
        <v>118</v>
      </c>
      <c r="G2106" t="s">
        <v>20</v>
      </c>
      <c r="H2106" t="str">
        <f>IF(Grammys[[#This Row],[date]] &gt;= DATE(2022, 2, 1), "Grammys", "Grammys + TRA")</f>
        <v>Grammys</v>
      </c>
      <c r="I2106">
        <f>_xlfn.XLOOKUP(Grammys[[#This Row],[date]], mobile_visits[date], mobile_visits[mobile_visitors], 0)</f>
        <v>17845</v>
      </c>
    </row>
    <row r="2107" spans="1:9" x14ac:dyDescent="0.2">
      <c r="A2107" s="1">
        <v>44841</v>
      </c>
      <c r="B2107">
        <v>20492</v>
      </c>
      <c r="C2107">
        <v>47255</v>
      </c>
      <c r="D2107">
        <v>22916</v>
      </c>
      <c r="E2107">
        <v>11903</v>
      </c>
      <c r="F2107">
        <v>107</v>
      </c>
      <c r="G2107" t="s">
        <v>20</v>
      </c>
      <c r="H2107" t="str">
        <f>IF(Grammys[[#This Row],[date]] &gt;= DATE(2022, 2, 1), "Grammys", "Grammys + TRA")</f>
        <v>Grammys</v>
      </c>
      <c r="I2107">
        <f>_xlfn.XLOOKUP(Grammys[[#This Row],[date]], mobile_visits[date], mobile_visits[mobile_visitors], 0)</f>
        <v>14651</v>
      </c>
    </row>
    <row r="2108" spans="1:9" x14ac:dyDescent="0.2">
      <c r="A2108" s="1">
        <v>44842</v>
      </c>
      <c r="B2108">
        <v>17795</v>
      </c>
      <c r="C2108">
        <v>40562</v>
      </c>
      <c r="D2108">
        <v>19528</v>
      </c>
      <c r="E2108">
        <v>9868</v>
      </c>
      <c r="F2108">
        <v>100</v>
      </c>
      <c r="G2108" t="s">
        <v>20</v>
      </c>
      <c r="H2108" t="str">
        <f>IF(Grammys[[#This Row],[date]] &gt;= DATE(2022, 2, 1), "Grammys", "Grammys + TRA")</f>
        <v>Grammys</v>
      </c>
      <c r="I2108">
        <f>_xlfn.XLOOKUP(Grammys[[#This Row],[date]], mobile_visits[date], mobile_visits[mobile_visitors], 0)</f>
        <v>14275</v>
      </c>
    </row>
    <row r="2109" spans="1:9" x14ac:dyDescent="0.2">
      <c r="A2109" s="1">
        <v>44843</v>
      </c>
      <c r="B2109">
        <v>18533</v>
      </c>
      <c r="C2109">
        <v>41338</v>
      </c>
      <c r="D2109">
        <v>20331</v>
      </c>
      <c r="E2109">
        <v>10493</v>
      </c>
      <c r="F2109">
        <v>102</v>
      </c>
      <c r="G2109" t="s">
        <v>20</v>
      </c>
      <c r="H2109" t="str">
        <f>IF(Grammys[[#This Row],[date]] &gt;= DATE(2022, 2, 1), "Grammys", "Grammys + TRA")</f>
        <v>Grammys</v>
      </c>
      <c r="I2109">
        <f>_xlfn.XLOOKUP(Grammys[[#This Row],[date]], mobile_visits[date], mobile_visits[mobile_visitors], 0)</f>
        <v>14935</v>
      </c>
    </row>
    <row r="2110" spans="1:9" x14ac:dyDescent="0.2">
      <c r="A2110" s="1">
        <v>44844</v>
      </c>
      <c r="B2110">
        <v>19853</v>
      </c>
      <c r="C2110">
        <v>47122</v>
      </c>
      <c r="D2110">
        <v>22109</v>
      </c>
      <c r="E2110">
        <v>10887</v>
      </c>
      <c r="F2110">
        <v>110</v>
      </c>
      <c r="G2110" t="s">
        <v>20</v>
      </c>
      <c r="H2110" t="str">
        <f>IF(Grammys[[#This Row],[date]] &gt;= DATE(2022, 2, 1), "Grammys", "Grammys + TRA")</f>
        <v>Grammys</v>
      </c>
      <c r="I2110">
        <f>_xlfn.XLOOKUP(Grammys[[#This Row],[date]], mobile_visits[date], mobile_visits[mobile_visitors], 0)</f>
        <v>14169</v>
      </c>
    </row>
    <row r="2111" spans="1:9" x14ac:dyDescent="0.2">
      <c r="A2111" s="1">
        <v>44845</v>
      </c>
      <c r="B2111">
        <v>35630</v>
      </c>
      <c r="C2111">
        <v>83584</v>
      </c>
      <c r="D2111">
        <v>39432</v>
      </c>
      <c r="E2111">
        <v>19267</v>
      </c>
      <c r="F2111">
        <v>133</v>
      </c>
      <c r="G2111" t="s">
        <v>20</v>
      </c>
      <c r="H2111" t="str">
        <f>IF(Grammys[[#This Row],[date]] &gt;= DATE(2022, 2, 1), "Grammys", "Grammys + TRA")</f>
        <v>Grammys</v>
      </c>
      <c r="I2111">
        <f>_xlfn.XLOOKUP(Grammys[[#This Row],[date]], mobile_visits[date], mobile_visits[mobile_visitors], 0)</f>
        <v>27234</v>
      </c>
    </row>
    <row r="2112" spans="1:9" x14ac:dyDescent="0.2">
      <c r="A2112" s="1">
        <v>44846</v>
      </c>
      <c r="B2112">
        <v>24908</v>
      </c>
      <c r="C2112">
        <v>59672</v>
      </c>
      <c r="D2112">
        <v>28137</v>
      </c>
      <c r="E2112">
        <v>13931</v>
      </c>
      <c r="F2112">
        <v>124</v>
      </c>
      <c r="G2112" t="s">
        <v>20</v>
      </c>
      <c r="H2112" t="str">
        <f>IF(Grammys[[#This Row],[date]] &gt;= DATE(2022, 2, 1), "Grammys", "Grammys + TRA")</f>
        <v>Grammys</v>
      </c>
      <c r="I2112">
        <f>_xlfn.XLOOKUP(Grammys[[#This Row],[date]], mobile_visits[date], mobile_visits[mobile_visitors], 0)</f>
        <v>18076</v>
      </c>
    </row>
    <row r="2113" spans="1:9" x14ac:dyDescent="0.2">
      <c r="A2113" s="1">
        <v>44847</v>
      </c>
      <c r="B2113">
        <v>51723</v>
      </c>
      <c r="C2113">
        <v>141745</v>
      </c>
      <c r="D2113">
        <v>57104</v>
      </c>
      <c r="E2113">
        <v>21991</v>
      </c>
      <c r="F2113">
        <v>114</v>
      </c>
      <c r="G2113" t="s">
        <v>20</v>
      </c>
      <c r="H2113" t="str">
        <f>IF(Grammys[[#This Row],[date]] &gt;= DATE(2022, 2, 1), "Grammys", "Grammys + TRA")</f>
        <v>Grammys</v>
      </c>
      <c r="I2113">
        <f>_xlfn.XLOOKUP(Grammys[[#This Row],[date]], mobile_visits[date], mobile_visits[mobile_visitors], 0)</f>
        <v>42179</v>
      </c>
    </row>
    <row r="2114" spans="1:9" x14ac:dyDescent="0.2">
      <c r="A2114" s="1">
        <v>44848</v>
      </c>
      <c r="B2114">
        <v>48989</v>
      </c>
      <c r="C2114">
        <v>143591</v>
      </c>
      <c r="D2114">
        <v>53532</v>
      </c>
      <c r="E2114">
        <v>19320</v>
      </c>
      <c r="F2114">
        <v>94</v>
      </c>
      <c r="G2114" t="s">
        <v>20</v>
      </c>
      <c r="H2114" t="str">
        <f>IF(Grammys[[#This Row],[date]] &gt;= DATE(2022, 2, 1), "Grammys", "Grammys + TRA")</f>
        <v>Grammys</v>
      </c>
      <c r="I2114">
        <f>_xlfn.XLOOKUP(Grammys[[#This Row],[date]], mobile_visits[date], mobile_visits[mobile_visitors], 0)</f>
        <v>40045</v>
      </c>
    </row>
    <row r="2115" spans="1:9" x14ac:dyDescent="0.2">
      <c r="A2115" s="1">
        <v>44849</v>
      </c>
      <c r="B2115">
        <v>23796</v>
      </c>
      <c r="C2115">
        <v>66405</v>
      </c>
      <c r="D2115">
        <v>25691</v>
      </c>
      <c r="E2115">
        <v>9876</v>
      </c>
      <c r="F2115">
        <v>66</v>
      </c>
      <c r="G2115" t="s">
        <v>20</v>
      </c>
      <c r="H2115" t="str">
        <f>IF(Grammys[[#This Row],[date]] &gt;= DATE(2022, 2, 1), "Grammys", "Grammys + TRA")</f>
        <v>Grammys</v>
      </c>
      <c r="I2115">
        <f>_xlfn.XLOOKUP(Grammys[[#This Row],[date]], mobile_visits[date], mobile_visits[mobile_visitors], 0)</f>
        <v>19155</v>
      </c>
    </row>
    <row r="2116" spans="1:9" x14ac:dyDescent="0.2">
      <c r="A2116" s="1">
        <v>44850</v>
      </c>
      <c r="B2116">
        <v>19642</v>
      </c>
      <c r="C2116">
        <v>52203</v>
      </c>
      <c r="D2116">
        <v>21007</v>
      </c>
      <c r="E2116">
        <v>8401</v>
      </c>
      <c r="F2116">
        <v>69</v>
      </c>
      <c r="G2116" t="s">
        <v>20</v>
      </c>
      <c r="H2116" t="str">
        <f>IF(Grammys[[#This Row],[date]] &gt;= DATE(2022, 2, 1), "Grammys", "Grammys + TRA")</f>
        <v>Grammys</v>
      </c>
      <c r="I2116">
        <f>_xlfn.XLOOKUP(Grammys[[#This Row],[date]], mobile_visits[date], mobile_visits[mobile_visitors], 0)</f>
        <v>14896</v>
      </c>
    </row>
    <row r="2117" spans="1:9" x14ac:dyDescent="0.2">
      <c r="A2117" s="1">
        <v>44851</v>
      </c>
      <c r="B2117">
        <v>21736</v>
      </c>
      <c r="C2117">
        <v>58032</v>
      </c>
      <c r="D2117">
        <v>23358</v>
      </c>
      <c r="E2117">
        <v>9341</v>
      </c>
      <c r="F2117">
        <v>71</v>
      </c>
      <c r="G2117" t="s">
        <v>20</v>
      </c>
      <c r="H2117" t="str">
        <f>IF(Grammys[[#This Row],[date]] &gt;= DATE(2022, 2, 1), "Grammys", "Grammys + TRA")</f>
        <v>Grammys</v>
      </c>
      <c r="I2117">
        <f>_xlfn.XLOOKUP(Grammys[[#This Row],[date]], mobile_visits[date], mobile_visits[mobile_visitors], 0)</f>
        <v>15400</v>
      </c>
    </row>
    <row r="2118" spans="1:9" x14ac:dyDescent="0.2">
      <c r="A2118" s="1">
        <v>44852</v>
      </c>
      <c r="B2118">
        <v>20802</v>
      </c>
      <c r="C2118">
        <v>54669</v>
      </c>
      <c r="D2118">
        <v>22518</v>
      </c>
      <c r="E2118">
        <v>9235</v>
      </c>
      <c r="F2118">
        <v>70</v>
      </c>
      <c r="G2118" t="s">
        <v>20</v>
      </c>
      <c r="H2118" t="str">
        <f>IF(Grammys[[#This Row],[date]] &gt;= DATE(2022, 2, 1), "Grammys", "Grammys + TRA")</f>
        <v>Grammys</v>
      </c>
      <c r="I2118">
        <f>_xlfn.XLOOKUP(Grammys[[#This Row],[date]], mobile_visits[date], mobile_visits[mobile_visitors], 0)</f>
        <v>14205</v>
      </c>
    </row>
    <row r="2119" spans="1:9" x14ac:dyDescent="0.2">
      <c r="A2119" s="1">
        <v>44853</v>
      </c>
      <c r="B2119">
        <v>20397</v>
      </c>
      <c r="C2119">
        <v>52953</v>
      </c>
      <c r="D2119">
        <v>21993</v>
      </c>
      <c r="E2119">
        <v>9216</v>
      </c>
      <c r="F2119">
        <v>69</v>
      </c>
      <c r="G2119" t="s">
        <v>20</v>
      </c>
      <c r="H2119" t="str">
        <f>IF(Grammys[[#This Row],[date]] &gt;= DATE(2022, 2, 1), "Grammys", "Grammys + TRA")</f>
        <v>Grammys</v>
      </c>
      <c r="I2119">
        <f>_xlfn.XLOOKUP(Grammys[[#This Row],[date]], mobile_visits[date], mobile_visits[mobile_visitors], 0)</f>
        <v>13357</v>
      </c>
    </row>
    <row r="2120" spans="1:9" x14ac:dyDescent="0.2">
      <c r="A2120" s="1">
        <v>44854</v>
      </c>
      <c r="B2120">
        <v>19405</v>
      </c>
      <c r="C2120">
        <v>48990</v>
      </c>
      <c r="D2120">
        <v>21035</v>
      </c>
      <c r="E2120">
        <v>9022</v>
      </c>
      <c r="F2120">
        <v>66</v>
      </c>
      <c r="G2120" t="s">
        <v>20</v>
      </c>
      <c r="H2120" t="str">
        <f>IF(Grammys[[#This Row],[date]] &gt;= DATE(2022, 2, 1), "Grammys", "Grammys + TRA")</f>
        <v>Grammys</v>
      </c>
      <c r="I2120">
        <f>_xlfn.XLOOKUP(Grammys[[#This Row],[date]], mobile_visits[date], mobile_visits[mobile_visitors], 0)</f>
        <v>12704</v>
      </c>
    </row>
    <row r="2121" spans="1:9" x14ac:dyDescent="0.2">
      <c r="A2121" s="1">
        <v>44855</v>
      </c>
      <c r="B2121">
        <v>19220</v>
      </c>
      <c r="C2121">
        <v>47998</v>
      </c>
      <c r="D2121">
        <v>20769</v>
      </c>
      <c r="E2121">
        <v>9002</v>
      </c>
      <c r="F2121">
        <v>70</v>
      </c>
      <c r="G2121" t="s">
        <v>20</v>
      </c>
      <c r="H2121" t="str">
        <f>IF(Grammys[[#This Row],[date]] &gt;= DATE(2022, 2, 1), "Grammys", "Grammys + TRA")</f>
        <v>Grammys</v>
      </c>
      <c r="I2121">
        <f>_xlfn.XLOOKUP(Grammys[[#This Row],[date]], mobile_visits[date], mobile_visits[mobile_visitors], 0)</f>
        <v>13614</v>
      </c>
    </row>
    <row r="2122" spans="1:9" x14ac:dyDescent="0.2">
      <c r="A2122" s="1">
        <v>44856</v>
      </c>
      <c r="B2122">
        <v>18182</v>
      </c>
      <c r="C2122">
        <v>46969</v>
      </c>
      <c r="D2122">
        <v>19635</v>
      </c>
      <c r="E2122">
        <v>8029</v>
      </c>
      <c r="F2122">
        <v>67</v>
      </c>
      <c r="G2122" t="s">
        <v>20</v>
      </c>
      <c r="H2122" t="str">
        <f>IF(Grammys[[#This Row],[date]] &gt;= DATE(2022, 2, 1), "Grammys", "Grammys + TRA")</f>
        <v>Grammys</v>
      </c>
      <c r="I2122">
        <f>_xlfn.XLOOKUP(Grammys[[#This Row],[date]], mobile_visits[date], mobile_visits[mobile_visitors], 0)</f>
        <v>14062</v>
      </c>
    </row>
    <row r="2123" spans="1:9" x14ac:dyDescent="0.2">
      <c r="A2123" s="1">
        <v>44857</v>
      </c>
      <c r="B2123">
        <v>20169</v>
      </c>
      <c r="C2123">
        <v>51782</v>
      </c>
      <c r="D2123">
        <v>21602</v>
      </c>
      <c r="E2123">
        <v>8468</v>
      </c>
      <c r="F2123">
        <v>68</v>
      </c>
      <c r="G2123" t="s">
        <v>20</v>
      </c>
      <c r="H2123" t="str">
        <f>IF(Grammys[[#This Row],[date]] &gt;= DATE(2022, 2, 1), "Grammys", "Grammys + TRA")</f>
        <v>Grammys</v>
      </c>
      <c r="I2123">
        <f>_xlfn.XLOOKUP(Grammys[[#This Row],[date]], mobile_visits[date], mobile_visits[mobile_visitors], 0)</f>
        <v>15449</v>
      </c>
    </row>
    <row r="2124" spans="1:9" x14ac:dyDescent="0.2">
      <c r="A2124" s="1">
        <v>44858</v>
      </c>
      <c r="B2124">
        <v>19076</v>
      </c>
      <c r="C2124">
        <v>47745</v>
      </c>
      <c r="D2124">
        <v>20753</v>
      </c>
      <c r="E2124">
        <v>9287</v>
      </c>
      <c r="F2124">
        <v>76</v>
      </c>
      <c r="G2124" t="s">
        <v>20</v>
      </c>
      <c r="H2124" t="str">
        <f>IF(Grammys[[#This Row],[date]] &gt;= DATE(2022, 2, 1), "Grammys", "Grammys + TRA")</f>
        <v>Grammys</v>
      </c>
      <c r="I2124">
        <f>_xlfn.XLOOKUP(Grammys[[#This Row],[date]], mobile_visits[date], mobile_visits[mobile_visitors], 0)</f>
        <v>12948</v>
      </c>
    </row>
    <row r="2125" spans="1:9" x14ac:dyDescent="0.2">
      <c r="A2125" s="1">
        <v>44859</v>
      </c>
      <c r="B2125">
        <v>20894</v>
      </c>
      <c r="C2125">
        <v>49519</v>
      </c>
      <c r="D2125">
        <v>22565</v>
      </c>
      <c r="E2125">
        <v>10489</v>
      </c>
      <c r="F2125">
        <v>93</v>
      </c>
      <c r="G2125" t="s">
        <v>20</v>
      </c>
      <c r="H2125" t="str">
        <f>IF(Grammys[[#This Row],[date]] &gt;= DATE(2022, 2, 1), "Grammys", "Grammys + TRA")</f>
        <v>Grammys</v>
      </c>
      <c r="I2125">
        <f>_xlfn.XLOOKUP(Grammys[[#This Row],[date]], mobile_visits[date], mobile_visits[mobile_visitors], 0)</f>
        <v>13150</v>
      </c>
    </row>
    <row r="2126" spans="1:9" x14ac:dyDescent="0.2">
      <c r="A2126" s="1">
        <v>44860</v>
      </c>
      <c r="B2126">
        <v>19227</v>
      </c>
      <c r="C2126">
        <v>45469</v>
      </c>
      <c r="D2126">
        <v>20934</v>
      </c>
      <c r="E2126">
        <v>9923</v>
      </c>
      <c r="F2126">
        <v>82</v>
      </c>
      <c r="G2126" t="s">
        <v>20</v>
      </c>
      <c r="H2126" t="str">
        <f>IF(Grammys[[#This Row],[date]] &gt;= DATE(2022, 2, 1), "Grammys", "Grammys + TRA")</f>
        <v>Grammys</v>
      </c>
      <c r="I2126">
        <f>_xlfn.XLOOKUP(Grammys[[#This Row],[date]], mobile_visits[date], mobile_visits[mobile_visitors], 0)</f>
        <v>12604</v>
      </c>
    </row>
    <row r="2127" spans="1:9" x14ac:dyDescent="0.2">
      <c r="A2127" s="1">
        <v>44861</v>
      </c>
      <c r="B2127">
        <v>19672</v>
      </c>
      <c r="C2127">
        <v>47746</v>
      </c>
      <c r="D2127">
        <v>21298</v>
      </c>
      <c r="E2127">
        <v>9312</v>
      </c>
      <c r="F2127">
        <v>72</v>
      </c>
      <c r="G2127" t="s">
        <v>20</v>
      </c>
      <c r="H2127" t="str">
        <f>IF(Grammys[[#This Row],[date]] &gt;= DATE(2022, 2, 1), "Grammys", "Grammys + TRA")</f>
        <v>Grammys</v>
      </c>
      <c r="I2127">
        <f>_xlfn.XLOOKUP(Grammys[[#This Row],[date]], mobile_visits[date], mobile_visits[mobile_visitors], 0)</f>
        <v>13231</v>
      </c>
    </row>
    <row r="2128" spans="1:9" x14ac:dyDescent="0.2">
      <c r="A2128" s="1">
        <v>44862</v>
      </c>
      <c r="B2128">
        <v>16749</v>
      </c>
      <c r="C2128">
        <v>39980</v>
      </c>
      <c r="D2128">
        <v>18189</v>
      </c>
      <c r="E2128">
        <v>8640</v>
      </c>
      <c r="F2128">
        <v>68</v>
      </c>
      <c r="G2128" t="s">
        <v>20</v>
      </c>
      <c r="H2128" t="str">
        <f>IF(Grammys[[#This Row],[date]] &gt;= DATE(2022, 2, 1), "Grammys", "Grammys + TRA")</f>
        <v>Grammys</v>
      </c>
      <c r="I2128">
        <f>_xlfn.XLOOKUP(Grammys[[#This Row],[date]], mobile_visits[date], mobile_visits[mobile_visitors], 0)</f>
        <v>11091</v>
      </c>
    </row>
    <row r="2129" spans="1:9" x14ac:dyDescent="0.2">
      <c r="A2129" s="1">
        <v>44863</v>
      </c>
      <c r="B2129">
        <v>13558</v>
      </c>
      <c r="C2129">
        <v>31928</v>
      </c>
      <c r="D2129">
        <v>14589</v>
      </c>
      <c r="E2129">
        <v>7050</v>
      </c>
      <c r="F2129">
        <v>66</v>
      </c>
      <c r="G2129" t="s">
        <v>20</v>
      </c>
      <c r="H2129" t="str">
        <f>IF(Grammys[[#This Row],[date]] &gt;= DATE(2022, 2, 1), "Grammys", "Grammys + TRA")</f>
        <v>Grammys</v>
      </c>
      <c r="I2129">
        <f>_xlfn.XLOOKUP(Grammys[[#This Row],[date]], mobile_visits[date], mobile_visits[mobile_visitors], 0)</f>
        <v>10246</v>
      </c>
    </row>
    <row r="2130" spans="1:9" x14ac:dyDescent="0.2">
      <c r="A2130" s="1">
        <v>44864</v>
      </c>
      <c r="B2130">
        <v>13081</v>
      </c>
      <c r="C2130">
        <v>32000</v>
      </c>
      <c r="D2130">
        <v>14191</v>
      </c>
      <c r="E2130">
        <v>6802</v>
      </c>
      <c r="F2130">
        <v>72</v>
      </c>
      <c r="G2130" t="s">
        <v>20</v>
      </c>
      <c r="H2130" t="str">
        <f>IF(Grammys[[#This Row],[date]] &gt;= DATE(2022, 2, 1), "Grammys", "Grammys + TRA")</f>
        <v>Grammys</v>
      </c>
      <c r="I2130">
        <f>_xlfn.XLOOKUP(Grammys[[#This Row],[date]], mobile_visits[date], mobile_visits[mobile_visitors], 0)</f>
        <v>9248</v>
      </c>
    </row>
    <row r="2131" spans="1:9" x14ac:dyDescent="0.2">
      <c r="A2131" s="1">
        <v>44865</v>
      </c>
      <c r="B2131">
        <v>13678</v>
      </c>
      <c r="C2131">
        <v>32259</v>
      </c>
      <c r="D2131">
        <v>14757</v>
      </c>
      <c r="E2131">
        <v>7168</v>
      </c>
      <c r="F2131">
        <v>73</v>
      </c>
      <c r="G2131" t="s">
        <v>20</v>
      </c>
      <c r="H2131" t="str">
        <f>IF(Grammys[[#This Row],[date]] &gt;= DATE(2022, 2, 1), "Grammys", "Grammys + TRA")</f>
        <v>Grammys</v>
      </c>
      <c r="I2131">
        <f>_xlfn.XLOOKUP(Grammys[[#This Row],[date]], mobile_visits[date], mobile_visits[mobile_visitors], 0)</f>
        <v>8802</v>
      </c>
    </row>
    <row r="2132" spans="1:9" x14ac:dyDescent="0.2">
      <c r="A2132" s="1">
        <v>44866</v>
      </c>
      <c r="B2132">
        <v>18129</v>
      </c>
      <c r="C2132">
        <v>41595</v>
      </c>
      <c r="D2132">
        <v>19512</v>
      </c>
      <c r="E2132">
        <v>9636</v>
      </c>
      <c r="F2132">
        <v>81</v>
      </c>
      <c r="G2132" t="s">
        <v>20</v>
      </c>
      <c r="H2132" t="str">
        <f>IF(Grammys[[#This Row],[date]] &gt;= DATE(2022, 2, 1), "Grammys", "Grammys + TRA")</f>
        <v>Grammys</v>
      </c>
      <c r="I2132">
        <f>_xlfn.XLOOKUP(Grammys[[#This Row],[date]], mobile_visits[date], mobile_visits[mobile_visitors], 0)</f>
        <v>11610</v>
      </c>
    </row>
    <row r="2133" spans="1:9" x14ac:dyDescent="0.2">
      <c r="A2133" s="1">
        <v>44867</v>
      </c>
      <c r="B2133">
        <v>19340</v>
      </c>
      <c r="C2133">
        <v>45109</v>
      </c>
      <c r="D2133">
        <v>21319</v>
      </c>
      <c r="E2133">
        <v>10249</v>
      </c>
      <c r="F2133">
        <v>80</v>
      </c>
      <c r="G2133" t="s">
        <v>20</v>
      </c>
      <c r="H2133" t="str">
        <f>IF(Grammys[[#This Row],[date]] &gt;= DATE(2022, 2, 1), "Grammys", "Grammys + TRA")</f>
        <v>Grammys</v>
      </c>
      <c r="I2133">
        <f>_xlfn.XLOOKUP(Grammys[[#This Row],[date]], mobile_visits[date], mobile_visits[mobile_visitors], 0)</f>
        <v>12274</v>
      </c>
    </row>
    <row r="2134" spans="1:9" x14ac:dyDescent="0.2">
      <c r="A2134" s="1">
        <v>44868</v>
      </c>
      <c r="B2134">
        <v>17165</v>
      </c>
      <c r="C2134">
        <v>39489</v>
      </c>
      <c r="D2134">
        <v>18677</v>
      </c>
      <c r="E2134">
        <v>8977</v>
      </c>
      <c r="F2134">
        <v>79</v>
      </c>
      <c r="G2134" t="s">
        <v>20</v>
      </c>
      <c r="H2134" t="str">
        <f>IF(Grammys[[#This Row],[date]] &gt;= DATE(2022, 2, 1), "Grammys", "Grammys + TRA")</f>
        <v>Grammys</v>
      </c>
      <c r="I2134">
        <f>_xlfn.XLOOKUP(Grammys[[#This Row],[date]], mobile_visits[date], mobile_visits[mobile_visitors], 0)</f>
        <v>10907</v>
      </c>
    </row>
    <row r="2135" spans="1:9" x14ac:dyDescent="0.2">
      <c r="A2135" s="1">
        <v>44869</v>
      </c>
      <c r="B2135">
        <v>21757</v>
      </c>
      <c r="C2135">
        <v>52944</v>
      </c>
      <c r="D2135">
        <v>23428</v>
      </c>
      <c r="E2135">
        <v>10309</v>
      </c>
      <c r="F2135">
        <v>66</v>
      </c>
      <c r="G2135" t="s">
        <v>20</v>
      </c>
      <c r="H2135" t="str">
        <f>IF(Grammys[[#This Row],[date]] &gt;= DATE(2022, 2, 1), "Grammys", "Grammys + TRA")</f>
        <v>Grammys</v>
      </c>
      <c r="I2135">
        <f>_xlfn.XLOOKUP(Grammys[[#This Row],[date]], mobile_visits[date], mobile_visits[mobile_visitors], 0)</f>
        <v>15681</v>
      </c>
    </row>
    <row r="2136" spans="1:9" x14ac:dyDescent="0.2">
      <c r="A2136" s="1">
        <v>44870</v>
      </c>
      <c r="B2136">
        <v>20072</v>
      </c>
      <c r="C2136">
        <v>50056</v>
      </c>
      <c r="D2136">
        <v>23072</v>
      </c>
      <c r="E2136">
        <v>10687</v>
      </c>
      <c r="F2136">
        <v>64</v>
      </c>
      <c r="G2136" t="s">
        <v>20</v>
      </c>
      <c r="H2136" t="str">
        <f>IF(Grammys[[#This Row],[date]] &gt;= DATE(2022, 2, 1), "Grammys", "Grammys + TRA")</f>
        <v>Grammys</v>
      </c>
      <c r="I2136">
        <f>_xlfn.XLOOKUP(Grammys[[#This Row],[date]], mobile_visits[date], mobile_visits[mobile_visitors], 0)</f>
        <v>16239</v>
      </c>
    </row>
    <row r="2137" spans="1:9" x14ac:dyDescent="0.2">
      <c r="A2137" s="1">
        <v>44871</v>
      </c>
      <c r="B2137">
        <v>16032</v>
      </c>
      <c r="C2137">
        <v>38348</v>
      </c>
      <c r="D2137">
        <v>17602</v>
      </c>
      <c r="E2137">
        <v>8249</v>
      </c>
      <c r="F2137">
        <v>70</v>
      </c>
      <c r="G2137" t="s">
        <v>20</v>
      </c>
      <c r="H2137" t="str">
        <f>IF(Grammys[[#This Row],[date]] &gt;= DATE(2022, 2, 1), "Grammys", "Grammys + TRA")</f>
        <v>Grammys</v>
      </c>
      <c r="I2137">
        <f>_xlfn.XLOOKUP(Grammys[[#This Row],[date]], mobile_visits[date], mobile_visits[mobile_visitors], 0)</f>
        <v>11938</v>
      </c>
    </row>
    <row r="2138" spans="1:9" x14ac:dyDescent="0.2">
      <c r="A2138" s="1">
        <v>44872</v>
      </c>
      <c r="B2138">
        <v>16675</v>
      </c>
      <c r="C2138">
        <v>40010</v>
      </c>
      <c r="D2138">
        <v>18389</v>
      </c>
      <c r="E2138">
        <v>8846</v>
      </c>
      <c r="F2138">
        <v>72</v>
      </c>
      <c r="G2138" t="s">
        <v>20</v>
      </c>
      <c r="H2138" t="str">
        <f>IF(Grammys[[#This Row],[date]] &gt;= DATE(2022, 2, 1), "Grammys", "Grammys + TRA")</f>
        <v>Grammys</v>
      </c>
      <c r="I2138">
        <f>_xlfn.XLOOKUP(Grammys[[#This Row],[date]], mobile_visits[date], mobile_visits[mobile_visitors], 0)</f>
        <v>9322</v>
      </c>
    </row>
    <row r="2139" spans="1:9" x14ac:dyDescent="0.2">
      <c r="A2139" s="1">
        <v>44873</v>
      </c>
      <c r="B2139">
        <v>17985</v>
      </c>
      <c r="C2139">
        <v>42529</v>
      </c>
      <c r="D2139">
        <v>19516</v>
      </c>
      <c r="E2139">
        <v>9280</v>
      </c>
      <c r="F2139">
        <v>75</v>
      </c>
      <c r="G2139" t="s">
        <v>20</v>
      </c>
      <c r="H2139" t="str">
        <f>IF(Grammys[[#This Row],[date]] &gt;= DATE(2022, 2, 1), "Grammys", "Grammys + TRA")</f>
        <v>Grammys</v>
      </c>
      <c r="I2139">
        <f>_xlfn.XLOOKUP(Grammys[[#This Row],[date]], mobile_visits[date], mobile_visits[mobile_visitors], 0)</f>
        <v>11597</v>
      </c>
    </row>
    <row r="2140" spans="1:9" x14ac:dyDescent="0.2">
      <c r="A2140" s="1">
        <v>44874</v>
      </c>
      <c r="B2140">
        <v>19475</v>
      </c>
      <c r="C2140">
        <v>45165</v>
      </c>
      <c r="D2140">
        <v>20916</v>
      </c>
      <c r="E2140">
        <v>9733</v>
      </c>
      <c r="F2140">
        <v>78</v>
      </c>
      <c r="G2140" t="s">
        <v>20</v>
      </c>
      <c r="H2140" t="str">
        <f>IF(Grammys[[#This Row],[date]] &gt;= DATE(2022, 2, 1), "Grammys", "Grammys + TRA")</f>
        <v>Grammys</v>
      </c>
      <c r="I2140">
        <f>_xlfn.XLOOKUP(Grammys[[#This Row],[date]], mobile_visits[date], mobile_visits[mobile_visitors], 0)</f>
        <v>12722</v>
      </c>
    </row>
    <row r="2141" spans="1:9" x14ac:dyDescent="0.2">
      <c r="A2141" s="1">
        <v>44875</v>
      </c>
      <c r="B2141">
        <v>21297</v>
      </c>
      <c r="C2141">
        <v>50822</v>
      </c>
      <c r="D2141">
        <v>23677</v>
      </c>
      <c r="E2141">
        <v>11889</v>
      </c>
      <c r="F2141">
        <v>65</v>
      </c>
      <c r="G2141" t="s">
        <v>20</v>
      </c>
      <c r="H2141" t="str">
        <f>IF(Grammys[[#This Row],[date]] &gt;= DATE(2022, 2, 1), "Grammys", "Grammys + TRA")</f>
        <v>Grammys</v>
      </c>
      <c r="I2141">
        <f>_xlfn.XLOOKUP(Grammys[[#This Row],[date]], mobile_visits[date], mobile_visits[mobile_visitors], 0)</f>
        <v>15013</v>
      </c>
    </row>
    <row r="2142" spans="1:9" x14ac:dyDescent="0.2">
      <c r="A2142" s="1">
        <v>44876</v>
      </c>
      <c r="B2142">
        <v>18887</v>
      </c>
      <c r="C2142">
        <v>44808</v>
      </c>
      <c r="D2142">
        <v>20603</v>
      </c>
      <c r="E2142">
        <v>10244</v>
      </c>
      <c r="F2142">
        <v>69</v>
      </c>
      <c r="G2142" t="s">
        <v>20</v>
      </c>
      <c r="H2142" t="str">
        <f>IF(Grammys[[#This Row],[date]] &gt;= DATE(2022, 2, 1), "Grammys", "Grammys + TRA")</f>
        <v>Grammys</v>
      </c>
      <c r="I2142">
        <f>_xlfn.XLOOKUP(Grammys[[#This Row],[date]], mobile_visits[date], mobile_visits[mobile_visitors], 0)</f>
        <v>13750</v>
      </c>
    </row>
    <row r="2143" spans="1:9" x14ac:dyDescent="0.2">
      <c r="A2143" s="1">
        <v>44877</v>
      </c>
      <c r="B2143">
        <v>17205</v>
      </c>
      <c r="C2143">
        <v>42447</v>
      </c>
      <c r="D2143">
        <v>18749</v>
      </c>
      <c r="E2143">
        <v>8139</v>
      </c>
      <c r="F2143">
        <v>67</v>
      </c>
      <c r="G2143" t="s">
        <v>20</v>
      </c>
      <c r="H2143" t="str">
        <f>IF(Grammys[[#This Row],[date]] &gt;= DATE(2022, 2, 1), "Grammys", "Grammys + TRA")</f>
        <v>Grammys</v>
      </c>
      <c r="I2143">
        <f>_xlfn.XLOOKUP(Grammys[[#This Row],[date]], mobile_visits[date], mobile_visits[mobile_visitors], 0)</f>
        <v>13294</v>
      </c>
    </row>
    <row r="2144" spans="1:9" x14ac:dyDescent="0.2">
      <c r="A2144" s="1">
        <v>44878</v>
      </c>
      <c r="B2144">
        <v>18219</v>
      </c>
      <c r="C2144">
        <v>45859</v>
      </c>
      <c r="D2144">
        <v>20029</v>
      </c>
      <c r="E2144">
        <v>9056</v>
      </c>
      <c r="F2144">
        <v>71</v>
      </c>
      <c r="G2144" t="s">
        <v>20</v>
      </c>
      <c r="H2144" t="str">
        <f>IF(Grammys[[#This Row],[date]] &gt;= DATE(2022, 2, 1), "Grammys", "Grammys + TRA")</f>
        <v>Grammys</v>
      </c>
      <c r="I2144">
        <f>_xlfn.XLOOKUP(Grammys[[#This Row],[date]], mobile_visits[date], mobile_visits[mobile_visitors], 0)</f>
        <v>12952</v>
      </c>
    </row>
    <row r="2145" spans="1:9" x14ac:dyDescent="0.2">
      <c r="A2145" s="1">
        <v>44879</v>
      </c>
      <c r="B2145">
        <v>31150</v>
      </c>
      <c r="C2145">
        <v>76192</v>
      </c>
      <c r="D2145">
        <v>35100</v>
      </c>
      <c r="E2145">
        <v>17593</v>
      </c>
      <c r="F2145">
        <v>69</v>
      </c>
      <c r="G2145" t="s">
        <v>20</v>
      </c>
      <c r="H2145" t="str">
        <f>IF(Grammys[[#This Row],[date]] &gt;= DATE(2022, 2, 1), "Grammys", "Grammys + TRA")</f>
        <v>Grammys</v>
      </c>
      <c r="I2145">
        <f>_xlfn.XLOOKUP(Grammys[[#This Row],[date]], mobile_visits[date], mobile_visits[mobile_visitors], 0)</f>
        <v>21007</v>
      </c>
    </row>
    <row r="2146" spans="1:9" x14ac:dyDescent="0.2">
      <c r="A2146" s="1">
        <v>44880</v>
      </c>
      <c r="B2146">
        <v>700437</v>
      </c>
      <c r="C2146">
        <v>2214758</v>
      </c>
      <c r="D2146">
        <v>839192</v>
      </c>
      <c r="E2146">
        <v>321411</v>
      </c>
      <c r="F2146">
        <v>94</v>
      </c>
      <c r="G2146" t="s">
        <v>21</v>
      </c>
      <c r="H2146" t="str">
        <f>IF(Grammys[[#This Row],[date]] &gt;= DATE(2022, 2, 1), "Grammys", "Grammys + TRA")</f>
        <v>Grammys</v>
      </c>
      <c r="I2146">
        <f>_xlfn.XLOOKUP(Grammys[[#This Row],[date]], mobile_visits[date], mobile_visits[mobile_visitors], 0)</f>
        <v>550739</v>
      </c>
    </row>
    <row r="2147" spans="1:9" x14ac:dyDescent="0.2">
      <c r="A2147" s="1">
        <v>44881</v>
      </c>
      <c r="B2147">
        <v>306464</v>
      </c>
      <c r="C2147">
        <v>953774</v>
      </c>
      <c r="D2147">
        <v>358561</v>
      </c>
      <c r="E2147">
        <v>141632</v>
      </c>
      <c r="F2147">
        <v>79</v>
      </c>
      <c r="G2147" t="s">
        <v>20</v>
      </c>
      <c r="H2147" t="str">
        <f>IF(Grammys[[#This Row],[date]] &gt;= DATE(2022, 2, 1), "Grammys", "Grammys + TRA")</f>
        <v>Grammys</v>
      </c>
      <c r="I2147">
        <f>_xlfn.XLOOKUP(Grammys[[#This Row],[date]], mobile_visits[date], mobile_visits[mobile_visitors], 0)</f>
        <v>228369</v>
      </c>
    </row>
    <row r="2148" spans="1:9" x14ac:dyDescent="0.2">
      <c r="A2148" s="1">
        <v>44882</v>
      </c>
      <c r="B2148">
        <v>187301</v>
      </c>
      <c r="C2148">
        <v>600706</v>
      </c>
      <c r="D2148">
        <v>227982</v>
      </c>
      <c r="E2148">
        <v>92789</v>
      </c>
      <c r="F2148">
        <v>72</v>
      </c>
      <c r="G2148" t="s">
        <v>20</v>
      </c>
      <c r="H2148" t="str">
        <f>IF(Grammys[[#This Row],[date]] &gt;= DATE(2022, 2, 1), "Grammys", "Grammys + TRA")</f>
        <v>Grammys</v>
      </c>
      <c r="I2148">
        <f>_xlfn.XLOOKUP(Grammys[[#This Row],[date]], mobile_visits[date], mobile_visits[mobile_visitors], 0)</f>
        <v>147980</v>
      </c>
    </row>
    <row r="2149" spans="1:9" x14ac:dyDescent="0.2">
      <c r="A2149" s="1">
        <v>44883</v>
      </c>
      <c r="B2149">
        <v>147950</v>
      </c>
      <c r="C2149">
        <v>493115</v>
      </c>
      <c r="D2149">
        <v>194205</v>
      </c>
      <c r="E2149">
        <v>82926</v>
      </c>
      <c r="F2149">
        <v>60</v>
      </c>
      <c r="G2149" t="s">
        <v>20</v>
      </c>
      <c r="H2149" t="str">
        <f>IF(Grammys[[#This Row],[date]] &gt;= DATE(2022, 2, 1), "Grammys", "Grammys + TRA")</f>
        <v>Grammys</v>
      </c>
      <c r="I2149">
        <f>_xlfn.XLOOKUP(Grammys[[#This Row],[date]], mobile_visits[date], mobile_visits[mobile_visitors], 0)</f>
        <v>119867</v>
      </c>
    </row>
    <row r="2150" spans="1:9" x14ac:dyDescent="0.2">
      <c r="A2150" s="1">
        <v>44884</v>
      </c>
      <c r="B2150">
        <v>82284</v>
      </c>
      <c r="C2150">
        <v>254046</v>
      </c>
      <c r="D2150">
        <v>92482</v>
      </c>
      <c r="E2150">
        <v>35199</v>
      </c>
      <c r="F2150">
        <v>76</v>
      </c>
      <c r="G2150" t="s">
        <v>20</v>
      </c>
      <c r="H2150" t="str">
        <f>IF(Grammys[[#This Row],[date]] &gt;= DATE(2022, 2, 1), "Grammys", "Grammys + TRA")</f>
        <v>Grammys</v>
      </c>
      <c r="I2150">
        <f>_xlfn.XLOOKUP(Grammys[[#This Row],[date]], mobile_visits[date], mobile_visits[mobile_visitors], 0)</f>
        <v>69168</v>
      </c>
    </row>
    <row r="2151" spans="1:9" x14ac:dyDescent="0.2">
      <c r="A2151" s="1">
        <v>44885</v>
      </c>
      <c r="B2151">
        <v>68258</v>
      </c>
      <c r="C2151">
        <v>207070</v>
      </c>
      <c r="D2151">
        <v>76226</v>
      </c>
      <c r="E2151">
        <v>29622</v>
      </c>
      <c r="F2151">
        <v>78</v>
      </c>
      <c r="G2151" t="s">
        <v>20</v>
      </c>
      <c r="H2151" t="str">
        <f>IF(Grammys[[#This Row],[date]] &gt;= DATE(2022, 2, 1), "Grammys", "Grammys + TRA")</f>
        <v>Grammys</v>
      </c>
      <c r="I2151">
        <f>_xlfn.XLOOKUP(Grammys[[#This Row],[date]], mobile_visits[date], mobile_visits[mobile_visitors], 0)</f>
        <v>55455</v>
      </c>
    </row>
    <row r="2152" spans="1:9" x14ac:dyDescent="0.2">
      <c r="A2152" s="1">
        <v>44886</v>
      </c>
      <c r="B2152">
        <v>56746</v>
      </c>
      <c r="C2152">
        <v>168846</v>
      </c>
      <c r="D2152">
        <v>63466</v>
      </c>
      <c r="E2152">
        <v>25717</v>
      </c>
      <c r="F2152">
        <v>77</v>
      </c>
      <c r="G2152" t="s">
        <v>20</v>
      </c>
      <c r="H2152" t="str">
        <f>IF(Grammys[[#This Row],[date]] &gt;= DATE(2022, 2, 1), "Grammys", "Grammys + TRA")</f>
        <v>Grammys</v>
      </c>
      <c r="I2152">
        <f>_xlfn.XLOOKUP(Grammys[[#This Row],[date]], mobile_visits[date], mobile_visits[mobile_visitors], 0)</f>
        <v>40944</v>
      </c>
    </row>
    <row r="2153" spans="1:9" x14ac:dyDescent="0.2">
      <c r="A2153" s="1">
        <v>44887</v>
      </c>
      <c r="B2153">
        <v>40264</v>
      </c>
      <c r="C2153">
        <v>117676</v>
      </c>
      <c r="D2153">
        <v>45073</v>
      </c>
      <c r="E2153">
        <v>18575</v>
      </c>
      <c r="F2153">
        <v>79</v>
      </c>
      <c r="G2153" t="s">
        <v>20</v>
      </c>
      <c r="H2153" t="str">
        <f>IF(Grammys[[#This Row],[date]] &gt;= DATE(2022, 2, 1), "Grammys", "Grammys + TRA")</f>
        <v>Grammys</v>
      </c>
      <c r="I2153">
        <f>_xlfn.XLOOKUP(Grammys[[#This Row],[date]], mobile_visits[date], mobile_visits[mobile_visitors], 0)</f>
        <v>28165</v>
      </c>
    </row>
    <row r="2154" spans="1:9" x14ac:dyDescent="0.2">
      <c r="A2154" s="1">
        <v>44888</v>
      </c>
      <c r="B2154">
        <v>31859</v>
      </c>
      <c r="C2154">
        <v>91795</v>
      </c>
      <c r="D2154">
        <v>35263</v>
      </c>
      <c r="E2154">
        <v>14398</v>
      </c>
      <c r="F2154">
        <v>78</v>
      </c>
      <c r="G2154" t="s">
        <v>20</v>
      </c>
      <c r="H2154" t="str">
        <f>IF(Grammys[[#This Row],[date]] &gt;= DATE(2022, 2, 1), "Grammys", "Grammys + TRA")</f>
        <v>Grammys</v>
      </c>
      <c r="I2154">
        <f>_xlfn.XLOOKUP(Grammys[[#This Row],[date]], mobile_visits[date], mobile_visits[mobile_visitors], 0)</f>
        <v>23489</v>
      </c>
    </row>
    <row r="2155" spans="1:9" x14ac:dyDescent="0.2">
      <c r="A2155" s="1">
        <v>44889</v>
      </c>
      <c r="B2155">
        <v>27771</v>
      </c>
      <c r="C2155">
        <v>80112</v>
      </c>
      <c r="D2155">
        <v>30741</v>
      </c>
      <c r="E2155">
        <v>12383</v>
      </c>
      <c r="F2155">
        <v>72</v>
      </c>
      <c r="G2155" t="s">
        <v>20</v>
      </c>
      <c r="H2155" t="str">
        <f>IF(Grammys[[#This Row],[date]] &gt;= DATE(2022, 2, 1), "Grammys", "Grammys + TRA")</f>
        <v>Grammys</v>
      </c>
      <c r="I2155">
        <f>_xlfn.XLOOKUP(Grammys[[#This Row],[date]], mobile_visits[date], mobile_visits[mobile_visitors], 0)</f>
        <v>22061</v>
      </c>
    </row>
    <row r="2156" spans="1:9" x14ac:dyDescent="0.2">
      <c r="A2156" s="1">
        <v>44890</v>
      </c>
      <c r="B2156">
        <v>24089</v>
      </c>
      <c r="C2156">
        <v>66840</v>
      </c>
      <c r="D2156">
        <v>26478</v>
      </c>
      <c r="E2156">
        <v>11235</v>
      </c>
      <c r="F2156">
        <v>75</v>
      </c>
      <c r="G2156" t="s">
        <v>20</v>
      </c>
      <c r="H2156" t="str">
        <f>IF(Grammys[[#This Row],[date]] &gt;= DATE(2022, 2, 1), "Grammys", "Grammys + TRA")</f>
        <v>Grammys</v>
      </c>
      <c r="I2156">
        <f>_xlfn.XLOOKUP(Grammys[[#This Row],[date]], mobile_visits[date], mobile_visits[mobile_visitors], 0)</f>
        <v>18639</v>
      </c>
    </row>
    <row r="2157" spans="1:9" x14ac:dyDescent="0.2">
      <c r="A2157" s="1">
        <v>44891</v>
      </c>
      <c r="B2157">
        <v>23458</v>
      </c>
      <c r="C2157">
        <v>65996</v>
      </c>
      <c r="D2157">
        <v>25831</v>
      </c>
      <c r="E2157">
        <v>10609</v>
      </c>
      <c r="F2157">
        <v>79</v>
      </c>
      <c r="G2157" t="s">
        <v>20</v>
      </c>
      <c r="H2157" t="str">
        <f>IF(Grammys[[#This Row],[date]] &gt;= DATE(2022, 2, 1), "Grammys", "Grammys + TRA")</f>
        <v>Grammys</v>
      </c>
      <c r="I2157">
        <f>_xlfn.XLOOKUP(Grammys[[#This Row],[date]], mobile_visits[date], mobile_visits[mobile_visitors], 0)</f>
        <v>17591</v>
      </c>
    </row>
    <row r="2158" spans="1:9" x14ac:dyDescent="0.2">
      <c r="A2158" s="1">
        <v>44892</v>
      </c>
      <c r="B2158">
        <v>23161</v>
      </c>
      <c r="C2158">
        <v>64245</v>
      </c>
      <c r="D2158">
        <v>25493</v>
      </c>
      <c r="E2158">
        <v>10848</v>
      </c>
      <c r="F2158">
        <v>79</v>
      </c>
      <c r="G2158" t="s">
        <v>20</v>
      </c>
      <c r="H2158" t="str">
        <f>IF(Grammys[[#This Row],[date]] &gt;= DATE(2022, 2, 1), "Grammys", "Grammys + TRA")</f>
        <v>Grammys</v>
      </c>
      <c r="I2158">
        <f>_xlfn.XLOOKUP(Grammys[[#This Row],[date]], mobile_visits[date], mobile_visits[mobile_visitors], 0)</f>
        <v>16694</v>
      </c>
    </row>
    <row r="2159" spans="1:9" x14ac:dyDescent="0.2">
      <c r="A2159" s="1">
        <v>44893</v>
      </c>
      <c r="B2159">
        <v>22893</v>
      </c>
      <c r="C2159">
        <v>60742</v>
      </c>
      <c r="D2159">
        <v>25098</v>
      </c>
      <c r="E2159">
        <v>11192</v>
      </c>
      <c r="F2159">
        <v>80</v>
      </c>
      <c r="G2159" t="s">
        <v>20</v>
      </c>
      <c r="H2159" t="str">
        <f>IF(Grammys[[#This Row],[date]] &gt;= DATE(2022, 2, 1), "Grammys", "Grammys + TRA")</f>
        <v>Grammys</v>
      </c>
      <c r="I2159">
        <f>_xlfn.XLOOKUP(Grammys[[#This Row],[date]], mobile_visits[date], mobile_visits[mobile_visitors], 0)</f>
        <v>13610</v>
      </c>
    </row>
    <row r="2160" spans="1:9" x14ac:dyDescent="0.2">
      <c r="A2160" s="1">
        <v>44894</v>
      </c>
      <c r="B2160">
        <v>21623</v>
      </c>
      <c r="C2160">
        <v>58374</v>
      </c>
      <c r="D2160">
        <v>24012</v>
      </c>
      <c r="E2160">
        <v>10808</v>
      </c>
      <c r="F2160">
        <v>81</v>
      </c>
      <c r="G2160" t="s">
        <v>20</v>
      </c>
      <c r="H2160" t="str">
        <f>IF(Grammys[[#This Row],[date]] &gt;= DATE(2022, 2, 1), "Grammys", "Grammys + TRA")</f>
        <v>Grammys</v>
      </c>
      <c r="I2160">
        <f>_xlfn.XLOOKUP(Grammys[[#This Row],[date]], mobile_visits[date], mobile_visits[mobile_visitors], 0)</f>
        <v>12966</v>
      </c>
    </row>
    <row r="2161" spans="1:9" x14ac:dyDescent="0.2">
      <c r="A2161" s="1">
        <v>44895</v>
      </c>
      <c r="B2161">
        <v>24260</v>
      </c>
      <c r="C2161">
        <v>63867</v>
      </c>
      <c r="D2161">
        <v>26135</v>
      </c>
      <c r="E2161">
        <v>11398</v>
      </c>
      <c r="F2161">
        <v>75</v>
      </c>
      <c r="G2161" t="s">
        <v>20</v>
      </c>
      <c r="H2161" t="str">
        <f>IF(Grammys[[#This Row],[date]] &gt;= DATE(2022, 2, 1), "Grammys", "Grammys + TRA")</f>
        <v>Grammys</v>
      </c>
      <c r="I2161">
        <f>_xlfn.XLOOKUP(Grammys[[#This Row],[date]], mobile_visits[date], mobile_visits[mobile_visitors], 0)</f>
        <v>15082</v>
      </c>
    </row>
    <row r="2162" spans="1:9" x14ac:dyDescent="0.2">
      <c r="A2162" s="1">
        <v>44896</v>
      </c>
      <c r="B2162">
        <v>22518</v>
      </c>
      <c r="C2162">
        <v>59598</v>
      </c>
      <c r="D2162">
        <v>24790</v>
      </c>
      <c r="E2162">
        <v>10816</v>
      </c>
      <c r="F2162">
        <v>76</v>
      </c>
      <c r="G2162" t="s">
        <v>20</v>
      </c>
      <c r="H2162" t="str">
        <f>IF(Grammys[[#This Row],[date]] &gt;= DATE(2022, 2, 1), "Grammys", "Grammys + TRA")</f>
        <v>Grammys</v>
      </c>
      <c r="I2162">
        <f>_xlfn.XLOOKUP(Grammys[[#This Row],[date]], mobile_visits[date], mobile_visits[mobile_visitors], 0)</f>
        <v>14070</v>
      </c>
    </row>
    <row r="2163" spans="1:9" x14ac:dyDescent="0.2">
      <c r="A2163" s="1">
        <v>44897</v>
      </c>
      <c r="B2163">
        <v>23940</v>
      </c>
      <c r="C2163">
        <v>61174</v>
      </c>
      <c r="D2163">
        <v>25971</v>
      </c>
      <c r="E2163">
        <v>11739</v>
      </c>
      <c r="F2163">
        <v>84</v>
      </c>
      <c r="G2163" t="s">
        <v>20</v>
      </c>
      <c r="H2163" t="str">
        <f>IF(Grammys[[#This Row],[date]] &gt;= DATE(2022, 2, 1), "Grammys", "Grammys + TRA")</f>
        <v>Grammys</v>
      </c>
      <c r="I2163">
        <f>_xlfn.XLOOKUP(Grammys[[#This Row],[date]], mobile_visits[date], mobile_visits[mobile_visitors], 0)</f>
        <v>16404</v>
      </c>
    </row>
    <row r="2164" spans="1:9" x14ac:dyDescent="0.2">
      <c r="A2164" s="1">
        <v>44898</v>
      </c>
      <c r="B2164">
        <v>21070</v>
      </c>
      <c r="C2164">
        <v>55246</v>
      </c>
      <c r="D2164">
        <v>22859</v>
      </c>
      <c r="E2164">
        <v>9933</v>
      </c>
      <c r="F2164">
        <v>78</v>
      </c>
      <c r="G2164" t="s">
        <v>20</v>
      </c>
      <c r="H2164" t="str">
        <f>IF(Grammys[[#This Row],[date]] &gt;= DATE(2022, 2, 1), "Grammys", "Grammys + TRA")</f>
        <v>Grammys</v>
      </c>
      <c r="I2164">
        <f>_xlfn.XLOOKUP(Grammys[[#This Row],[date]], mobile_visits[date], mobile_visits[mobile_visitors], 0)</f>
        <v>15255</v>
      </c>
    </row>
    <row r="2165" spans="1:9" x14ac:dyDescent="0.2">
      <c r="A2165" s="1">
        <v>44899</v>
      </c>
      <c r="B2165">
        <v>21313</v>
      </c>
      <c r="C2165">
        <v>55274</v>
      </c>
      <c r="D2165">
        <v>24063</v>
      </c>
      <c r="E2165">
        <v>11183</v>
      </c>
      <c r="F2165">
        <v>68</v>
      </c>
      <c r="G2165" t="s">
        <v>20</v>
      </c>
      <c r="H2165" t="str">
        <f>IF(Grammys[[#This Row],[date]] &gt;= DATE(2022, 2, 1), "Grammys", "Grammys + TRA")</f>
        <v>Grammys</v>
      </c>
      <c r="I2165">
        <f>_xlfn.XLOOKUP(Grammys[[#This Row],[date]], mobile_visits[date], mobile_visits[mobile_visitors], 0)</f>
        <v>14872</v>
      </c>
    </row>
    <row r="2166" spans="1:9" x14ac:dyDescent="0.2">
      <c r="A2166" s="1">
        <v>44900</v>
      </c>
      <c r="B2166">
        <v>23651</v>
      </c>
      <c r="C2166">
        <v>60209</v>
      </c>
      <c r="D2166">
        <v>27268</v>
      </c>
      <c r="E2166">
        <v>13765</v>
      </c>
      <c r="F2166">
        <v>68</v>
      </c>
      <c r="G2166" t="s">
        <v>20</v>
      </c>
      <c r="H2166" t="str">
        <f>IF(Grammys[[#This Row],[date]] &gt;= DATE(2022, 2, 1), "Grammys", "Grammys + TRA")</f>
        <v>Grammys</v>
      </c>
      <c r="I2166">
        <f>_xlfn.XLOOKUP(Grammys[[#This Row],[date]], mobile_visits[date], mobile_visits[mobile_visitors], 0)</f>
        <v>15098</v>
      </c>
    </row>
    <row r="2167" spans="1:9" x14ac:dyDescent="0.2">
      <c r="A2167" s="1">
        <v>44901</v>
      </c>
      <c r="B2167">
        <v>22911</v>
      </c>
      <c r="C2167">
        <v>57761</v>
      </c>
      <c r="D2167">
        <v>25908</v>
      </c>
      <c r="E2167">
        <v>12776</v>
      </c>
      <c r="F2167">
        <v>66</v>
      </c>
      <c r="G2167" t="s">
        <v>20</v>
      </c>
      <c r="H2167" t="str">
        <f>IF(Grammys[[#This Row],[date]] &gt;= DATE(2022, 2, 1), "Grammys", "Grammys + TRA")</f>
        <v>Grammys</v>
      </c>
      <c r="I2167">
        <f>_xlfn.XLOOKUP(Grammys[[#This Row],[date]], mobile_visits[date], mobile_visits[mobile_visitors], 0)</f>
        <v>14280</v>
      </c>
    </row>
    <row r="2168" spans="1:9" x14ac:dyDescent="0.2">
      <c r="A2168" s="1">
        <v>44902</v>
      </c>
      <c r="B2168">
        <v>21158</v>
      </c>
      <c r="C2168">
        <v>57154</v>
      </c>
      <c r="D2168">
        <v>23852</v>
      </c>
      <c r="E2168">
        <v>9579</v>
      </c>
      <c r="F2168">
        <v>72</v>
      </c>
      <c r="G2168" t="s">
        <v>20</v>
      </c>
      <c r="H2168" t="str">
        <f>IF(Grammys[[#This Row],[date]] &gt;= DATE(2022, 2, 1), "Grammys", "Grammys + TRA")</f>
        <v>Grammys</v>
      </c>
      <c r="I2168">
        <f>_xlfn.XLOOKUP(Grammys[[#This Row],[date]], mobile_visits[date], mobile_visits[mobile_visitors], 0)</f>
        <v>12162</v>
      </c>
    </row>
    <row r="2169" spans="1:9" x14ac:dyDescent="0.2">
      <c r="A2169" s="1">
        <v>44903</v>
      </c>
      <c r="B2169">
        <v>21222</v>
      </c>
      <c r="C2169">
        <v>57811</v>
      </c>
      <c r="D2169">
        <v>23215</v>
      </c>
      <c r="E2169">
        <v>8760</v>
      </c>
      <c r="F2169">
        <v>72</v>
      </c>
      <c r="G2169" t="s">
        <v>20</v>
      </c>
      <c r="H2169" t="str">
        <f>IF(Grammys[[#This Row],[date]] &gt;= DATE(2022, 2, 1), "Grammys", "Grammys + TRA")</f>
        <v>Grammys</v>
      </c>
      <c r="I2169">
        <f>_xlfn.XLOOKUP(Grammys[[#This Row],[date]], mobile_visits[date], mobile_visits[mobile_visitors], 0)</f>
        <v>13295</v>
      </c>
    </row>
    <row r="2170" spans="1:9" x14ac:dyDescent="0.2">
      <c r="A2170" s="1">
        <v>44904</v>
      </c>
      <c r="B2170">
        <v>19116</v>
      </c>
      <c r="C2170">
        <v>49007</v>
      </c>
      <c r="D2170">
        <v>20968</v>
      </c>
      <c r="E2170">
        <v>8956</v>
      </c>
      <c r="F2170">
        <v>72</v>
      </c>
      <c r="G2170" t="s">
        <v>20</v>
      </c>
      <c r="H2170" t="str">
        <f>IF(Grammys[[#This Row],[date]] &gt;= DATE(2022, 2, 1), "Grammys", "Grammys + TRA")</f>
        <v>Grammys</v>
      </c>
      <c r="I2170">
        <f>_xlfn.XLOOKUP(Grammys[[#This Row],[date]], mobile_visits[date], mobile_visits[mobile_visitors], 0)</f>
        <v>13171</v>
      </c>
    </row>
    <row r="2171" spans="1:9" x14ac:dyDescent="0.2">
      <c r="A2171" s="1">
        <v>44905</v>
      </c>
      <c r="B2171">
        <v>18114</v>
      </c>
      <c r="C2171">
        <v>46423</v>
      </c>
      <c r="D2171">
        <v>19557</v>
      </c>
      <c r="E2171">
        <v>8703</v>
      </c>
      <c r="F2171">
        <v>79</v>
      </c>
      <c r="G2171" t="s">
        <v>20</v>
      </c>
      <c r="H2171" t="str">
        <f>IF(Grammys[[#This Row],[date]] &gt;= DATE(2022, 2, 1), "Grammys", "Grammys + TRA")</f>
        <v>Grammys</v>
      </c>
      <c r="I2171">
        <f>_xlfn.XLOOKUP(Grammys[[#This Row],[date]], mobile_visits[date], mobile_visits[mobile_visitors], 0)</f>
        <v>13681</v>
      </c>
    </row>
    <row r="2172" spans="1:9" x14ac:dyDescent="0.2">
      <c r="A2172" s="1">
        <v>44906</v>
      </c>
      <c r="B2172">
        <v>17517</v>
      </c>
      <c r="C2172">
        <v>44295</v>
      </c>
      <c r="D2172">
        <v>19239</v>
      </c>
      <c r="E2172">
        <v>8802</v>
      </c>
      <c r="F2172">
        <v>73</v>
      </c>
      <c r="G2172" t="s">
        <v>20</v>
      </c>
      <c r="H2172" t="str">
        <f>IF(Grammys[[#This Row],[date]] &gt;= DATE(2022, 2, 1), "Grammys", "Grammys + TRA")</f>
        <v>Grammys</v>
      </c>
      <c r="I2172">
        <f>_xlfn.XLOOKUP(Grammys[[#This Row],[date]], mobile_visits[date], mobile_visits[mobile_visitors], 0)</f>
        <v>12380</v>
      </c>
    </row>
    <row r="2173" spans="1:9" x14ac:dyDescent="0.2">
      <c r="A2173" s="1">
        <v>44907</v>
      </c>
      <c r="B2173">
        <v>19425</v>
      </c>
      <c r="C2173">
        <v>48112</v>
      </c>
      <c r="D2173">
        <v>21505</v>
      </c>
      <c r="E2173">
        <v>9972</v>
      </c>
      <c r="F2173">
        <v>76</v>
      </c>
      <c r="G2173" t="s">
        <v>20</v>
      </c>
      <c r="H2173" t="str">
        <f>IF(Grammys[[#This Row],[date]] &gt;= DATE(2022, 2, 1), "Grammys", "Grammys + TRA")</f>
        <v>Grammys</v>
      </c>
      <c r="I2173">
        <f>_xlfn.XLOOKUP(Grammys[[#This Row],[date]], mobile_visits[date], mobile_visits[mobile_visitors], 0)</f>
        <v>12124</v>
      </c>
    </row>
    <row r="2174" spans="1:9" x14ac:dyDescent="0.2">
      <c r="A2174" s="1">
        <v>44908</v>
      </c>
      <c r="B2174">
        <v>19116</v>
      </c>
      <c r="C2174">
        <v>46308</v>
      </c>
      <c r="D2174">
        <v>20622</v>
      </c>
      <c r="E2174">
        <v>9507</v>
      </c>
      <c r="F2174">
        <v>78</v>
      </c>
      <c r="G2174" t="s">
        <v>20</v>
      </c>
      <c r="H2174" t="str">
        <f>IF(Grammys[[#This Row],[date]] &gt;= DATE(2022, 2, 1), "Grammys", "Grammys + TRA")</f>
        <v>Grammys</v>
      </c>
      <c r="I2174">
        <f>_xlfn.XLOOKUP(Grammys[[#This Row],[date]], mobile_visits[date], mobile_visits[mobile_visitors], 0)</f>
        <v>11919</v>
      </c>
    </row>
    <row r="2175" spans="1:9" x14ac:dyDescent="0.2">
      <c r="A2175" s="1">
        <v>44909</v>
      </c>
      <c r="B2175">
        <v>20520</v>
      </c>
      <c r="C2175">
        <v>49148</v>
      </c>
      <c r="D2175">
        <v>23178</v>
      </c>
      <c r="E2175">
        <v>11664</v>
      </c>
      <c r="F2175">
        <v>71</v>
      </c>
      <c r="G2175" t="s">
        <v>20</v>
      </c>
      <c r="H2175" t="str">
        <f>IF(Grammys[[#This Row],[date]] &gt;= DATE(2022, 2, 1), "Grammys", "Grammys + TRA")</f>
        <v>Grammys</v>
      </c>
      <c r="I2175">
        <f>_xlfn.XLOOKUP(Grammys[[#This Row],[date]], mobile_visits[date], mobile_visits[mobile_visitors], 0)</f>
        <v>13610</v>
      </c>
    </row>
    <row r="2176" spans="1:9" x14ac:dyDescent="0.2">
      <c r="A2176" s="1">
        <v>44910</v>
      </c>
      <c r="B2176">
        <v>19881</v>
      </c>
      <c r="C2176">
        <v>49132</v>
      </c>
      <c r="D2176">
        <v>21876</v>
      </c>
      <c r="E2176">
        <v>10315</v>
      </c>
      <c r="F2176">
        <v>73</v>
      </c>
      <c r="G2176" t="s">
        <v>20</v>
      </c>
      <c r="H2176" t="str">
        <f>IF(Grammys[[#This Row],[date]] &gt;= DATE(2022, 2, 1), "Grammys", "Grammys + TRA")</f>
        <v>Grammys</v>
      </c>
      <c r="I2176">
        <f>_xlfn.XLOOKUP(Grammys[[#This Row],[date]], mobile_visits[date], mobile_visits[mobile_visitors], 0)</f>
        <v>12841</v>
      </c>
    </row>
    <row r="2177" spans="1:9" x14ac:dyDescent="0.2">
      <c r="A2177" s="1">
        <v>44911</v>
      </c>
      <c r="B2177">
        <v>18308</v>
      </c>
      <c r="C2177">
        <v>45907</v>
      </c>
      <c r="D2177">
        <v>19925</v>
      </c>
      <c r="E2177">
        <v>9150</v>
      </c>
      <c r="F2177">
        <v>76</v>
      </c>
      <c r="G2177" t="s">
        <v>20</v>
      </c>
      <c r="H2177" t="str">
        <f>IF(Grammys[[#This Row],[date]] &gt;= DATE(2022, 2, 1), "Grammys", "Grammys + TRA")</f>
        <v>Grammys</v>
      </c>
      <c r="I2177">
        <f>_xlfn.XLOOKUP(Grammys[[#This Row],[date]], mobile_visits[date], mobile_visits[mobile_visitors], 0)</f>
        <v>12311</v>
      </c>
    </row>
    <row r="2178" spans="1:9" x14ac:dyDescent="0.2">
      <c r="A2178" s="1">
        <v>44912</v>
      </c>
      <c r="B2178">
        <v>16285</v>
      </c>
      <c r="C2178">
        <v>42439</v>
      </c>
      <c r="D2178">
        <v>17768</v>
      </c>
      <c r="E2178">
        <v>7877</v>
      </c>
      <c r="F2178">
        <v>72</v>
      </c>
      <c r="G2178" t="s">
        <v>20</v>
      </c>
      <c r="H2178" t="str">
        <f>IF(Grammys[[#This Row],[date]] &gt;= DATE(2022, 2, 1), "Grammys", "Grammys + TRA")</f>
        <v>Grammys</v>
      </c>
      <c r="I2178">
        <f>_xlfn.XLOOKUP(Grammys[[#This Row],[date]], mobile_visits[date], mobile_visits[mobile_visitors], 0)</f>
        <v>12843</v>
      </c>
    </row>
    <row r="2179" spans="1:9" x14ac:dyDescent="0.2">
      <c r="A2179" s="1">
        <v>44913</v>
      </c>
      <c r="B2179">
        <v>16882</v>
      </c>
      <c r="C2179">
        <v>44035</v>
      </c>
      <c r="D2179">
        <v>18370</v>
      </c>
      <c r="E2179">
        <v>8280</v>
      </c>
      <c r="F2179">
        <v>76</v>
      </c>
      <c r="G2179" t="s">
        <v>20</v>
      </c>
      <c r="H2179" t="str">
        <f>IF(Grammys[[#This Row],[date]] &gt;= DATE(2022, 2, 1), "Grammys", "Grammys + TRA")</f>
        <v>Grammys</v>
      </c>
      <c r="I2179">
        <f>_xlfn.XLOOKUP(Grammys[[#This Row],[date]], mobile_visits[date], mobile_visits[mobile_visitors], 0)</f>
        <v>12762</v>
      </c>
    </row>
    <row r="2180" spans="1:9" x14ac:dyDescent="0.2">
      <c r="A2180" s="1">
        <v>44914</v>
      </c>
      <c r="B2180">
        <v>16884</v>
      </c>
      <c r="C2180">
        <v>43078</v>
      </c>
      <c r="D2180">
        <v>18633</v>
      </c>
      <c r="E2180">
        <v>8216</v>
      </c>
      <c r="F2180">
        <v>79</v>
      </c>
      <c r="G2180" t="s">
        <v>20</v>
      </c>
      <c r="H2180" t="str">
        <f>IF(Grammys[[#This Row],[date]] &gt;= DATE(2022, 2, 1), "Grammys", "Grammys + TRA")</f>
        <v>Grammys</v>
      </c>
      <c r="I2180">
        <f>_xlfn.XLOOKUP(Grammys[[#This Row],[date]], mobile_visits[date], mobile_visits[mobile_visitors], 0)</f>
        <v>11460</v>
      </c>
    </row>
    <row r="2181" spans="1:9" x14ac:dyDescent="0.2">
      <c r="A2181" s="1">
        <v>44915</v>
      </c>
      <c r="B2181">
        <v>17975</v>
      </c>
      <c r="C2181">
        <v>44573</v>
      </c>
      <c r="D2181">
        <v>19722</v>
      </c>
      <c r="E2181">
        <v>8889</v>
      </c>
      <c r="F2181">
        <v>77</v>
      </c>
      <c r="G2181" t="s">
        <v>20</v>
      </c>
      <c r="H2181" t="str">
        <f>IF(Grammys[[#This Row],[date]] &gt;= DATE(2022, 2, 1), "Grammys", "Grammys + TRA")</f>
        <v>Grammys</v>
      </c>
      <c r="I2181">
        <f>_xlfn.XLOOKUP(Grammys[[#This Row],[date]], mobile_visits[date], mobile_visits[mobile_visitors], 0)</f>
        <v>12291</v>
      </c>
    </row>
    <row r="2182" spans="1:9" x14ac:dyDescent="0.2">
      <c r="A2182" s="1">
        <v>44916</v>
      </c>
      <c r="B2182">
        <v>34234</v>
      </c>
      <c r="C2182">
        <v>92235</v>
      </c>
      <c r="D2182">
        <v>36868</v>
      </c>
      <c r="E2182">
        <v>14409</v>
      </c>
      <c r="F2182">
        <v>100</v>
      </c>
      <c r="G2182" t="s">
        <v>20</v>
      </c>
      <c r="H2182" t="str">
        <f>IF(Grammys[[#This Row],[date]] &gt;= DATE(2022, 2, 1), "Grammys", "Grammys + TRA")</f>
        <v>Grammys</v>
      </c>
      <c r="I2182">
        <f>_xlfn.XLOOKUP(Grammys[[#This Row],[date]], mobile_visits[date], mobile_visits[mobile_visitors], 0)</f>
        <v>25316</v>
      </c>
    </row>
    <row r="2183" spans="1:9" x14ac:dyDescent="0.2">
      <c r="A2183" s="1">
        <v>44917</v>
      </c>
      <c r="B2183">
        <v>26118</v>
      </c>
      <c r="C2183">
        <v>67667</v>
      </c>
      <c r="D2183">
        <v>28304</v>
      </c>
      <c r="E2183">
        <v>12236</v>
      </c>
      <c r="F2183">
        <v>83</v>
      </c>
      <c r="G2183" t="s">
        <v>20</v>
      </c>
      <c r="H2183" t="str">
        <f>IF(Grammys[[#This Row],[date]] &gt;= DATE(2022, 2, 1), "Grammys", "Grammys + TRA")</f>
        <v>Grammys</v>
      </c>
      <c r="I2183">
        <f>_xlfn.XLOOKUP(Grammys[[#This Row],[date]], mobile_visits[date], mobile_visits[mobile_visitors], 0)</f>
        <v>19208</v>
      </c>
    </row>
    <row r="2184" spans="1:9" x14ac:dyDescent="0.2">
      <c r="A2184" s="1">
        <v>44918</v>
      </c>
      <c r="B2184">
        <v>20065</v>
      </c>
      <c r="C2184">
        <v>50345</v>
      </c>
      <c r="D2184">
        <v>22605</v>
      </c>
      <c r="E2184">
        <v>10788</v>
      </c>
      <c r="F2184">
        <v>71</v>
      </c>
      <c r="G2184" t="s">
        <v>20</v>
      </c>
      <c r="H2184" t="str">
        <f>IF(Grammys[[#This Row],[date]] &gt;= DATE(2022, 2, 1), "Grammys", "Grammys + TRA")</f>
        <v>Grammys</v>
      </c>
      <c r="I2184">
        <f>_xlfn.XLOOKUP(Grammys[[#This Row],[date]], mobile_visits[date], mobile_visits[mobile_visitors], 0)</f>
        <v>15919</v>
      </c>
    </row>
    <row r="2185" spans="1:9" x14ac:dyDescent="0.2">
      <c r="A2185" s="1">
        <v>44919</v>
      </c>
      <c r="B2185">
        <v>16347</v>
      </c>
      <c r="C2185">
        <v>40634</v>
      </c>
      <c r="D2185">
        <v>17829</v>
      </c>
      <c r="E2185">
        <v>8104</v>
      </c>
      <c r="F2185">
        <v>71</v>
      </c>
      <c r="G2185" t="s">
        <v>20</v>
      </c>
      <c r="H2185" t="str">
        <f>IF(Grammys[[#This Row],[date]] &gt;= DATE(2022, 2, 1), "Grammys", "Grammys + TRA")</f>
        <v>Grammys</v>
      </c>
      <c r="I2185">
        <f>_xlfn.XLOOKUP(Grammys[[#This Row],[date]], mobile_visits[date], mobile_visits[mobile_visitors], 0)</f>
        <v>13140</v>
      </c>
    </row>
    <row r="2186" spans="1:9" x14ac:dyDescent="0.2">
      <c r="A2186" s="1">
        <v>44920</v>
      </c>
      <c r="B2186">
        <v>15042</v>
      </c>
      <c r="C2186">
        <v>36722</v>
      </c>
      <c r="D2186">
        <v>16224</v>
      </c>
      <c r="E2186">
        <v>7371</v>
      </c>
      <c r="F2186">
        <v>73</v>
      </c>
      <c r="G2186" t="s">
        <v>20</v>
      </c>
      <c r="H2186" t="str">
        <f>IF(Grammys[[#This Row],[date]] &gt;= DATE(2022, 2, 1), "Grammys", "Grammys + TRA")</f>
        <v>Grammys</v>
      </c>
      <c r="I2186">
        <f>_xlfn.XLOOKUP(Grammys[[#This Row],[date]], mobile_visits[date], mobile_visits[mobile_visitors], 0)</f>
        <v>12408</v>
      </c>
    </row>
    <row r="2187" spans="1:9" x14ac:dyDescent="0.2">
      <c r="A2187" s="1">
        <v>44921</v>
      </c>
      <c r="B2187">
        <v>16458</v>
      </c>
      <c r="C2187">
        <v>41674</v>
      </c>
      <c r="D2187">
        <v>17884</v>
      </c>
      <c r="E2187">
        <v>7893</v>
      </c>
      <c r="F2187">
        <v>78</v>
      </c>
      <c r="G2187" t="s">
        <v>20</v>
      </c>
      <c r="H2187" t="str">
        <f>IF(Grammys[[#This Row],[date]] &gt;= DATE(2022, 2, 1), "Grammys", "Grammys + TRA")</f>
        <v>Grammys</v>
      </c>
      <c r="I2187">
        <f>_xlfn.XLOOKUP(Grammys[[#This Row],[date]], mobile_visits[date], mobile_visits[mobile_visitors], 0)</f>
        <v>12416</v>
      </c>
    </row>
    <row r="2188" spans="1:9" x14ac:dyDescent="0.2">
      <c r="A2188" s="1">
        <v>44922</v>
      </c>
      <c r="B2188">
        <v>16794</v>
      </c>
      <c r="C2188">
        <v>43657</v>
      </c>
      <c r="D2188">
        <v>18528</v>
      </c>
      <c r="E2188">
        <v>7997</v>
      </c>
      <c r="F2188">
        <v>81</v>
      </c>
      <c r="G2188" t="s">
        <v>20</v>
      </c>
      <c r="H2188" t="str">
        <f>IF(Grammys[[#This Row],[date]] &gt;= DATE(2022, 2, 1), "Grammys", "Grammys + TRA")</f>
        <v>Grammys</v>
      </c>
      <c r="I2188">
        <f>_xlfn.XLOOKUP(Grammys[[#This Row],[date]], mobile_visits[date], mobile_visits[mobile_visitors], 0)</f>
        <v>12283</v>
      </c>
    </row>
    <row r="2189" spans="1:9" x14ac:dyDescent="0.2">
      <c r="A2189" s="1">
        <v>44923</v>
      </c>
      <c r="B2189">
        <v>21087</v>
      </c>
      <c r="C2189">
        <v>53209</v>
      </c>
      <c r="D2189">
        <v>22893</v>
      </c>
      <c r="E2189">
        <v>10270</v>
      </c>
      <c r="F2189">
        <v>76</v>
      </c>
      <c r="G2189" t="s">
        <v>20</v>
      </c>
      <c r="H2189" t="str">
        <f>IF(Grammys[[#This Row],[date]] &gt;= DATE(2022, 2, 1), "Grammys", "Grammys + TRA")</f>
        <v>Grammys</v>
      </c>
      <c r="I2189">
        <f>_xlfn.XLOOKUP(Grammys[[#This Row],[date]], mobile_visits[date], mobile_visits[mobile_visitors], 0)</f>
        <v>15716</v>
      </c>
    </row>
    <row r="2190" spans="1:9" x14ac:dyDescent="0.2">
      <c r="A2190" s="1">
        <v>44924</v>
      </c>
      <c r="B2190">
        <v>19914</v>
      </c>
      <c r="C2190">
        <v>50427</v>
      </c>
      <c r="D2190">
        <v>21923</v>
      </c>
      <c r="E2190">
        <v>9872</v>
      </c>
      <c r="F2190">
        <v>74</v>
      </c>
      <c r="G2190" t="s">
        <v>20</v>
      </c>
      <c r="H2190" t="str">
        <f>IF(Grammys[[#This Row],[date]] &gt;= DATE(2022, 2, 1), "Grammys", "Grammys + TRA")</f>
        <v>Grammys</v>
      </c>
      <c r="I2190">
        <f>_xlfn.XLOOKUP(Grammys[[#This Row],[date]], mobile_visits[date], mobile_visits[mobile_visitors], 0)</f>
        <v>15168</v>
      </c>
    </row>
    <row r="2191" spans="1:9" x14ac:dyDescent="0.2">
      <c r="A2191" s="1">
        <v>44925</v>
      </c>
      <c r="B2191">
        <v>19732</v>
      </c>
      <c r="C2191">
        <v>51678</v>
      </c>
      <c r="D2191">
        <v>21632</v>
      </c>
      <c r="E2191">
        <v>9207</v>
      </c>
      <c r="F2191">
        <v>76</v>
      </c>
      <c r="G2191" t="s">
        <v>20</v>
      </c>
      <c r="H2191" t="str">
        <f>IF(Grammys[[#This Row],[date]] &gt;= DATE(2022, 2, 1), "Grammys", "Grammys + TRA")</f>
        <v>Grammys</v>
      </c>
      <c r="I2191">
        <f>_xlfn.XLOOKUP(Grammys[[#This Row],[date]], mobile_visits[date], mobile_visits[mobile_visitors], 0)</f>
        <v>14673</v>
      </c>
    </row>
    <row r="2192" spans="1:9" x14ac:dyDescent="0.2">
      <c r="A2192" s="1">
        <v>44926</v>
      </c>
      <c r="B2192">
        <v>27350</v>
      </c>
      <c r="C2192">
        <v>71840</v>
      </c>
      <c r="D2192">
        <v>29593</v>
      </c>
      <c r="E2192">
        <v>11796</v>
      </c>
      <c r="F2192">
        <v>64</v>
      </c>
      <c r="G2192" t="s">
        <v>20</v>
      </c>
      <c r="H2192" t="str">
        <f>IF(Grammys[[#This Row],[date]] &gt;= DATE(2022, 2, 1), "Grammys", "Grammys + TRA")</f>
        <v>Grammys</v>
      </c>
      <c r="I2192">
        <f>_xlfn.XLOOKUP(Grammys[[#This Row],[date]], mobile_visits[date], mobile_visits[mobile_visitors], 0)</f>
        <v>22344</v>
      </c>
    </row>
    <row r="2193" spans="1:9" x14ac:dyDescent="0.2">
      <c r="A2193" s="1">
        <v>44927</v>
      </c>
      <c r="B2193">
        <v>23236</v>
      </c>
      <c r="C2193">
        <v>60374</v>
      </c>
      <c r="D2193">
        <v>25532</v>
      </c>
      <c r="E2193">
        <v>11066</v>
      </c>
      <c r="F2193">
        <v>75</v>
      </c>
      <c r="G2193" t="s">
        <v>20</v>
      </c>
      <c r="H2193" t="str">
        <f>IF(Grammys[[#This Row],[date]] &gt;= DATE(2022, 2, 1), "Grammys", "Grammys + TRA")</f>
        <v>Grammys</v>
      </c>
      <c r="I2193">
        <f>_xlfn.XLOOKUP(Grammys[[#This Row],[date]], mobile_visits[date], mobile_visits[mobile_visitors], 0)</f>
        <v>18542</v>
      </c>
    </row>
    <row r="2194" spans="1:9" x14ac:dyDescent="0.2">
      <c r="A2194" s="1">
        <v>44928</v>
      </c>
      <c r="B2194">
        <v>21469</v>
      </c>
      <c r="C2194">
        <v>56678</v>
      </c>
      <c r="D2194">
        <v>23612</v>
      </c>
      <c r="E2194">
        <v>10036</v>
      </c>
      <c r="F2194">
        <v>81</v>
      </c>
      <c r="G2194" t="s">
        <v>20</v>
      </c>
      <c r="H2194" t="str">
        <f>IF(Grammys[[#This Row],[date]] &gt;= DATE(2022, 2, 1), "Grammys", "Grammys + TRA")</f>
        <v>Grammys</v>
      </c>
      <c r="I2194">
        <f>_xlfn.XLOOKUP(Grammys[[#This Row],[date]], mobile_visits[date], mobile_visits[mobile_visitors], 0)</f>
        <v>16567</v>
      </c>
    </row>
    <row r="2195" spans="1:9" x14ac:dyDescent="0.2">
      <c r="A2195" s="1">
        <v>44929</v>
      </c>
      <c r="B2195">
        <v>23516</v>
      </c>
      <c r="C2195">
        <v>60912</v>
      </c>
      <c r="D2195">
        <v>25660</v>
      </c>
      <c r="E2195">
        <v>10803</v>
      </c>
      <c r="F2195">
        <v>78</v>
      </c>
      <c r="G2195" t="s">
        <v>20</v>
      </c>
      <c r="H2195" t="str">
        <f>IF(Grammys[[#This Row],[date]] &gt;= DATE(2022, 2, 1), "Grammys", "Grammys + TRA")</f>
        <v>Grammys</v>
      </c>
      <c r="I2195">
        <f>_xlfn.XLOOKUP(Grammys[[#This Row],[date]], mobile_visits[date], mobile_visits[mobile_visitors], 0)</f>
        <v>16684</v>
      </c>
    </row>
    <row r="2196" spans="1:9" x14ac:dyDescent="0.2">
      <c r="A2196" s="1">
        <v>44930</v>
      </c>
      <c r="B2196">
        <v>26984</v>
      </c>
      <c r="C2196">
        <v>74166</v>
      </c>
      <c r="D2196">
        <v>29988</v>
      </c>
      <c r="E2196">
        <v>12314</v>
      </c>
      <c r="F2196">
        <v>82</v>
      </c>
      <c r="G2196" t="s">
        <v>20</v>
      </c>
      <c r="H2196" t="str">
        <f>IF(Grammys[[#This Row],[date]] &gt;= DATE(2022, 2, 1), "Grammys", "Grammys + TRA")</f>
        <v>Grammys</v>
      </c>
      <c r="I2196">
        <f>_xlfn.XLOOKUP(Grammys[[#This Row],[date]], mobile_visits[date], mobile_visits[mobile_visitors], 0)</f>
        <v>19448</v>
      </c>
    </row>
    <row r="2197" spans="1:9" x14ac:dyDescent="0.2">
      <c r="A2197" s="1">
        <v>44931</v>
      </c>
      <c r="B2197">
        <v>34723</v>
      </c>
      <c r="C2197">
        <v>86444</v>
      </c>
      <c r="D2197">
        <v>38021</v>
      </c>
      <c r="E2197">
        <v>17042</v>
      </c>
      <c r="F2197">
        <v>72</v>
      </c>
      <c r="G2197" t="s">
        <v>20</v>
      </c>
      <c r="H2197" t="str">
        <f>IF(Grammys[[#This Row],[date]] &gt;= DATE(2022, 2, 1), "Grammys", "Grammys + TRA")</f>
        <v>Grammys</v>
      </c>
      <c r="I2197">
        <f>_xlfn.XLOOKUP(Grammys[[#This Row],[date]], mobile_visits[date], mobile_visits[mobile_visitors], 0)</f>
        <v>27265</v>
      </c>
    </row>
    <row r="2198" spans="1:9" x14ac:dyDescent="0.2">
      <c r="A2198" s="1">
        <v>44932</v>
      </c>
      <c r="B2198">
        <v>25792</v>
      </c>
      <c r="C2198">
        <v>66397</v>
      </c>
      <c r="D2198">
        <v>28576</v>
      </c>
      <c r="E2198">
        <v>13265</v>
      </c>
      <c r="F2198">
        <v>78</v>
      </c>
      <c r="G2198" t="s">
        <v>20</v>
      </c>
      <c r="H2198" t="str">
        <f>IF(Grammys[[#This Row],[date]] &gt;= DATE(2022, 2, 1), "Grammys", "Grammys + TRA")</f>
        <v>Grammys</v>
      </c>
      <c r="I2198">
        <f>_xlfn.XLOOKUP(Grammys[[#This Row],[date]], mobile_visits[date], mobile_visits[mobile_visitors], 0)</f>
        <v>19012</v>
      </c>
    </row>
    <row r="2199" spans="1:9" x14ac:dyDescent="0.2">
      <c r="A2199" s="1">
        <v>44933</v>
      </c>
      <c r="B2199">
        <v>22199</v>
      </c>
      <c r="C2199">
        <v>58042</v>
      </c>
      <c r="D2199">
        <v>24459</v>
      </c>
      <c r="E2199">
        <v>10777</v>
      </c>
      <c r="F2199">
        <v>72</v>
      </c>
      <c r="G2199" t="s">
        <v>20</v>
      </c>
      <c r="H2199" t="str">
        <f>IF(Grammys[[#This Row],[date]] &gt;= DATE(2022, 2, 1), "Grammys", "Grammys + TRA")</f>
        <v>Grammys</v>
      </c>
      <c r="I2199">
        <f>_xlfn.XLOOKUP(Grammys[[#This Row],[date]], mobile_visits[date], mobile_visits[mobile_visitors], 0)</f>
        <v>18131</v>
      </c>
    </row>
    <row r="2200" spans="1:9" x14ac:dyDescent="0.2">
      <c r="A2200" s="1">
        <v>44934</v>
      </c>
      <c r="B2200">
        <v>24901</v>
      </c>
      <c r="C2200">
        <v>65539</v>
      </c>
      <c r="D2200">
        <v>27031</v>
      </c>
      <c r="E2200">
        <v>11672</v>
      </c>
      <c r="F2200">
        <v>80</v>
      </c>
      <c r="G2200" t="s">
        <v>20</v>
      </c>
      <c r="H2200" t="str">
        <f>IF(Grammys[[#This Row],[date]] &gt;= DATE(2022, 2, 1), "Grammys", "Grammys + TRA")</f>
        <v>Grammys</v>
      </c>
      <c r="I2200">
        <f>_xlfn.XLOOKUP(Grammys[[#This Row],[date]], mobile_visits[date], mobile_visits[mobile_visitors], 0)</f>
        <v>18695</v>
      </c>
    </row>
    <row r="2201" spans="1:9" x14ac:dyDescent="0.2">
      <c r="A2201" s="1">
        <v>44935</v>
      </c>
      <c r="B2201">
        <v>24156</v>
      </c>
      <c r="C2201">
        <v>64106</v>
      </c>
      <c r="D2201">
        <v>26744</v>
      </c>
      <c r="E2201">
        <v>11869</v>
      </c>
      <c r="F2201">
        <v>81</v>
      </c>
      <c r="G2201" t="s">
        <v>20</v>
      </c>
      <c r="H2201" t="str">
        <f>IF(Grammys[[#This Row],[date]] &gt;= DATE(2022, 2, 1), "Grammys", "Grammys + TRA")</f>
        <v>Grammys</v>
      </c>
      <c r="I2201">
        <f>_xlfn.XLOOKUP(Grammys[[#This Row],[date]], mobile_visits[date], mobile_visits[mobile_visitors], 0)</f>
        <v>15812</v>
      </c>
    </row>
    <row r="2202" spans="1:9" x14ac:dyDescent="0.2">
      <c r="A2202" s="1">
        <v>44936</v>
      </c>
      <c r="B2202">
        <v>29935</v>
      </c>
      <c r="C2202">
        <v>80496</v>
      </c>
      <c r="D2202">
        <v>32310</v>
      </c>
      <c r="E2202">
        <v>13913</v>
      </c>
      <c r="F2202">
        <v>82</v>
      </c>
      <c r="G2202" t="s">
        <v>20</v>
      </c>
      <c r="H2202" t="str">
        <f>IF(Grammys[[#This Row],[date]] &gt;= DATE(2022, 2, 1), "Grammys", "Grammys + TRA")</f>
        <v>Grammys</v>
      </c>
      <c r="I2202">
        <f>_xlfn.XLOOKUP(Grammys[[#This Row],[date]], mobile_visits[date], mobile_visits[mobile_visitors], 0)</f>
        <v>19870</v>
      </c>
    </row>
    <row r="2203" spans="1:9" x14ac:dyDescent="0.2">
      <c r="A2203" s="1">
        <v>44937</v>
      </c>
      <c r="B2203">
        <v>32371</v>
      </c>
      <c r="C2203">
        <v>86980</v>
      </c>
      <c r="D2203">
        <v>35562</v>
      </c>
      <c r="E2203">
        <v>15303</v>
      </c>
      <c r="F2203">
        <v>83</v>
      </c>
      <c r="G2203" t="s">
        <v>20</v>
      </c>
      <c r="H2203" t="str">
        <f>IF(Grammys[[#This Row],[date]] &gt;= DATE(2022, 2, 1), "Grammys", "Grammys + TRA")</f>
        <v>Grammys</v>
      </c>
      <c r="I2203">
        <f>_xlfn.XLOOKUP(Grammys[[#This Row],[date]], mobile_visits[date], mobile_visits[mobile_visitors], 0)</f>
        <v>22150</v>
      </c>
    </row>
    <row r="2204" spans="1:9" x14ac:dyDescent="0.2">
      <c r="A2204" s="1">
        <v>44938</v>
      </c>
      <c r="B2204">
        <v>29192</v>
      </c>
      <c r="C2204">
        <v>74991</v>
      </c>
      <c r="D2204">
        <v>31842</v>
      </c>
      <c r="E2204">
        <v>13976</v>
      </c>
      <c r="F2204">
        <v>87</v>
      </c>
      <c r="G2204" t="s">
        <v>20</v>
      </c>
      <c r="H2204" t="str">
        <f>IF(Grammys[[#This Row],[date]] &gt;= DATE(2022, 2, 1), "Grammys", "Grammys + TRA")</f>
        <v>Grammys</v>
      </c>
      <c r="I2204">
        <f>_xlfn.XLOOKUP(Grammys[[#This Row],[date]], mobile_visits[date], mobile_visits[mobile_visitors], 0)</f>
        <v>19935</v>
      </c>
    </row>
    <row r="2205" spans="1:9" x14ac:dyDescent="0.2">
      <c r="A2205" s="1">
        <v>44939</v>
      </c>
      <c r="B2205">
        <v>26645</v>
      </c>
      <c r="C2205">
        <v>69538</v>
      </c>
      <c r="D2205">
        <v>29965</v>
      </c>
      <c r="E2205">
        <v>13299</v>
      </c>
      <c r="F2205">
        <v>81</v>
      </c>
      <c r="G2205" t="s">
        <v>20</v>
      </c>
      <c r="H2205" t="str">
        <f>IF(Grammys[[#This Row],[date]] &gt;= DATE(2022, 2, 1), "Grammys", "Grammys + TRA")</f>
        <v>Grammys</v>
      </c>
      <c r="I2205">
        <f>_xlfn.XLOOKUP(Grammys[[#This Row],[date]], mobile_visits[date], mobile_visits[mobile_visitors], 0)</f>
        <v>18744</v>
      </c>
    </row>
    <row r="2206" spans="1:9" x14ac:dyDescent="0.2">
      <c r="A2206" s="1">
        <v>44940</v>
      </c>
      <c r="B2206">
        <v>24105</v>
      </c>
      <c r="C2206">
        <v>62570</v>
      </c>
      <c r="D2206">
        <v>26535</v>
      </c>
      <c r="E2206">
        <v>11395</v>
      </c>
      <c r="F2206">
        <v>76</v>
      </c>
      <c r="G2206" t="s">
        <v>20</v>
      </c>
      <c r="H2206" t="str">
        <f>IF(Grammys[[#This Row],[date]] &gt;= DATE(2022, 2, 1), "Grammys", "Grammys + TRA")</f>
        <v>Grammys</v>
      </c>
      <c r="I2206">
        <f>_xlfn.XLOOKUP(Grammys[[#This Row],[date]], mobile_visits[date], mobile_visits[mobile_visitors], 0)</f>
        <v>19072</v>
      </c>
    </row>
    <row r="2207" spans="1:9" x14ac:dyDescent="0.2">
      <c r="A2207" s="1">
        <v>44941</v>
      </c>
      <c r="B2207">
        <v>26010</v>
      </c>
      <c r="C2207">
        <v>68642</v>
      </c>
      <c r="D2207">
        <v>28347</v>
      </c>
      <c r="E2207">
        <v>11787</v>
      </c>
      <c r="F2207">
        <v>81</v>
      </c>
      <c r="G2207" t="s">
        <v>20</v>
      </c>
      <c r="H2207" t="str">
        <f>IF(Grammys[[#This Row],[date]] &gt;= DATE(2022, 2, 1), "Grammys", "Grammys + TRA")</f>
        <v>Grammys</v>
      </c>
      <c r="I2207">
        <f>_xlfn.XLOOKUP(Grammys[[#This Row],[date]], mobile_visits[date], mobile_visits[mobile_visitors], 0)</f>
        <v>20586</v>
      </c>
    </row>
    <row r="2208" spans="1:9" x14ac:dyDescent="0.2">
      <c r="A2208" s="1">
        <v>44942</v>
      </c>
      <c r="B2208">
        <v>23335</v>
      </c>
      <c r="C2208">
        <v>64038</v>
      </c>
      <c r="D2208">
        <v>25464</v>
      </c>
      <c r="E2208">
        <v>10420</v>
      </c>
      <c r="F2208">
        <v>87</v>
      </c>
      <c r="G2208" t="s">
        <v>20</v>
      </c>
      <c r="H2208" t="str">
        <f>IF(Grammys[[#This Row],[date]] &gt;= DATE(2022, 2, 1), "Grammys", "Grammys + TRA")</f>
        <v>Grammys</v>
      </c>
      <c r="I2208">
        <f>_xlfn.XLOOKUP(Grammys[[#This Row],[date]], mobile_visits[date], mobile_visits[mobile_visitors], 0)</f>
        <v>18068</v>
      </c>
    </row>
    <row r="2209" spans="1:9" x14ac:dyDescent="0.2">
      <c r="A2209" s="1">
        <v>44943</v>
      </c>
      <c r="B2209">
        <v>23291</v>
      </c>
      <c r="C2209">
        <v>145866</v>
      </c>
      <c r="D2209">
        <v>25791</v>
      </c>
      <c r="E2209">
        <v>5587</v>
      </c>
      <c r="F2209">
        <v>113</v>
      </c>
      <c r="G2209" t="s">
        <v>20</v>
      </c>
      <c r="H2209" t="str">
        <f>IF(Grammys[[#This Row],[date]] &gt;= DATE(2022, 2, 1), "Grammys", "Grammys + TRA")</f>
        <v>Grammys</v>
      </c>
      <c r="I2209">
        <f>_xlfn.XLOOKUP(Grammys[[#This Row],[date]], mobile_visits[date], mobile_visits[mobile_visitors], 0)</f>
        <v>13904</v>
      </c>
    </row>
    <row r="2210" spans="1:9" x14ac:dyDescent="0.2">
      <c r="A2210" s="1">
        <v>44944</v>
      </c>
      <c r="B2210">
        <v>25933</v>
      </c>
      <c r="C2210">
        <v>170210</v>
      </c>
      <c r="D2210">
        <v>28848</v>
      </c>
      <c r="E2210">
        <v>4602</v>
      </c>
      <c r="F2210">
        <v>137</v>
      </c>
      <c r="G2210" t="s">
        <v>20</v>
      </c>
      <c r="H2210" t="str">
        <f>IF(Grammys[[#This Row],[date]] &gt;= DATE(2022, 2, 1), "Grammys", "Grammys + TRA")</f>
        <v>Grammys</v>
      </c>
      <c r="I2210">
        <f>_xlfn.XLOOKUP(Grammys[[#This Row],[date]], mobile_visits[date], mobile_visits[mobile_visitors], 0)</f>
        <v>16311</v>
      </c>
    </row>
    <row r="2211" spans="1:9" x14ac:dyDescent="0.2">
      <c r="A2211" s="1">
        <v>44945</v>
      </c>
      <c r="B2211">
        <v>27785</v>
      </c>
      <c r="C2211">
        <v>183587</v>
      </c>
      <c r="D2211">
        <v>31964</v>
      </c>
      <c r="E2211">
        <v>4105</v>
      </c>
      <c r="F2211">
        <v>117</v>
      </c>
      <c r="G2211" t="s">
        <v>20</v>
      </c>
      <c r="H2211" t="str">
        <f>IF(Grammys[[#This Row],[date]] &gt;= DATE(2022, 2, 1), "Grammys", "Grammys + TRA")</f>
        <v>Grammys</v>
      </c>
      <c r="I2211">
        <f>_xlfn.XLOOKUP(Grammys[[#This Row],[date]], mobile_visits[date], mobile_visits[mobile_visitors], 0)</f>
        <v>18633</v>
      </c>
    </row>
    <row r="2212" spans="1:9" x14ac:dyDescent="0.2">
      <c r="A2212" s="1">
        <v>44946</v>
      </c>
      <c r="B2212">
        <v>26096</v>
      </c>
      <c r="C2212">
        <v>125693</v>
      </c>
      <c r="D2212">
        <v>29251</v>
      </c>
      <c r="E2212">
        <v>5146</v>
      </c>
      <c r="F2212">
        <v>103</v>
      </c>
      <c r="G2212" t="s">
        <v>20</v>
      </c>
      <c r="H2212" t="str">
        <f>IF(Grammys[[#This Row],[date]] &gt;= DATE(2022, 2, 1), "Grammys", "Grammys + TRA")</f>
        <v>Grammys</v>
      </c>
      <c r="I2212">
        <f>_xlfn.XLOOKUP(Grammys[[#This Row],[date]], mobile_visits[date], mobile_visits[mobile_visitors], 0)</f>
        <v>17152</v>
      </c>
    </row>
    <row r="2213" spans="1:9" x14ac:dyDescent="0.2">
      <c r="A2213" s="1">
        <v>44947</v>
      </c>
      <c r="B2213">
        <v>24615</v>
      </c>
      <c r="C2213">
        <v>64786</v>
      </c>
      <c r="D2213">
        <v>27040</v>
      </c>
      <c r="E2213">
        <v>6531</v>
      </c>
      <c r="F2213">
        <v>84</v>
      </c>
      <c r="G2213" t="s">
        <v>20</v>
      </c>
      <c r="H2213" t="str">
        <f>IF(Grammys[[#This Row],[date]] &gt;= DATE(2022, 2, 1), "Grammys", "Grammys + TRA")</f>
        <v>Grammys</v>
      </c>
      <c r="I2213">
        <f>_xlfn.XLOOKUP(Grammys[[#This Row],[date]], mobile_visits[date], mobile_visits[mobile_visitors], 0)</f>
        <v>19191</v>
      </c>
    </row>
    <row r="2214" spans="1:9" x14ac:dyDescent="0.2">
      <c r="A2214" s="1">
        <v>44948</v>
      </c>
      <c r="B2214">
        <v>39303</v>
      </c>
      <c r="C2214">
        <v>103388</v>
      </c>
      <c r="D2214">
        <v>43345</v>
      </c>
      <c r="E2214">
        <v>10022</v>
      </c>
      <c r="F2214">
        <v>84</v>
      </c>
      <c r="G2214" t="s">
        <v>20</v>
      </c>
      <c r="H2214" t="str">
        <f>IF(Grammys[[#This Row],[date]] &gt;= DATE(2022, 2, 1), "Grammys", "Grammys + TRA")</f>
        <v>Grammys</v>
      </c>
      <c r="I2214">
        <f>_xlfn.XLOOKUP(Grammys[[#This Row],[date]], mobile_visits[date], mobile_visits[mobile_visitors], 0)</f>
        <v>32862</v>
      </c>
    </row>
    <row r="2215" spans="1:9" x14ac:dyDescent="0.2">
      <c r="A2215" s="1">
        <v>44949</v>
      </c>
      <c r="B2215">
        <v>31024</v>
      </c>
      <c r="C2215">
        <v>81100</v>
      </c>
      <c r="D2215">
        <v>34421</v>
      </c>
      <c r="E2215">
        <v>8420</v>
      </c>
      <c r="F2215">
        <v>90</v>
      </c>
      <c r="G2215" t="s">
        <v>20</v>
      </c>
      <c r="H2215" t="str">
        <f>IF(Grammys[[#This Row],[date]] &gt;= DATE(2022, 2, 1), "Grammys", "Grammys + TRA")</f>
        <v>Grammys</v>
      </c>
      <c r="I2215">
        <f>_xlfn.XLOOKUP(Grammys[[#This Row],[date]], mobile_visits[date], mobile_visits[mobile_visitors], 0)</f>
        <v>22211</v>
      </c>
    </row>
    <row r="2216" spans="1:9" x14ac:dyDescent="0.2">
      <c r="A2216" s="1">
        <v>44950</v>
      </c>
      <c r="B2216">
        <v>43446</v>
      </c>
      <c r="C2216">
        <v>115557</v>
      </c>
      <c r="D2216">
        <v>47571</v>
      </c>
      <c r="E2216">
        <v>11770</v>
      </c>
      <c r="F2216">
        <v>90</v>
      </c>
      <c r="G2216" t="s">
        <v>20</v>
      </c>
      <c r="H2216" t="str">
        <f>IF(Grammys[[#This Row],[date]] &gt;= DATE(2022, 2, 1), "Grammys", "Grammys + TRA")</f>
        <v>Grammys</v>
      </c>
      <c r="I2216">
        <f>_xlfn.XLOOKUP(Grammys[[#This Row],[date]], mobile_visits[date], mobile_visits[mobile_visitors], 0)</f>
        <v>29287</v>
      </c>
    </row>
    <row r="2217" spans="1:9" x14ac:dyDescent="0.2">
      <c r="A2217" s="1">
        <v>44951</v>
      </c>
      <c r="B2217">
        <v>52127</v>
      </c>
      <c r="C2217">
        <v>140288</v>
      </c>
      <c r="D2217">
        <v>60202</v>
      </c>
      <c r="E2217">
        <v>11842</v>
      </c>
      <c r="F2217">
        <v>118</v>
      </c>
      <c r="G2217" t="s">
        <v>20</v>
      </c>
      <c r="H2217" t="str">
        <f>IF(Grammys[[#This Row],[date]] &gt;= DATE(2022, 2, 1), "Grammys", "Grammys + TRA")</f>
        <v>Grammys</v>
      </c>
      <c r="I2217">
        <f>_xlfn.XLOOKUP(Grammys[[#This Row],[date]], mobile_visits[date], mobile_visits[mobile_visitors], 0)</f>
        <v>37577</v>
      </c>
    </row>
    <row r="2218" spans="1:9" x14ac:dyDescent="0.2">
      <c r="A2218" s="1">
        <v>44952</v>
      </c>
      <c r="B2218">
        <v>48124</v>
      </c>
      <c r="C2218">
        <v>113561</v>
      </c>
      <c r="D2218">
        <v>53136</v>
      </c>
      <c r="E2218">
        <v>16956</v>
      </c>
      <c r="F2218">
        <v>101</v>
      </c>
      <c r="G2218" t="s">
        <v>20</v>
      </c>
      <c r="H2218" t="str">
        <f>IF(Grammys[[#This Row],[date]] &gt;= DATE(2022, 2, 1), "Grammys", "Grammys + TRA")</f>
        <v>Grammys</v>
      </c>
      <c r="I2218">
        <f>_xlfn.XLOOKUP(Grammys[[#This Row],[date]], mobile_visits[date], mobile_visits[mobile_visitors], 0)</f>
        <v>34174</v>
      </c>
    </row>
    <row r="2219" spans="1:9" x14ac:dyDescent="0.2">
      <c r="A2219" s="1">
        <v>44953</v>
      </c>
      <c r="B2219">
        <v>45990</v>
      </c>
      <c r="C2219">
        <v>99612</v>
      </c>
      <c r="D2219">
        <v>49837</v>
      </c>
      <c r="E2219">
        <v>21176</v>
      </c>
      <c r="F2219">
        <v>90</v>
      </c>
      <c r="G2219" t="s">
        <v>20</v>
      </c>
      <c r="H2219" t="str">
        <f>IF(Grammys[[#This Row],[date]] &gt;= DATE(2022, 2, 1), "Grammys", "Grammys + TRA")</f>
        <v>Grammys</v>
      </c>
      <c r="I2219">
        <f>_xlfn.XLOOKUP(Grammys[[#This Row],[date]], mobile_visits[date], mobile_visits[mobile_visitors], 0)</f>
        <v>33917</v>
      </c>
    </row>
    <row r="2220" spans="1:9" x14ac:dyDescent="0.2">
      <c r="A2220" s="1">
        <v>44954</v>
      </c>
      <c r="B2220">
        <v>42476</v>
      </c>
      <c r="C2220">
        <v>92595</v>
      </c>
      <c r="D2220">
        <v>45642</v>
      </c>
      <c r="E2220">
        <v>17463</v>
      </c>
      <c r="F2220">
        <v>85</v>
      </c>
      <c r="G2220" t="s">
        <v>20</v>
      </c>
      <c r="H2220" t="str">
        <f>IF(Grammys[[#This Row],[date]] &gt;= DATE(2022, 2, 1), "Grammys", "Grammys + TRA")</f>
        <v>Grammys</v>
      </c>
      <c r="I2220">
        <f>_xlfn.XLOOKUP(Grammys[[#This Row],[date]], mobile_visits[date], mobile_visits[mobile_visitors], 0)</f>
        <v>34419</v>
      </c>
    </row>
    <row r="2221" spans="1:9" x14ac:dyDescent="0.2">
      <c r="A2221" s="1">
        <v>44955</v>
      </c>
      <c r="B2221">
        <v>75403</v>
      </c>
      <c r="C2221">
        <v>173982</v>
      </c>
      <c r="D2221">
        <v>81523</v>
      </c>
      <c r="E2221">
        <v>22754</v>
      </c>
      <c r="F2221">
        <v>86</v>
      </c>
      <c r="G2221" t="s">
        <v>20</v>
      </c>
      <c r="H2221" t="str">
        <f>IF(Grammys[[#This Row],[date]] &gt;= DATE(2022, 2, 1), "Grammys", "Grammys + TRA")</f>
        <v>Grammys</v>
      </c>
      <c r="I2221">
        <f>_xlfn.XLOOKUP(Grammys[[#This Row],[date]], mobile_visits[date], mobile_visits[mobile_visitors], 0)</f>
        <v>62861</v>
      </c>
    </row>
    <row r="2222" spans="1:9" x14ac:dyDescent="0.2">
      <c r="A2222" s="1">
        <v>44956</v>
      </c>
      <c r="B2222">
        <v>65228</v>
      </c>
      <c r="C2222">
        <v>152244</v>
      </c>
      <c r="D2222">
        <v>72134</v>
      </c>
      <c r="E2222">
        <v>22932</v>
      </c>
      <c r="F2222">
        <v>90</v>
      </c>
      <c r="G2222" t="s">
        <v>20</v>
      </c>
      <c r="H2222" t="str">
        <f>IF(Grammys[[#This Row],[date]] &gt;= DATE(2022, 2, 1), "Grammys", "Grammys + TRA")</f>
        <v>Grammys</v>
      </c>
      <c r="I2222">
        <f>_xlfn.XLOOKUP(Grammys[[#This Row],[date]], mobile_visits[date], mobile_visits[mobile_visitors], 0)</f>
        <v>47158</v>
      </c>
    </row>
    <row r="2223" spans="1:9" x14ac:dyDescent="0.2">
      <c r="A2223" s="1">
        <v>44957</v>
      </c>
      <c r="B2223">
        <v>64084</v>
      </c>
      <c r="C2223">
        <v>146379</v>
      </c>
      <c r="D2223">
        <v>69878</v>
      </c>
      <c r="E2223">
        <v>26722</v>
      </c>
      <c r="F2223">
        <v>96</v>
      </c>
      <c r="G2223" t="s">
        <v>20</v>
      </c>
      <c r="H2223" t="str">
        <f>IF(Grammys[[#This Row],[date]] &gt;= DATE(2022, 2, 1), "Grammys", "Grammys + TRA")</f>
        <v>Grammys</v>
      </c>
      <c r="I2223">
        <f>_xlfn.XLOOKUP(Grammys[[#This Row],[date]], mobile_visits[date], mobile_visits[mobile_visitors], 0)</f>
        <v>45623</v>
      </c>
    </row>
    <row r="2224" spans="1:9" x14ac:dyDescent="0.2">
      <c r="A2224" s="1">
        <v>44958</v>
      </c>
      <c r="B2224">
        <v>77233</v>
      </c>
      <c r="C2224">
        <v>178624</v>
      </c>
      <c r="D2224">
        <v>84436</v>
      </c>
      <c r="E2224">
        <v>32382</v>
      </c>
      <c r="F2224">
        <v>95</v>
      </c>
      <c r="G2224" t="s">
        <v>20</v>
      </c>
      <c r="H2224" t="str">
        <f>IF(Grammys[[#This Row],[date]] &gt;= DATE(2022, 2, 1), "Grammys", "Grammys + TRA")</f>
        <v>Grammys</v>
      </c>
      <c r="I2224">
        <f>_xlfn.XLOOKUP(Grammys[[#This Row],[date]], mobile_visits[date], mobile_visits[mobile_visitors], 0)</f>
        <v>57546</v>
      </c>
    </row>
    <row r="2225" spans="1:9" x14ac:dyDescent="0.2">
      <c r="A2225" s="1">
        <v>44959</v>
      </c>
      <c r="B2225">
        <v>88913</v>
      </c>
      <c r="C2225">
        <v>203918</v>
      </c>
      <c r="D2225">
        <v>96686</v>
      </c>
      <c r="E2225">
        <v>37708</v>
      </c>
      <c r="F2225">
        <v>92</v>
      </c>
      <c r="G2225" t="s">
        <v>20</v>
      </c>
      <c r="H2225" t="str">
        <f>IF(Grammys[[#This Row],[date]] &gt;= DATE(2022, 2, 1), "Grammys", "Grammys + TRA")</f>
        <v>Grammys</v>
      </c>
      <c r="I2225">
        <f>_xlfn.XLOOKUP(Grammys[[#This Row],[date]], mobile_visits[date], mobile_visits[mobile_visitors], 0)</f>
        <v>66488</v>
      </c>
    </row>
    <row r="2226" spans="1:9" x14ac:dyDescent="0.2">
      <c r="A2226" s="1">
        <v>44960</v>
      </c>
      <c r="B2226">
        <v>123104</v>
      </c>
      <c r="C2226">
        <v>291271</v>
      </c>
      <c r="D2226">
        <v>135224</v>
      </c>
      <c r="E2226">
        <v>46639</v>
      </c>
      <c r="F2226">
        <v>92</v>
      </c>
      <c r="G2226" t="s">
        <v>20</v>
      </c>
      <c r="H2226" t="str">
        <f>IF(Grammys[[#This Row],[date]] &gt;= DATE(2022, 2, 1), "Grammys", "Grammys + TRA")</f>
        <v>Grammys</v>
      </c>
      <c r="I2226">
        <f>_xlfn.XLOOKUP(Grammys[[#This Row],[date]], mobile_visits[date], mobile_visits[mobile_visitors], 0)</f>
        <v>93170</v>
      </c>
    </row>
    <row r="2227" spans="1:9" x14ac:dyDescent="0.2">
      <c r="A2227" s="1">
        <v>44961</v>
      </c>
      <c r="B2227">
        <v>198665</v>
      </c>
      <c r="C2227">
        <v>483438</v>
      </c>
      <c r="D2227">
        <v>220567</v>
      </c>
      <c r="E2227">
        <v>68090</v>
      </c>
      <c r="F2227">
        <v>94</v>
      </c>
      <c r="G2227" t="s">
        <v>20</v>
      </c>
      <c r="H2227" t="str">
        <f>IF(Grammys[[#This Row],[date]] &gt;= DATE(2022, 2, 1), "Grammys", "Grammys + TRA")</f>
        <v>Grammys</v>
      </c>
      <c r="I2227">
        <f>_xlfn.XLOOKUP(Grammys[[#This Row],[date]], mobile_visits[date], mobile_visits[mobile_visitors], 0)</f>
        <v>164559</v>
      </c>
    </row>
    <row r="2228" spans="1:9" x14ac:dyDescent="0.2">
      <c r="A2228" s="1">
        <v>44962</v>
      </c>
      <c r="B2228">
        <v>2824595</v>
      </c>
      <c r="C2228">
        <v>7895521</v>
      </c>
      <c r="D2228">
        <v>3470476</v>
      </c>
      <c r="E2228">
        <v>841244</v>
      </c>
      <c r="F2228">
        <v>284</v>
      </c>
      <c r="G2228" t="s">
        <v>21</v>
      </c>
      <c r="H2228" t="str">
        <f>IF(Grammys[[#This Row],[date]] &gt;= DATE(2022, 2, 1), "Grammys", "Grammys + TRA")</f>
        <v>Grammys</v>
      </c>
      <c r="I2228">
        <f>_xlfn.XLOOKUP(Grammys[[#This Row],[date]], mobile_visits[date], mobile_visits[mobile_visitors], 0)</f>
        <v>2278580</v>
      </c>
    </row>
    <row r="2229" spans="1:9" x14ac:dyDescent="0.2">
      <c r="A2229" s="1">
        <v>44963</v>
      </c>
      <c r="B2229">
        <v>1441282</v>
      </c>
      <c r="C2229">
        <v>3390650</v>
      </c>
      <c r="D2229">
        <v>1563450</v>
      </c>
      <c r="E2229">
        <v>548615</v>
      </c>
      <c r="F2229">
        <v>97</v>
      </c>
      <c r="G2229" t="s">
        <v>20</v>
      </c>
      <c r="H2229" t="str">
        <f>IF(Grammys[[#This Row],[date]] &gt;= DATE(2022, 2, 1), "Grammys", "Grammys + TRA")</f>
        <v>Grammys</v>
      </c>
      <c r="I2229">
        <f>_xlfn.XLOOKUP(Grammys[[#This Row],[date]], mobile_visits[date], mobile_visits[mobile_visitors], 0)</f>
        <v>1093047</v>
      </c>
    </row>
    <row r="2230" spans="1:9" x14ac:dyDescent="0.2">
      <c r="A2230" s="1">
        <v>44964</v>
      </c>
      <c r="B2230">
        <v>367787</v>
      </c>
      <c r="C2230">
        <v>836729</v>
      </c>
      <c r="D2230">
        <v>404375</v>
      </c>
      <c r="E2230">
        <v>144120</v>
      </c>
      <c r="F2230">
        <v>107</v>
      </c>
      <c r="G2230" t="s">
        <v>20</v>
      </c>
      <c r="H2230" t="str">
        <f>IF(Grammys[[#This Row],[date]] &gt;= DATE(2022, 2, 1), "Grammys", "Grammys + TRA")</f>
        <v>Grammys</v>
      </c>
      <c r="I2230">
        <f>_xlfn.XLOOKUP(Grammys[[#This Row],[date]], mobile_visits[date], mobile_visits[mobile_visitors], 0)</f>
        <v>276837</v>
      </c>
    </row>
    <row r="2231" spans="1:9" x14ac:dyDescent="0.2">
      <c r="A2231" s="1">
        <v>44965</v>
      </c>
      <c r="B2231">
        <v>209378</v>
      </c>
      <c r="C2231">
        <v>473098</v>
      </c>
      <c r="D2231">
        <v>225201</v>
      </c>
      <c r="E2231">
        <v>72222</v>
      </c>
      <c r="F2231">
        <v>110</v>
      </c>
      <c r="G2231" t="s">
        <v>20</v>
      </c>
      <c r="H2231" t="str">
        <f>IF(Grammys[[#This Row],[date]] &gt;= DATE(2022, 2, 1), "Grammys", "Grammys + TRA")</f>
        <v>Grammys</v>
      </c>
      <c r="I2231">
        <f>_xlfn.XLOOKUP(Grammys[[#This Row],[date]], mobile_visits[date], mobile_visits[mobile_visitors], 0)</f>
        <v>158349</v>
      </c>
    </row>
    <row r="2232" spans="1:9" x14ac:dyDescent="0.2">
      <c r="A2232" s="1">
        <v>44966</v>
      </c>
      <c r="B2232">
        <v>151241</v>
      </c>
      <c r="C2232">
        <v>330990</v>
      </c>
      <c r="D2232">
        <v>162540</v>
      </c>
      <c r="E2232">
        <v>51737</v>
      </c>
      <c r="F2232">
        <v>102</v>
      </c>
      <c r="G2232" t="s">
        <v>20</v>
      </c>
      <c r="H2232" t="str">
        <f>IF(Grammys[[#This Row],[date]] &gt;= DATE(2022, 2, 1), "Grammys", "Grammys + TRA")</f>
        <v>Grammys</v>
      </c>
      <c r="I2232">
        <f>_xlfn.XLOOKUP(Grammys[[#This Row],[date]], mobile_visits[date], mobile_visits[mobile_visitors], 0)</f>
        <v>112519</v>
      </c>
    </row>
    <row r="2233" spans="1:9" x14ac:dyDescent="0.2">
      <c r="A2233" s="1">
        <v>44967</v>
      </c>
      <c r="B2233">
        <v>122553</v>
      </c>
      <c r="C2233">
        <v>275305</v>
      </c>
      <c r="D2233">
        <v>133148</v>
      </c>
      <c r="E2233">
        <v>43140</v>
      </c>
      <c r="F2233">
        <v>108</v>
      </c>
      <c r="G2233" t="s">
        <v>20</v>
      </c>
      <c r="H2233" t="str">
        <f>IF(Grammys[[#This Row],[date]] &gt;= DATE(2022, 2, 1), "Grammys", "Grammys + TRA")</f>
        <v>Grammys</v>
      </c>
      <c r="I2233">
        <f>_xlfn.XLOOKUP(Grammys[[#This Row],[date]], mobile_visits[date], mobile_visits[mobile_visitors], 0)</f>
        <v>94314</v>
      </c>
    </row>
    <row r="2234" spans="1:9" x14ac:dyDescent="0.2">
      <c r="A2234" s="1">
        <v>44968</v>
      </c>
      <c r="B2234">
        <v>122153</v>
      </c>
      <c r="C2234">
        <v>273913</v>
      </c>
      <c r="D2234">
        <v>130190</v>
      </c>
      <c r="E2234">
        <v>38302</v>
      </c>
      <c r="F2234">
        <v>109</v>
      </c>
      <c r="G2234" t="s">
        <v>20</v>
      </c>
      <c r="H2234" t="str">
        <f>IF(Grammys[[#This Row],[date]] &gt;= DATE(2022, 2, 1), "Grammys", "Grammys + TRA")</f>
        <v>Grammys</v>
      </c>
      <c r="I2234">
        <f>_xlfn.XLOOKUP(Grammys[[#This Row],[date]], mobile_visits[date], mobile_visits[mobile_visitors], 0)</f>
        <v>99963</v>
      </c>
    </row>
    <row r="2235" spans="1:9" x14ac:dyDescent="0.2">
      <c r="A2235" s="1">
        <v>44969</v>
      </c>
      <c r="B2235">
        <v>126021</v>
      </c>
      <c r="C2235">
        <v>260762</v>
      </c>
      <c r="D2235">
        <v>136061</v>
      </c>
      <c r="E2235">
        <v>34682</v>
      </c>
      <c r="F2235">
        <v>111</v>
      </c>
      <c r="G2235" t="s">
        <v>20</v>
      </c>
      <c r="H2235" t="str">
        <f>IF(Grammys[[#This Row],[date]] &gt;= DATE(2022, 2, 1), "Grammys", "Grammys + TRA")</f>
        <v>Grammys</v>
      </c>
      <c r="I2235">
        <f>_xlfn.XLOOKUP(Grammys[[#This Row],[date]], mobile_visits[date], mobile_visits[mobile_visitors], 0)</f>
        <v>105474</v>
      </c>
    </row>
    <row r="2236" spans="1:9" x14ac:dyDescent="0.2">
      <c r="A2236" s="1">
        <v>44970</v>
      </c>
      <c r="B2236">
        <v>81844</v>
      </c>
      <c r="C2236">
        <v>162329</v>
      </c>
      <c r="D2236">
        <v>86797</v>
      </c>
      <c r="E2236">
        <v>24139</v>
      </c>
      <c r="F2236">
        <v>111</v>
      </c>
      <c r="G2236" t="s">
        <v>20</v>
      </c>
      <c r="H2236" t="str">
        <f>IF(Grammys[[#This Row],[date]] &gt;= DATE(2022, 2, 1), "Grammys", "Grammys + TRA")</f>
        <v>Grammys</v>
      </c>
      <c r="I2236">
        <f>_xlfn.XLOOKUP(Grammys[[#This Row],[date]], mobile_visits[date], mobile_visits[mobile_visitors], 0)</f>
        <v>58637</v>
      </c>
    </row>
    <row r="2237" spans="1:9" x14ac:dyDescent="0.2">
      <c r="A2237" s="1">
        <v>44971</v>
      </c>
      <c r="B2237">
        <v>55874</v>
      </c>
      <c r="C2237">
        <v>109908</v>
      </c>
      <c r="D2237">
        <v>59977</v>
      </c>
      <c r="E2237">
        <v>19415</v>
      </c>
      <c r="F2237">
        <v>102</v>
      </c>
      <c r="G2237" t="s">
        <v>20</v>
      </c>
      <c r="H2237" t="str">
        <f>IF(Grammys[[#This Row],[date]] &gt;= DATE(2022, 2, 1), "Grammys", "Grammys + TRA")</f>
        <v>Grammys</v>
      </c>
      <c r="I2237">
        <f>_xlfn.XLOOKUP(Grammys[[#This Row],[date]], mobile_visits[date], mobile_visits[mobile_visitors], 0)</f>
        <v>40385</v>
      </c>
    </row>
    <row r="2238" spans="1:9" x14ac:dyDescent="0.2">
      <c r="A2238" s="1">
        <v>44972</v>
      </c>
      <c r="B2238">
        <v>48658</v>
      </c>
      <c r="C2238">
        <v>98360</v>
      </c>
      <c r="D2238">
        <v>52353</v>
      </c>
      <c r="E2238">
        <v>18492</v>
      </c>
      <c r="F2238">
        <v>101</v>
      </c>
      <c r="G2238" t="s">
        <v>20</v>
      </c>
      <c r="H2238" t="str">
        <f>IF(Grammys[[#This Row],[date]] &gt;= DATE(2022, 2, 1), "Grammys", "Grammys + TRA")</f>
        <v>Grammys</v>
      </c>
      <c r="I2238">
        <f>_xlfn.XLOOKUP(Grammys[[#This Row],[date]], mobile_visits[date], mobile_visits[mobile_visitors], 0)</f>
        <v>33456</v>
      </c>
    </row>
    <row r="2239" spans="1:9" x14ac:dyDescent="0.2">
      <c r="A2239" s="1">
        <v>44973</v>
      </c>
      <c r="B2239">
        <v>43914</v>
      </c>
      <c r="C2239">
        <v>87613</v>
      </c>
      <c r="D2239">
        <v>47169</v>
      </c>
      <c r="E2239">
        <v>17863</v>
      </c>
      <c r="F2239">
        <v>97</v>
      </c>
      <c r="G2239" t="s">
        <v>20</v>
      </c>
      <c r="H2239" t="str">
        <f>IF(Grammys[[#This Row],[date]] &gt;= DATE(2022, 2, 1), "Grammys", "Grammys + TRA")</f>
        <v>Grammys</v>
      </c>
      <c r="I2239">
        <f>_xlfn.XLOOKUP(Grammys[[#This Row],[date]], mobile_visits[date], mobile_visits[mobile_visitors], 0)</f>
        <v>30511</v>
      </c>
    </row>
    <row r="2240" spans="1:9" x14ac:dyDescent="0.2">
      <c r="A2240" s="1">
        <v>44974</v>
      </c>
      <c r="B2240">
        <v>42247</v>
      </c>
      <c r="C2240">
        <v>85376</v>
      </c>
      <c r="D2240">
        <v>45549</v>
      </c>
      <c r="E2240">
        <v>16931</v>
      </c>
      <c r="F2240">
        <v>99</v>
      </c>
      <c r="G2240" t="s">
        <v>20</v>
      </c>
      <c r="H2240" t="str">
        <f>IF(Grammys[[#This Row],[date]] &gt;= DATE(2022, 2, 1), "Grammys", "Grammys + TRA")</f>
        <v>Grammys</v>
      </c>
      <c r="I2240">
        <f>_xlfn.XLOOKUP(Grammys[[#This Row],[date]], mobile_visits[date], mobile_visits[mobile_visitors], 0)</f>
        <v>30122</v>
      </c>
    </row>
    <row r="2241" spans="1:9" x14ac:dyDescent="0.2">
      <c r="A2241" s="1">
        <v>44975</v>
      </c>
      <c r="B2241">
        <v>37337</v>
      </c>
      <c r="C2241">
        <v>75567</v>
      </c>
      <c r="D2241">
        <v>40138</v>
      </c>
      <c r="E2241">
        <v>14611</v>
      </c>
      <c r="F2241">
        <v>95</v>
      </c>
      <c r="G2241" t="s">
        <v>20</v>
      </c>
      <c r="H2241" t="str">
        <f>IF(Grammys[[#This Row],[date]] &gt;= DATE(2022, 2, 1), "Grammys", "Grammys + TRA")</f>
        <v>Grammys</v>
      </c>
      <c r="I2241">
        <f>_xlfn.XLOOKUP(Grammys[[#This Row],[date]], mobile_visits[date], mobile_visits[mobile_visitors], 0)</f>
        <v>29749</v>
      </c>
    </row>
    <row r="2242" spans="1:9" x14ac:dyDescent="0.2">
      <c r="A2242" s="1">
        <v>44976</v>
      </c>
      <c r="B2242">
        <v>34338</v>
      </c>
      <c r="C2242">
        <v>69655</v>
      </c>
      <c r="D2242">
        <v>37181</v>
      </c>
      <c r="E2242">
        <v>14118</v>
      </c>
      <c r="F2242">
        <v>92</v>
      </c>
      <c r="G2242" t="s">
        <v>20</v>
      </c>
      <c r="H2242" t="str">
        <f>IF(Grammys[[#This Row],[date]] &gt;= DATE(2022, 2, 1), "Grammys", "Grammys + TRA")</f>
        <v>Grammys</v>
      </c>
      <c r="I2242">
        <f>_xlfn.XLOOKUP(Grammys[[#This Row],[date]], mobile_visits[date], mobile_visits[mobile_visitors], 0)</f>
        <v>27219</v>
      </c>
    </row>
    <row r="2243" spans="1:9" x14ac:dyDescent="0.2">
      <c r="A2243" s="1">
        <v>44977</v>
      </c>
      <c r="B2243">
        <v>29949</v>
      </c>
      <c r="C2243">
        <v>59554</v>
      </c>
      <c r="D2243">
        <v>32092</v>
      </c>
      <c r="E2243">
        <v>12966</v>
      </c>
      <c r="F2243">
        <v>87</v>
      </c>
      <c r="G2243" t="s">
        <v>20</v>
      </c>
      <c r="H2243" t="str">
        <f>IF(Grammys[[#This Row],[date]] &gt;= DATE(2022, 2, 1), "Grammys", "Grammys + TRA")</f>
        <v>Grammys</v>
      </c>
      <c r="I2243">
        <f>_xlfn.XLOOKUP(Grammys[[#This Row],[date]], mobile_visits[date], mobile_visits[mobile_visitors], 0)</f>
        <v>21944</v>
      </c>
    </row>
    <row r="2244" spans="1:9" x14ac:dyDescent="0.2">
      <c r="A2244" s="1">
        <v>44978</v>
      </c>
      <c r="B2244">
        <v>27896</v>
      </c>
      <c r="C2244">
        <v>55157</v>
      </c>
      <c r="D2244">
        <v>29761</v>
      </c>
      <c r="E2244">
        <v>12726</v>
      </c>
      <c r="F2244">
        <v>90</v>
      </c>
      <c r="G2244" t="s">
        <v>20</v>
      </c>
      <c r="H2244" t="str">
        <f>IF(Grammys[[#This Row],[date]] &gt;= DATE(2022, 2, 1), "Grammys", "Grammys + TRA")</f>
        <v>Grammys</v>
      </c>
      <c r="I2244">
        <f>_xlfn.XLOOKUP(Grammys[[#This Row],[date]], mobile_visits[date], mobile_visits[mobile_visitors], 0)</f>
        <v>19161</v>
      </c>
    </row>
    <row r="2245" spans="1:9" x14ac:dyDescent="0.2">
      <c r="A2245" s="1">
        <v>44979</v>
      </c>
      <c r="B2245">
        <v>26660</v>
      </c>
      <c r="C2245">
        <v>51730</v>
      </c>
      <c r="D2245">
        <v>28476</v>
      </c>
      <c r="E2245">
        <v>13005</v>
      </c>
      <c r="F2245">
        <v>91</v>
      </c>
      <c r="G2245" t="s">
        <v>20</v>
      </c>
      <c r="H2245" t="str">
        <f>IF(Grammys[[#This Row],[date]] &gt;= DATE(2022, 2, 1), "Grammys", "Grammys + TRA")</f>
        <v>Grammys</v>
      </c>
      <c r="I2245">
        <f>_xlfn.XLOOKUP(Grammys[[#This Row],[date]], mobile_visits[date], mobile_visits[mobile_visitors], 0)</f>
        <v>17351</v>
      </c>
    </row>
    <row r="2246" spans="1:9" x14ac:dyDescent="0.2">
      <c r="A2246" s="1">
        <v>44980</v>
      </c>
      <c r="B2246">
        <v>26618</v>
      </c>
      <c r="C2246">
        <v>51344</v>
      </c>
      <c r="D2246">
        <v>28370</v>
      </c>
      <c r="E2246">
        <v>13164</v>
      </c>
      <c r="F2246">
        <v>88</v>
      </c>
      <c r="G2246" t="s">
        <v>20</v>
      </c>
      <c r="H2246" t="str">
        <f>IF(Grammys[[#This Row],[date]] &gt;= DATE(2022, 2, 1), "Grammys", "Grammys + TRA")</f>
        <v>Grammys</v>
      </c>
      <c r="I2246">
        <f>_xlfn.XLOOKUP(Grammys[[#This Row],[date]], mobile_visits[date], mobile_visits[mobile_visitors], 0)</f>
        <v>17987</v>
      </c>
    </row>
    <row r="2247" spans="1:9" x14ac:dyDescent="0.2">
      <c r="A2247" s="1">
        <v>44981</v>
      </c>
      <c r="B2247">
        <v>27396</v>
      </c>
      <c r="C2247">
        <v>53956</v>
      </c>
      <c r="D2247">
        <v>29299</v>
      </c>
      <c r="E2247">
        <v>13648</v>
      </c>
      <c r="F2247">
        <v>84</v>
      </c>
      <c r="G2247" t="s">
        <v>20</v>
      </c>
      <c r="H2247" t="str">
        <f>IF(Grammys[[#This Row],[date]] &gt;= DATE(2022, 2, 1), "Grammys", "Grammys + TRA")</f>
        <v>Grammys</v>
      </c>
      <c r="I2247">
        <f>_xlfn.XLOOKUP(Grammys[[#This Row],[date]], mobile_visits[date], mobile_visits[mobile_visitors], 0)</f>
        <v>18504</v>
      </c>
    </row>
    <row r="2248" spans="1:9" x14ac:dyDescent="0.2">
      <c r="A2248" s="1">
        <v>44982</v>
      </c>
      <c r="B2248">
        <v>24847</v>
      </c>
      <c r="C2248">
        <v>50086</v>
      </c>
      <c r="D2248">
        <v>26561</v>
      </c>
      <c r="E2248">
        <v>12357</v>
      </c>
      <c r="F2248">
        <v>83</v>
      </c>
      <c r="G2248" t="s">
        <v>20</v>
      </c>
      <c r="H2248" t="str">
        <f>IF(Grammys[[#This Row],[date]] &gt;= DATE(2022, 2, 1), "Grammys", "Grammys + TRA")</f>
        <v>Grammys</v>
      </c>
      <c r="I2248">
        <f>_xlfn.XLOOKUP(Grammys[[#This Row],[date]], mobile_visits[date], mobile_visits[mobile_visitors], 0)</f>
        <v>19528</v>
      </c>
    </row>
    <row r="2249" spans="1:9" x14ac:dyDescent="0.2">
      <c r="A2249" s="1">
        <v>44983</v>
      </c>
      <c r="B2249">
        <v>21871</v>
      </c>
      <c r="C2249">
        <v>43844</v>
      </c>
      <c r="D2249">
        <v>23439</v>
      </c>
      <c r="E2249">
        <v>11242</v>
      </c>
      <c r="F2249">
        <v>87</v>
      </c>
      <c r="G2249" t="s">
        <v>20</v>
      </c>
      <c r="H2249" t="str">
        <f>IF(Grammys[[#This Row],[date]] &gt;= DATE(2022, 2, 1), "Grammys", "Grammys + TRA")</f>
        <v>Grammys</v>
      </c>
      <c r="I2249">
        <f>_xlfn.XLOOKUP(Grammys[[#This Row],[date]], mobile_visits[date], mobile_visits[mobile_visitors], 0)</f>
        <v>16500</v>
      </c>
    </row>
    <row r="2250" spans="1:9" x14ac:dyDescent="0.2">
      <c r="A2250" s="1">
        <v>44984</v>
      </c>
      <c r="B2250">
        <v>21367</v>
      </c>
      <c r="C2250">
        <v>41234</v>
      </c>
      <c r="D2250">
        <v>22820</v>
      </c>
      <c r="E2250">
        <v>11280</v>
      </c>
      <c r="F2250">
        <v>77</v>
      </c>
      <c r="G2250" t="s">
        <v>20</v>
      </c>
      <c r="H2250" t="str">
        <f>IF(Grammys[[#This Row],[date]] &gt;= DATE(2022, 2, 1), "Grammys", "Grammys + TRA")</f>
        <v>Grammys</v>
      </c>
      <c r="I2250">
        <f>_xlfn.XLOOKUP(Grammys[[#This Row],[date]], mobile_visits[date], mobile_visits[mobile_visitors], 0)</f>
        <v>13909</v>
      </c>
    </row>
    <row r="2251" spans="1:9" x14ac:dyDescent="0.2">
      <c r="A2251" s="1">
        <v>44985</v>
      </c>
      <c r="B2251">
        <v>20536</v>
      </c>
      <c r="C2251">
        <v>40037</v>
      </c>
      <c r="D2251">
        <v>22000</v>
      </c>
      <c r="E2251">
        <v>10818</v>
      </c>
      <c r="F2251">
        <v>76</v>
      </c>
      <c r="G2251" t="s">
        <v>20</v>
      </c>
      <c r="H2251" t="str">
        <f>IF(Grammys[[#This Row],[date]] &gt;= DATE(2022, 2, 1), "Grammys", "Grammys + TRA")</f>
        <v>Grammys</v>
      </c>
      <c r="I2251">
        <f>_xlfn.XLOOKUP(Grammys[[#This Row],[date]], mobile_visits[date], mobile_visits[mobile_visitors], 0)</f>
        <v>13000</v>
      </c>
    </row>
    <row r="2252" spans="1:9" x14ac:dyDescent="0.2">
      <c r="A2252" s="1">
        <v>44986</v>
      </c>
      <c r="B2252">
        <v>20487</v>
      </c>
      <c r="C2252">
        <v>38927</v>
      </c>
      <c r="D2252">
        <v>21878</v>
      </c>
      <c r="E2252">
        <v>10762</v>
      </c>
      <c r="F2252">
        <v>80</v>
      </c>
      <c r="G2252" t="s">
        <v>20</v>
      </c>
      <c r="H2252" t="str">
        <f>IF(Grammys[[#This Row],[date]] &gt;= DATE(2022, 2, 1), "Grammys", "Grammys + TRA")</f>
        <v>Grammys</v>
      </c>
      <c r="I2252">
        <f>_xlfn.XLOOKUP(Grammys[[#This Row],[date]], mobile_visits[date], mobile_visits[mobile_visitors], 0)</f>
        <v>13525</v>
      </c>
    </row>
    <row r="2253" spans="1:9" x14ac:dyDescent="0.2">
      <c r="A2253" s="1">
        <v>44987</v>
      </c>
      <c r="B2253">
        <v>20803</v>
      </c>
      <c r="C2253">
        <v>39818</v>
      </c>
      <c r="D2253">
        <v>21899</v>
      </c>
      <c r="E2253">
        <v>11046</v>
      </c>
      <c r="F2253">
        <v>80</v>
      </c>
      <c r="G2253" t="s">
        <v>20</v>
      </c>
      <c r="H2253" t="str">
        <f>IF(Grammys[[#This Row],[date]] &gt;= DATE(2022, 2, 1), "Grammys", "Grammys + TRA")</f>
        <v>Grammys</v>
      </c>
      <c r="I2253">
        <f>_xlfn.XLOOKUP(Grammys[[#This Row],[date]], mobile_visits[date], mobile_visits[mobile_visitors], 0)</f>
        <v>13476</v>
      </c>
    </row>
    <row r="2254" spans="1:9" x14ac:dyDescent="0.2">
      <c r="A2254" s="1">
        <v>44988</v>
      </c>
      <c r="B2254">
        <v>19518</v>
      </c>
      <c r="C2254">
        <v>37294</v>
      </c>
      <c r="D2254">
        <v>20717</v>
      </c>
      <c r="E2254">
        <v>10280</v>
      </c>
      <c r="F2254">
        <v>76</v>
      </c>
      <c r="G2254" t="s">
        <v>20</v>
      </c>
      <c r="H2254" t="str">
        <f>IF(Grammys[[#This Row],[date]] &gt;= DATE(2022, 2, 1), "Grammys", "Grammys + TRA")</f>
        <v>Grammys</v>
      </c>
      <c r="I2254">
        <f>_xlfn.XLOOKUP(Grammys[[#This Row],[date]], mobile_visits[date], mobile_visits[mobile_visitors], 0)</f>
        <v>14381</v>
      </c>
    </row>
    <row r="2255" spans="1:9" x14ac:dyDescent="0.2">
      <c r="A2255" s="1">
        <v>44989</v>
      </c>
      <c r="B2255">
        <v>18295</v>
      </c>
      <c r="C2255">
        <v>35962</v>
      </c>
      <c r="D2255">
        <v>19545</v>
      </c>
      <c r="E2255">
        <v>9306</v>
      </c>
      <c r="F2255">
        <v>79</v>
      </c>
      <c r="G2255" t="s">
        <v>20</v>
      </c>
      <c r="H2255" t="str">
        <f>IF(Grammys[[#This Row],[date]] &gt;= DATE(2022, 2, 1), "Grammys", "Grammys + TRA")</f>
        <v>Grammys</v>
      </c>
      <c r="I2255">
        <f>_xlfn.XLOOKUP(Grammys[[#This Row],[date]], mobile_visits[date], mobile_visits[mobile_visitors], 0)</f>
        <v>13706</v>
      </c>
    </row>
    <row r="2256" spans="1:9" x14ac:dyDescent="0.2">
      <c r="A2256" s="1">
        <v>44990</v>
      </c>
      <c r="B2256">
        <v>18840</v>
      </c>
      <c r="C2256">
        <v>36418</v>
      </c>
      <c r="D2256">
        <v>20056</v>
      </c>
      <c r="E2256">
        <v>9774</v>
      </c>
      <c r="F2256">
        <v>78</v>
      </c>
      <c r="G2256" t="s">
        <v>20</v>
      </c>
      <c r="H2256" t="str">
        <f>IF(Grammys[[#This Row],[date]] &gt;= DATE(2022, 2, 1), "Grammys", "Grammys + TRA")</f>
        <v>Grammys</v>
      </c>
      <c r="I2256">
        <f>_xlfn.XLOOKUP(Grammys[[#This Row],[date]], mobile_visits[date], mobile_visits[mobile_visitors], 0)</f>
        <v>14903</v>
      </c>
    </row>
    <row r="2257" spans="1:9" x14ac:dyDescent="0.2">
      <c r="A2257" s="1">
        <v>44991</v>
      </c>
      <c r="B2257">
        <v>18650</v>
      </c>
      <c r="C2257">
        <v>35807</v>
      </c>
      <c r="D2257">
        <v>19985</v>
      </c>
      <c r="E2257">
        <v>9891</v>
      </c>
      <c r="F2257">
        <v>82</v>
      </c>
      <c r="G2257" t="s">
        <v>20</v>
      </c>
      <c r="H2257" t="str">
        <f>IF(Grammys[[#This Row],[date]] &gt;= DATE(2022, 2, 1), "Grammys", "Grammys + TRA")</f>
        <v>Grammys</v>
      </c>
      <c r="I2257">
        <f>_xlfn.XLOOKUP(Grammys[[#This Row],[date]], mobile_visits[date], mobile_visits[mobile_visitors], 0)</f>
        <v>11923</v>
      </c>
    </row>
    <row r="2258" spans="1:9" x14ac:dyDescent="0.2">
      <c r="A2258" s="1">
        <v>44992</v>
      </c>
      <c r="B2258">
        <v>18921</v>
      </c>
      <c r="C2258">
        <v>35836</v>
      </c>
      <c r="D2258">
        <v>20328</v>
      </c>
      <c r="E2258">
        <v>10347</v>
      </c>
      <c r="F2258">
        <v>81</v>
      </c>
      <c r="G2258" t="s">
        <v>20</v>
      </c>
      <c r="H2258" t="str">
        <f>IF(Grammys[[#This Row],[date]] &gt;= DATE(2022, 2, 1), "Grammys", "Grammys + TRA")</f>
        <v>Grammys</v>
      </c>
      <c r="I2258">
        <f>_xlfn.XLOOKUP(Grammys[[#This Row],[date]], mobile_visits[date], mobile_visits[mobile_visitors], 0)</f>
        <v>11724</v>
      </c>
    </row>
    <row r="2259" spans="1:9" x14ac:dyDescent="0.2">
      <c r="A2259" s="1">
        <v>44993</v>
      </c>
      <c r="B2259">
        <v>18656</v>
      </c>
      <c r="C2259">
        <v>35916</v>
      </c>
      <c r="D2259">
        <v>20085</v>
      </c>
      <c r="E2259">
        <v>10348</v>
      </c>
      <c r="F2259">
        <v>84</v>
      </c>
      <c r="G2259" t="s">
        <v>20</v>
      </c>
      <c r="H2259" t="str">
        <f>IF(Grammys[[#This Row],[date]] &gt;= DATE(2022, 2, 1), "Grammys", "Grammys + TRA")</f>
        <v>Grammys</v>
      </c>
      <c r="I2259">
        <f>_xlfn.XLOOKUP(Grammys[[#This Row],[date]], mobile_visits[date], mobile_visits[mobile_visitors], 0)</f>
        <v>12007</v>
      </c>
    </row>
    <row r="2260" spans="1:9" x14ac:dyDescent="0.2">
      <c r="A2260" s="1">
        <v>44994</v>
      </c>
      <c r="B2260">
        <v>17114</v>
      </c>
      <c r="C2260">
        <v>33313</v>
      </c>
      <c r="D2260">
        <v>18576</v>
      </c>
      <c r="E2260">
        <v>9461</v>
      </c>
      <c r="F2260">
        <v>81</v>
      </c>
      <c r="G2260" t="s">
        <v>20</v>
      </c>
      <c r="H2260" t="str">
        <f>IF(Grammys[[#This Row],[date]] &gt;= DATE(2022, 2, 1), "Grammys", "Grammys + TRA")</f>
        <v>Grammys</v>
      </c>
      <c r="I2260">
        <f>_xlfn.XLOOKUP(Grammys[[#This Row],[date]], mobile_visits[date], mobile_visits[mobile_visitors], 0)</f>
        <v>9995</v>
      </c>
    </row>
    <row r="2261" spans="1:9" x14ac:dyDescent="0.2">
      <c r="A2261" s="1">
        <v>44995</v>
      </c>
      <c r="B2261">
        <v>19174</v>
      </c>
      <c r="C2261">
        <v>36701</v>
      </c>
      <c r="D2261">
        <v>20546</v>
      </c>
      <c r="E2261">
        <v>10578</v>
      </c>
      <c r="F2261">
        <v>73</v>
      </c>
      <c r="G2261" t="s">
        <v>20</v>
      </c>
      <c r="H2261" t="str">
        <f>IF(Grammys[[#This Row],[date]] &gt;= DATE(2022, 2, 1), "Grammys", "Grammys + TRA")</f>
        <v>Grammys</v>
      </c>
      <c r="I2261">
        <f>_xlfn.XLOOKUP(Grammys[[#This Row],[date]], mobile_visits[date], mobile_visits[mobile_visitors], 0)</f>
        <v>13750</v>
      </c>
    </row>
    <row r="2262" spans="1:9" x14ac:dyDescent="0.2">
      <c r="A2262" s="1">
        <v>44996</v>
      </c>
      <c r="B2262">
        <v>18801</v>
      </c>
      <c r="C2262">
        <v>35623</v>
      </c>
      <c r="D2262">
        <v>19934</v>
      </c>
      <c r="E2262">
        <v>10087</v>
      </c>
      <c r="F2262">
        <v>68</v>
      </c>
      <c r="G2262" t="s">
        <v>20</v>
      </c>
      <c r="H2262" t="str">
        <f>IF(Grammys[[#This Row],[date]] &gt;= DATE(2022, 2, 1), "Grammys", "Grammys + TRA")</f>
        <v>Grammys</v>
      </c>
      <c r="I2262">
        <f>_xlfn.XLOOKUP(Grammys[[#This Row],[date]], mobile_visits[date], mobile_visits[mobile_visitors], 0)</f>
        <v>14707</v>
      </c>
    </row>
    <row r="2263" spans="1:9" x14ac:dyDescent="0.2">
      <c r="A2263" s="1">
        <v>44997</v>
      </c>
      <c r="B2263">
        <v>37150</v>
      </c>
      <c r="C2263">
        <v>75379</v>
      </c>
      <c r="D2263">
        <v>38967</v>
      </c>
      <c r="E2263">
        <v>17828</v>
      </c>
      <c r="F2263">
        <v>65</v>
      </c>
      <c r="G2263" t="s">
        <v>20</v>
      </c>
      <c r="H2263" t="str">
        <f>IF(Grammys[[#This Row],[date]] &gt;= DATE(2022, 2, 1), "Grammys", "Grammys + TRA")</f>
        <v>Grammys</v>
      </c>
      <c r="I2263">
        <f>_xlfn.XLOOKUP(Grammys[[#This Row],[date]], mobile_visits[date], mobile_visits[mobile_visitors], 0)</f>
        <v>30240</v>
      </c>
    </row>
    <row r="2264" spans="1:9" x14ac:dyDescent="0.2">
      <c r="A2264" s="1">
        <v>44998</v>
      </c>
      <c r="B2264">
        <v>36086</v>
      </c>
      <c r="C2264">
        <v>77071</v>
      </c>
      <c r="D2264">
        <v>38037</v>
      </c>
      <c r="E2264">
        <v>17197</v>
      </c>
      <c r="F2264">
        <v>64</v>
      </c>
      <c r="G2264" t="s">
        <v>20</v>
      </c>
      <c r="H2264" t="str">
        <f>IF(Grammys[[#This Row],[date]] &gt;= DATE(2022, 2, 1), "Grammys", "Grammys + TRA")</f>
        <v>Grammys</v>
      </c>
      <c r="I2264">
        <f>_xlfn.XLOOKUP(Grammys[[#This Row],[date]], mobile_visits[date], mobile_visits[mobile_visitors], 0)</f>
        <v>27142</v>
      </c>
    </row>
    <row r="2265" spans="1:9" x14ac:dyDescent="0.2">
      <c r="A2265" s="1">
        <v>44999</v>
      </c>
      <c r="B2265">
        <v>21167</v>
      </c>
      <c r="C2265">
        <v>41054</v>
      </c>
      <c r="D2265">
        <v>22488</v>
      </c>
      <c r="E2265">
        <v>11330</v>
      </c>
      <c r="F2265">
        <v>73</v>
      </c>
      <c r="G2265" t="s">
        <v>20</v>
      </c>
      <c r="H2265" t="str">
        <f>IF(Grammys[[#This Row],[date]] &gt;= DATE(2022, 2, 1), "Grammys", "Grammys + TRA")</f>
        <v>Grammys</v>
      </c>
      <c r="I2265">
        <f>_xlfn.XLOOKUP(Grammys[[#This Row],[date]], mobile_visits[date], mobile_visits[mobile_visitors], 0)</f>
        <v>14831</v>
      </c>
    </row>
    <row r="2266" spans="1:9" x14ac:dyDescent="0.2">
      <c r="A2266" s="1">
        <v>45000</v>
      </c>
      <c r="B2266">
        <v>18476</v>
      </c>
      <c r="C2266">
        <v>36023</v>
      </c>
      <c r="D2266">
        <v>19678</v>
      </c>
      <c r="E2266">
        <v>9967</v>
      </c>
      <c r="F2266">
        <v>77</v>
      </c>
      <c r="G2266" t="s">
        <v>20</v>
      </c>
      <c r="H2266" t="str">
        <f>IF(Grammys[[#This Row],[date]] &gt;= DATE(2022, 2, 1), "Grammys", "Grammys + TRA")</f>
        <v>Grammys</v>
      </c>
      <c r="I2266">
        <f>_xlfn.XLOOKUP(Grammys[[#This Row],[date]], mobile_visits[date], mobile_visits[mobile_visitors], 0)</f>
        <v>11827</v>
      </c>
    </row>
    <row r="2267" spans="1:9" x14ac:dyDescent="0.2">
      <c r="A2267" s="1">
        <v>45001</v>
      </c>
      <c r="B2267">
        <v>18763</v>
      </c>
      <c r="C2267">
        <v>35997</v>
      </c>
      <c r="D2267">
        <v>19991</v>
      </c>
      <c r="E2267">
        <v>10334</v>
      </c>
      <c r="F2267">
        <v>76</v>
      </c>
      <c r="G2267" t="s">
        <v>20</v>
      </c>
      <c r="H2267" t="str">
        <f>IF(Grammys[[#This Row],[date]] &gt;= DATE(2022, 2, 1), "Grammys", "Grammys + TRA")</f>
        <v>Grammys</v>
      </c>
      <c r="I2267">
        <f>_xlfn.XLOOKUP(Grammys[[#This Row],[date]], mobile_visits[date], mobile_visits[mobile_visitors], 0)</f>
        <v>12088</v>
      </c>
    </row>
    <row r="2268" spans="1:9" x14ac:dyDescent="0.2">
      <c r="A2268" s="1">
        <v>45002</v>
      </c>
      <c r="B2268">
        <v>18023</v>
      </c>
      <c r="C2268">
        <v>34579</v>
      </c>
      <c r="D2268">
        <v>19227</v>
      </c>
      <c r="E2268">
        <v>9672</v>
      </c>
      <c r="F2268">
        <v>72</v>
      </c>
      <c r="G2268" t="s">
        <v>20</v>
      </c>
      <c r="H2268" t="str">
        <f>IF(Grammys[[#This Row],[date]] &gt;= DATE(2022, 2, 1), "Grammys", "Grammys + TRA")</f>
        <v>Grammys</v>
      </c>
      <c r="I2268">
        <f>_xlfn.XLOOKUP(Grammys[[#This Row],[date]], mobile_visits[date], mobile_visits[mobile_visitors], 0)</f>
        <v>12260</v>
      </c>
    </row>
    <row r="2269" spans="1:9" x14ac:dyDescent="0.2">
      <c r="A2269" s="1">
        <v>45003</v>
      </c>
      <c r="B2269">
        <v>27380</v>
      </c>
      <c r="C2269">
        <v>50004</v>
      </c>
      <c r="D2269">
        <v>29080</v>
      </c>
      <c r="E2269">
        <v>14817</v>
      </c>
      <c r="F2269">
        <v>76</v>
      </c>
      <c r="G2269" t="s">
        <v>20</v>
      </c>
      <c r="H2269" t="str">
        <f>IF(Grammys[[#This Row],[date]] &gt;= DATE(2022, 2, 1), "Grammys", "Grammys + TRA")</f>
        <v>Grammys</v>
      </c>
      <c r="I2269">
        <f>_xlfn.XLOOKUP(Grammys[[#This Row],[date]], mobile_visits[date], mobile_visits[mobile_visitors], 0)</f>
        <v>21774</v>
      </c>
    </row>
    <row r="2270" spans="1:9" x14ac:dyDescent="0.2">
      <c r="A2270" s="1">
        <v>45004</v>
      </c>
      <c r="B2270">
        <v>20211</v>
      </c>
      <c r="C2270">
        <v>37913</v>
      </c>
      <c r="D2270">
        <v>21136</v>
      </c>
      <c r="E2270">
        <v>10363</v>
      </c>
      <c r="F2270">
        <v>68</v>
      </c>
      <c r="G2270" t="s">
        <v>20</v>
      </c>
      <c r="H2270" t="str">
        <f>IF(Grammys[[#This Row],[date]] &gt;= DATE(2022, 2, 1), "Grammys", "Grammys + TRA")</f>
        <v>Grammys</v>
      </c>
      <c r="I2270">
        <f>_xlfn.XLOOKUP(Grammys[[#This Row],[date]], mobile_visits[date], mobile_visits[mobile_visitors], 0)</f>
        <v>15335</v>
      </c>
    </row>
    <row r="2271" spans="1:9" x14ac:dyDescent="0.2">
      <c r="A2271" s="1">
        <v>45005</v>
      </c>
      <c r="B2271">
        <v>18764</v>
      </c>
      <c r="C2271">
        <v>34670</v>
      </c>
      <c r="D2271">
        <v>20154</v>
      </c>
      <c r="E2271">
        <v>10724</v>
      </c>
      <c r="F2271">
        <v>72</v>
      </c>
      <c r="G2271" t="s">
        <v>20</v>
      </c>
      <c r="H2271" t="str">
        <f>IF(Grammys[[#This Row],[date]] &gt;= DATE(2022, 2, 1), "Grammys", "Grammys + TRA")</f>
        <v>Grammys</v>
      </c>
      <c r="I2271">
        <f>_xlfn.XLOOKUP(Grammys[[#This Row],[date]], mobile_visits[date], mobile_visits[mobile_visitors], 0)</f>
        <v>13784</v>
      </c>
    </row>
    <row r="2272" spans="1:9" x14ac:dyDescent="0.2">
      <c r="A2272" s="1">
        <v>45006</v>
      </c>
      <c r="B2272">
        <v>17787</v>
      </c>
      <c r="C2272">
        <v>32293</v>
      </c>
      <c r="D2272">
        <v>18846</v>
      </c>
      <c r="E2272">
        <v>10326</v>
      </c>
      <c r="F2272">
        <v>71</v>
      </c>
      <c r="G2272" t="s">
        <v>20</v>
      </c>
      <c r="H2272" t="str">
        <f>IF(Grammys[[#This Row],[date]] &gt;= DATE(2022, 2, 1), "Grammys", "Grammys + TRA")</f>
        <v>Grammys</v>
      </c>
      <c r="I2272">
        <f>_xlfn.XLOOKUP(Grammys[[#This Row],[date]], mobile_visits[date], mobile_visits[mobile_visitors], 0)</f>
        <v>11060</v>
      </c>
    </row>
    <row r="2273" spans="1:9" x14ac:dyDescent="0.2">
      <c r="A2273" s="1">
        <v>45007</v>
      </c>
      <c r="B2273">
        <v>17157</v>
      </c>
      <c r="C2273">
        <v>30657</v>
      </c>
      <c r="D2273">
        <v>18191</v>
      </c>
      <c r="E2273">
        <v>9942</v>
      </c>
      <c r="F2273">
        <v>73</v>
      </c>
      <c r="G2273" t="s">
        <v>20</v>
      </c>
      <c r="H2273" t="str">
        <f>IF(Grammys[[#This Row],[date]] &gt;= DATE(2022, 2, 1), "Grammys", "Grammys + TRA")</f>
        <v>Grammys</v>
      </c>
      <c r="I2273">
        <f>_xlfn.XLOOKUP(Grammys[[#This Row],[date]], mobile_visits[date], mobile_visits[mobile_visitors], 0)</f>
        <v>10638</v>
      </c>
    </row>
    <row r="2274" spans="1:9" x14ac:dyDescent="0.2">
      <c r="A2274" s="1">
        <v>45008</v>
      </c>
      <c r="B2274">
        <v>16723</v>
      </c>
      <c r="C2274">
        <v>30548</v>
      </c>
      <c r="D2274">
        <v>17723</v>
      </c>
      <c r="E2274">
        <v>9426</v>
      </c>
      <c r="F2274">
        <v>74</v>
      </c>
      <c r="G2274" t="s">
        <v>20</v>
      </c>
      <c r="H2274" t="str">
        <f>IF(Grammys[[#This Row],[date]] &gt;= DATE(2022, 2, 1), "Grammys", "Grammys + TRA")</f>
        <v>Grammys</v>
      </c>
      <c r="I2274">
        <f>_xlfn.XLOOKUP(Grammys[[#This Row],[date]], mobile_visits[date], mobile_visits[mobile_visitors], 0)</f>
        <v>9839</v>
      </c>
    </row>
    <row r="2275" spans="1:9" x14ac:dyDescent="0.2">
      <c r="A2275" s="1">
        <v>45009</v>
      </c>
      <c r="B2275">
        <v>20952</v>
      </c>
      <c r="C2275">
        <v>39241</v>
      </c>
      <c r="D2275">
        <v>22200</v>
      </c>
      <c r="E2275">
        <v>11100</v>
      </c>
      <c r="F2275">
        <v>80</v>
      </c>
      <c r="G2275" t="s">
        <v>20</v>
      </c>
      <c r="H2275" t="str">
        <f>IF(Grammys[[#This Row],[date]] &gt;= DATE(2022, 2, 1), "Grammys", "Grammys + TRA")</f>
        <v>Grammys</v>
      </c>
      <c r="I2275">
        <f>_xlfn.XLOOKUP(Grammys[[#This Row],[date]], mobile_visits[date], mobile_visits[mobile_visitors], 0)</f>
        <v>14981</v>
      </c>
    </row>
    <row r="2276" spans="1:9" x14ac:dyDescent="0.2">
      <c r="A2276" s="1">
        <v>45010</v>
      </c>
      <c r="B2276">
        <v>18056</v>
      </c>
      <c r="C2276">
        <v>33788</v>
      </c>
      <c r="D2276">
        <v>18826</v>
      </c>
      <c r="E2276">
        <v>9346</v>
      </c>
      <c r="F2276">
        <v>76</v>
      </c>
      <c r="G2276" t="s">
        <v>20</v>
      </c>
      <c r="H2276" t="str">
        <f>IF(Grammys[[#This Row],[date]] &gt;= DATE(2022, 2, 1), "Grammys", "Grammys + TRA")</f>
        <v>Grammys</v>
      </c>
      <c r="I2276">
        <f>_xlfn.XLOOKUP(Grammys[[#This Row],[date]], mobile_visits[date], mobile_visits[mobile_visitors], 0)</f>
        <v>13858</v>
      </c>
    </row>
    <row r="2277" spans="1:9" x14ac:dyDescent="0.2">
      <c r="A2277" s="1">
        <v>45011</v>
      </c>
      <c r="B2277">
        <v>16435</v>
      </c>
      <c r="C2277">
        <v>31118</v>
      </c>
      <c r="D2277">
        <v>17461</v>
      </c>
      <c r="E2277">
        <v>8923</v>
      </c>
      <c r="F2277">
        <v>80</v>
      </c>
      <c r="G2277" t="s">
        <v>20</v>
      </c>
      <c r="H2277" t="str">
        <f>IF(Grammys[[#This Row],[date]] &gt;= DATE(2022, 2, 1), "Grammys", "Grammys + TRA")</f>
        <v>Grammys</v>
      </c>
      <c r="I2277">
        <f>_xlfn.XLOOKUP(Grammys[[#This Row],[date]], mobile_visits[date], mobile_visits[mobile_visitors], 0)</f>
        <v>12445</v>
      </c>
    </row>
    <row r="2278" spans="1:9" x14ac:dyDescent="0.2">
      <c r="A2278" s="1">
        <v>45012</v>
      </c>
      <c r="B2278">
        <v>17009</v>
      </c>
      <c r="C2278">
        <v>31091</v>
      </c>
      <c r="D2278">
        <v>17745</v>
      </c>
      <c r="E2278">
        <v>9333</v>
      </c>
      <c r="F2278">
        <v>79</v>
      </c>
      <c r="G2278" t="s">
        <v>20</v>
      </c>
      <c r="H2278" t="str">
        <f>IF(Grammys[[#This Row],[date]] &gt;= DATE(2022, 2, 1), "Grammys", "Grammys + TRA")</f>
        <v>Grammys</v>
      </c>
      <c r="I2278">
        <f>_xlfn.XLOOKUP(Grammys[[#This Row],[date]], mobile_visits[date], mobile_visits[mobile_visitors], 0)</f>
        <v>12654</v>
      </c>
    </row>
    <row r="2279" spans="1:9" x14ac:dyDescent="0.2">
      <c r="A2279" s="1">
        <v>45013</v>
      </c>
      <c r="B2279">
        <v>16828</v>
      </c>
      <c r="C2279">
        <v>30960</v>
      </c>
      <c r="D2279">
        <v>17826</v>
      </c>
      <c r="E2279">
        <v>9281</v>
      </c>
      <c r="F2279">
        <v>77</v>
      </c>
      <c r="G2279" t="s">
        <v>20</v>
      </c>
      <c r="H2279" t="str">
        <f>IF(Grammys[[#This Row],[date]] &gt;= DATE(2022, 2, 1), "Grammys", "Grammys + TRA")</f>
        <v>Grammys</v>
      </c>
      <c r="I2279">
        <f>_xlfn.XLOOKUP(Grammys[[#This Row],[date]], mobile_visits[date], mobile_visits[mobile_visitors], 0)</f>
        <v>9996</v>
      </c>
    </row>
    <row r="2280" spans="1:9" x14ac:dyDescent="0.2">
      <c r="A2280" s="1">
        <v>45014</v>
      </c>
      <c r="B2280">
        <v>18432</v>
      </c>
      <c r="C2280">
        <v>34576</v>
      </c>
      <c r="D2280">
        <v>19730</v>
      </c>
      <c r="E2280">
        <v>10165</v>
      </c>
      <c r="F2280">
        <v>78</v>
      </c>
      <c r="G2280" t="s">
        <v>20</v>
      </c>
      <c r="H2280" t="str">
        <f>IF(Grammys[[#This Row],[date]] &gt;= DATE(2022, 2, 1), "Grammys", "Grammys + TRA")</f>
        <v>Grammys</v>
      </c>
      <c r="I2280">
        <f>_xlfn.XLOOKUP(Grammys[[#This Row],[date]], mobile_visits[date], mobile_visits[mobile_visitors], 0)</f>
        <v>12356</v>
      </c>
    </row>
    <row r="2281" spans="1:9" x14ac:dyDescent="0.2">
      <c r="A2281" s="1">
        <v>45015</v>
      </c>
      <c r="B2281">
        <v>16727</v>
      </c>
      <c r="C2281">
        <v>30475</v>
      </c>
      <c r="D2281">
        <v>17954</v>
      </c>
      <c r="E2281">
        <v>9561</v>
      </c>
      <c r="F2281">
        <v>78</v>
      </c>
      <c r="G2281" t="s">
        <v>20</v>
      </c>
      <c r="H2281" t="str">
        <f>IF(Grammys[[#This Row],[date]] &gt;= DATE(2022, 2, 1), "Grammys", "Grammys + TRA")</f>
        <v>Grammys</v>
      </c>
      <c r="I2281">
        <f>_xlfn.XLOOKUP(Grammys[[#This Row],[date]], mobile_visits[date], mobile_visits[mobile_visitors], 0)</f>
        <v>10260</v>
      </c>
    </row>
    <row r="2282" spans="1:9" x14ac:dyDescent="0.2">
      <c r="A2282" s="1">
        <v>45016</v>
      </c>
      <c r="B2282">
        <v>17114</v>
      </c>
      <c r="C2282">
        <v>32051</v>
      </c>
      <c r="D2282">
        <v>18300</v>
      </c>
      <c r="E2282">
        <v>9612</v>
      </c>
      <c r="F2282">
        <v>77</v>
      </c>
      <c r="G2282" t="s">
        <v>20</v>
      </c>
      <c r="H2282" t="str">
        <f>IF(Grammys[[#This Row],[date]] &gt;= DATE(2022, 2, 1), "Grammys", "Grammys + TRA")</f>
        <v>Grammys</v>
      </c>
      <c r="I2282">
        <f>_xlfn.XLOOKUP(Grammys[[#This Row],[date]], mobile_visits[date], mobile_visits[mobile_visitors], 0)</f>
        <v>12473</v>
      </c>
    </row>
    <row r="2283" spans="1:9" x14ac:dyDescent="0.2">
      <c r="A2283" s="1">
        <v>45017</v>
      </c>
      <c r="B2283">
        <v>14697</v>
      </c>
      <c r="C2283">
        <v>28144</v>
      </c>
      <c r="D2283">
        <v>15740</v>
      </c>
      <c r="E2283">
        <v>8081</v>
      </c>
      <c r="F2283">
        <v>75</v>
      </c>
      <c r="G2283" t="s">
        <v>20</v>
      </c>
      <c r="H2283" t="str">
        <f>IF(Grammys[[#This Row],[date]] &gt;= DATE(2022, 2, 1), "Grammys", "Grammys + TRA")</f>
        <v>Grammys</v>
      </c>
      <c r="I2283">
        <f>_xlfn.XLOOKUP(Grammys[[#This Row],[date]], mobile_visits[date], mobile_visits[mobile_visitors], 0)</f>
        <v>11907</v>
      </c>
    </row>
    <row r="2284" spans="1:9" x14ac:dyDescent="0.2">
      <c r="A2284" s="1">
        <v>45018</v>
      </c>
      <c r="B2284">
        <v>15613</v>
      </c>
      <c r="C2284">
        <v>28868</v>
      </c>
      <c r="D2284">
        <v>16427</v>
      </c>
      <c r="E2284">
        <v>8551</v>
      </c>
      <c r="F2284">
        <v>72</v>
      </c>
      <c r="G2284" t="s">
        <v>20</v>
      </c>
      <c r="H2284" t="str">
        <f>IF(Grammys[[#This Row],[date]] &gt;= DATE(2022, 2, 1), "Grammys", "Grammys + TRA")</f>
        <v>Grammys</v>
      </c>
      <c r="I2284">
        <f>_xlfn.XLOOKUP(Grammys[[#This Row],[date]], mobile_visits[date], mobile_visits[mobile_visitors], 0)</f>
        <v>13318</v>
      </c>
    </row>
    <row r="2285" spans="1:9" x14ac:dyDescent="0.2">
      <c r="A2285" s="1">
        <v>45019</v>
      </c>
      <c r="B2285">
        <v>18315</v>
      </c>
      <c r="C2285">
        <v>34889</v>
      </c>
      <c r="D2285">
        <v>19462</v>
      </c>
      <c r="E2285">
        <v>10043</v>
      </c>
      <c r="F2285">
        <v>81</v>
      </c>
      <c r="G2285" t="s">
        <v>20</v>
      </c>
      <c r="H2285" t="str">
        <f>IF(Grammys[[#This Row],[date]] &gt;= DATE(2022, 2, 1), "Grammys", "Grammys + TRA")</f>
        <v>Grammys</v>
      </c>
      <c r="I2285">
        <f>_xlfn.XLOOKUP(Grammys[[#This Row],[date]], mobile_visits[date], mobile_visits[mobile_visitors], 0)</f>
        <v>11796</v>
      </c>
    </row>
    <row r="2286" spans="1:9" x14ac:dyDescent="0.2">
      <c r="A2286" s="1">
        <v>45020</v>
      </c>
      <c r="B2286">
        <v>18358</v>
      </c>
      <c r="C2286">
        <v>34544</v>
      </c>
      <c r="D2286">
        <v>19559</v>
      </c>
      <c r="E2286">
        <v>10019</v>
      </c>
      <c r="F2286">
        <v>86</v>
      </c>
      <c r="G2286" t="s">
        <v>20</v>
      </c>
      <c r="H2286" t="str">
        <f>IF(Grammys[[#This Row],[date]] &gt;= DATE(2022, 2, 1), "Grammys", "Grammys + TRA")</f>
        <v>Grammys</v>
      </c>
      <c r="I2286">
        <f>_xlfn.XLOOKUP(Grammys[[#This Row],[date]], mobile_visits[date], mobile_visits[mobile_visitors], 0)</f>
        <v>11657</v>
      </c>
    </row>
    <row r="2287" spans="1:9" x14ac:dyDescent="0.2">
      <c r="A2287" s="1">
        <v>45021</v>
      </c>
      <c r="B2287">
        <v>16876</v>
      </c>
      <c r="C2287">
        <v>31812</v>
      </c>
      <c r="D2287">
        <v>18092</v>
      </c>
      <c r="E2287">
        <v>9533</v>
      </c>
      <c r="F2287">
        <v>82</v>
      </c>
      <c r="G2287" t="s">
        <v>20</v>
      </c>
      <c r="H2287" t="str">
        <f>IF(Grammys[[#This Row],[date]] &gt;= DATE(2022, 2, 1), "Grammys", "Grammys + TRA")</f>
        <v>Grammys</v>
      </c>
      <c r="I2287">
        <f>_xlfn.XLOOKUP(Grammys[[#This Row],[date]], mobile_visits[date], mobile_visits[mobile_visitors], 0)</f>
        <v>10566</v>
      </c>
    </row>
    <row r="2288" spans="1:9" x14ac:dyDescent="0.2">
      <c r="A2288" s="1">
        <v>45022</v>
      </c>
      <c r="B2288">
        <v>17771</v>
      </c>
      <c r="C2288">
        <v>33022</v>
      </c>
      <c r="D2288">
        <v>18896</v>
      </c>
      <c r="E2288">
        <v>9906</v>
      </c>
      <c r="F2288">
        <v>77</v>
      </c>
      <c r="G2288" t="s">
        <v>20</v>
      </c>
      <c r="H2288" t="str">
        <f>IF(Grammys[[#This Row],[date]] &gt;= DATE(2022, 2, 1), "Grammys", "Grammys + TRA")</f>
        <v>Grammys</v>
      </c>
      <c r="I2288">
        <f>_xlfn.XLOOKUP(Grammys[[#This Row],[date]], mobile_visits[date], mobile_visits[mobile_visitors], 0)</f>
        <v>11591</v>
      </c>
    </row>
    <row r="2289" spans="1:9" x14ac:dyDescent="0.2">
      <c r="A2289" s="1">
        <v>45023</v>
      </c>
      <c r="B2289">
        <v>15930</v>
      </c>
      <c r="C2289">
        <v>29951</v>
      </c>
      <c r="D2289">
        <v>17074</v>
      </c>
      <c r="E2289">
        <v>9019</v>
      </c>
      <c r="F2289">
        <v>80</v>
      </c>
      <c r="G2289" t="s">
        <v>20</v>
      </c>
      <c r="H2289" t="str">
        <f>IF(Grammys[[#This Row],[date]] &gt;= DATE(2022, 2, 1), "Grammys", "Grammys + TRA")</f>
        <v>Grammys</v>
      </c>
      <c r="I2289">
        <f>_xlfn.XLOOKUP(Grammys[[#This Row],[date]], mobile_visits[date], mobile_visits[mobile_visitors], 0)</f>
        <v>11106</v>
      </c>
    </row>
    <row r="2290" spans="1:9" x14ac:dyDescent="0.2">
      <c r="A2290" s="1">
        <v>45024</v>
      </c>
      <c r="B2290">
        <v>17143</v>
      </c>
      <c r="C2290">
        <v>31697</v>
      </c>
      <c r="D2290">
        <v>18081</v>
      </c>
      <c r="E2290">
        <v>9419</v>
      </c>
      <c r="F2290">
        <v>73</v>
      </c>
      <c r="G2290" t="s">
        <v>20</v>
      </c>
      <c r="H2290" t="str">
        <f>IF(Grammys[[#This Row],[date]] &gt;= DATE(2022, 2, 1), "Grammys", "Grammys + TRA")</f>
        <v>Grammys</v>
      </c>
      <c r="I2290">
        <f>_xlfn.XLOOKUP(Grammys[[#This Row],[date]], mobile_visits[date], mobile_visits[mobile_visitors], 0)</f>
        <v>13127</v>
      </c>
    </row>
    <row r="2291" spans="1:9" x14ac:dyDescent="0.2">
      <c r="A2291" s="1">
        <v>45025</v>
      </c>
      <c r="B2291">
        <v>35841</v>
      </c>
      <c r="C2291">
        <v>78751</v>
      </c>
      <c r="D2291">
        <v>38082</v>
      </c>
      <c r="E2291">
        <v>14243</v>
      </c>
      <c r="F2291">
        <v>95</v>
      </c>
      <c r="G2291" t="s">
        <v>20</v>
      </c>
      <c r="H2291" t="str">
        <f>IF(Grammys[[#This Row],[date]] &gt;= DATE(2022, 2, 1), "Grammys", "Grammys + TRA")</f>
        <v>Grammys</v>
      </c>
      <c r="I2291">
        <f>_xlfn.XLOOKUP(Grammys[[#This Row],[date]], mobile_visits[date], mobile_visits[mobile_visitors], 0)</f>
        <v>28592</v>
      </c>
    </row>
    <row r="2292" spans="1:9" x14ac:dyDescent="0.2">
      <c r="A2292" s="1">
        <v>45026</v>
      </c>
      <c r="B2292">
        <v>22844</v>
      </c>
      <c r="C2292">
        <v>44119</v>
      </c>
      <c r="D2292">
        <v>24136</v>
      </c>
      <c r="E2292">
        <v>10707</v>
      </c>
      <c r="F2292">
        <v>76</v>
      </c>
      <c r="G2292" t="s">
        <v>20</v>
      </c>
      <c r="H2292" t="str">
        <f>IF(Grammys[[#This Row],[date]] &gt;= DATE(2022, 2, 1), "Grammys", "Grammys + TRA")</f>
        <v>Grammys</v>
      </c>
      <c r="I2292">
        <f>_xlfn.XLOOKUP(Grammys[[#This Row],[date]], mobile_visits[date], mobile_visits[mobile_visitors], 0)</f>
        <v>16195</v>
      </c>
    </row>
    <row r="2293" spans="1:9" x14ac:dyDescent="0.2">
      <c r="A2293" s="1">
        <v>45027</v>
      </c>
      <c r="B2293">
        <v>17192</v>
      </c>
      <c r="C2293">
        <v>32481</v>
      </c>
      <c r="D2293">
        <v>18227</v>
      </c>
      <c r="E2293">
        <v>9163</v>
      </c>
      <c r="F2293">
        <v>76</v>
      </c>
      <c r="G2293" t="s">
        <v>20</v>
      </c>
      <c r="H2293" t="str">
        <f>IF(Grammys[[#This Row],[date]] &gt;= DATE(2022, 2, 1), "Grammys", "Grammys + TRA")</f>
        <v>Grammys</v>
      </c>
      <c r="I2293">
        <f>_xlfn.XLOOKUP(Grammys[[#This Row],[date]], mobile_visits[date], mobile_visits[mobile_visitors], 0)</f>
        <v>10960</v>
      </c>
    </row>
    <row r="2294" spans="1:9" x14ac:dyDescent="0.2">
      <c r="A2294" s="1">
        <v>45028</v>
      </c>
      <c r="B2294">
        <v>16241</v>
      </c>
      <c r="C2294">
        <v>30063</v>
      </c>
      <c r="D2294">
        <v>17152</v>
      </c>
      <c r="E2294">
        <v>8872</v>
      </c>
      <c r="F2294">
        <v>84</v>
      </c>
      <c r="G2294" t="s">
        <v>20</v>
      </c>
      <c r="H2294" t="str">
        <f>IF(Grammys[[#This Row],[date]] &gt;= DATE(2022, 2, 1), "Grammys", "Grammys + TRA")</f>
        <v>Grammys</v>
      </c>
      <c r="I2294">
        <f>_xlfn.XLOOKUP(Grammys[[#This Row],[date]], mobile_visits[date], mobile_visits[mobile_visitors], 0)</f>
        <v>9748</v>
      </c>
    </row>
    <row r="2295" spans="1:9" x14ac:dyDescent="0.2">
      <c r="A2295" s="1">
        <v>45029</v>
      </c>
      <c r="B2295">
        <v>16256</v>
      </c>
      <c r="C2295">
        <v>29864</v>
      </c>
      <c r="D2295">
        <v>17339</v>
      </c>
      <c r="E2295">
        <v>9121</v>
      </c>
      <c r="F2295">
        <v>77</v>
      </c>
      <c r="G2295" t="s">
        <v>20</v>
      </c>
      <c r="H2295" t="str">
        <f>IF(Grammys[[#This Row],[date]] &gt;= DATE(2022, 2, 1), "Grammys", "Grammys + TRA")</f>
        <v>Grammys</v>
      </c>
      <c r="I2295">
        <f>_xlfn.XLOOKUP(Grammys[[#This Row],[date]], mobile_visits[date], mobile_visits[mobile_visitors], 0)</f>
        <v>10076</v>
      </c>
    </row>
    <row r="2296" spans="1:9" x14ac:dyDescent="0.2">
      <c r="A2296" s="1">
        <v>45030</v>
      </c>
      <c r="B2296">
        <v>16682</v>
      </c>
      <c r="C2296">
        <v>31019</v>
      </c>
      <c r="D2296">
        <v>17905</v>
      </c>
      <c r="E2296">
        <v>9363</v>
      </c>
      <c r="F2296">
        <v>75</v>
      </c>
      <c r="G2296" t="s">
        <v>20</v>
      </c>
      <c r="H2296" t="str">
        <f>IF(Grammys[[#This Row],[date]] &gt;= DATE(2022, 2, 1), "Grammys", "Grammys + TRA")</f>
        <v>Grammys</v>
      </c>
      <c r="I2296">
        <f>_xlfn.XLOOKUP(Grammys[[#This Row],[date]], mobile_visits[date], mobile_visits[mobile_visitors], 0)</f>
        <v>11806</v>
      </c>
    </row>
    <row r="2297" spans="1:9" x14ac:dyDescent="0.2">
      <c r="A2297" s="1">
        <v>45031</v>
      </c>
      <c r="B2297">
        <v>15644</v>
      </c>
      <c r="C2297">
        <v>29586</v>
      </c>
      <c r="D2297">
        <v>16539</v>
      </c>
      <c r="E2297">
        <v>8411</v>
      </c>
      <c r="F2297">
        <v>77</v>
      </c>
      <c r="G2297" t="s">
        <v>20</v>
      </c>
      <c r="H2297" t="str">
        <f>IF(Grammys[[#This Row],[date]] &gt;= DATE(2022, 2, 1), "Grammys", "Grammys + TRA")</f>
        <v>Grammys</v>
      </c>
      <c r="I2297">
        <f>_xlfn.XLOOKUP(Grammys[[#This Row],[date]], mobile_visits[date], mobile_visits[mobile_visitors], 0)</f>
        <v>11785</v>
      </c>
    </row>
    <row r="2298" spans="1:9" x14ac:dyDescent="0.2">
      <c r="A2298" s="1">
        <v>45032</v>
      </c>
      <c r="B2298">
        <v>15983</v>
      </c>
      <c r="C2298">
        <v>29801</v>
      </c>
      <c r="D2298">
        <v>16908</v>
      </c>
      <c r="E2298">
        <v>8762</v>
      </c>
      <c r="F2298">
        <v>71</v>
      </c>
      <c r="G2298" t="s">
        <v>20</v>
      </c>
      <c r="H2298" t="str">
        <f>IF(Grammys[[#This Row],[date]] &gt;= DATE(2022, 2, 1), "Grammys", "Grammys + TRA")</f>
        <v>Grammys</v>
      </c>
      <c r="I2298">
        <f>_xlfn.XLOOKUP(Grammys[[#This Row],[date]], mobile_visits[date], mobile_visits[mobile_visitors], 0)</f>
        <v>12254</v>
      </c>
    </row>
    <row r="2299" spans="1:9" x14ac:dyDescent="0.2">
      <c r="A2299" s="1">
        <v>45033</v>
      </c>
      <c r="B2299">
        <v>16776</v>
      </c>
      <c r="C2299">
        <v>30658</v>
      </c>
      <c r="D2299">
        <v>17788</v>
      </c>
      <c r="E2299">
        <v>9595</v>
      </c>
      <c r="F2299">
        <v>74</v>
      </c>
      <c r="G2299" t="s">
        <v>20</v>
      </c>
      <c r="H2299" t="str">
        <f>IF(Grammys[[#This Row],[date]] &gt;= DATE(2022, 2, 1), "Grammys", "Grammys + TRA")</f>
        <v>Grammys</v>
      </c>
      <c r="I2299">
        <f>_xlfn.XLOOKUP(Grammys[[#This Row],[date]], mobile_visits[date], mobile_visits[mobile_visitors], 0)</f>
        <v>11900</v>
      </c>
    </row>
    <row r="2300" spans="1:9" x14ac:dyDescent="0.2">
      <c r="A2300" s="1">
        <v>45034</v>
      </c>
      <c r="B2300">
        <v>15899</v>
      </c>
      <c r="C2300">
        <v>29916</v>
      </c>
      <c r="D2300">
        <v>16970</v>
      </c>
      <c r="E2300">
        <v>8847</v>
      </c>
      <c r="F2300">
        <v>82</v>
      </c>
      <c r="G2300" t="s">
        <v>20</v>
      </c>
      <c r="H2300" t="str">
        <f>IF(Grammys[[#This Row],[date]] &gt;= DATE(2022, 2, 1), "Grammys", "Grammys + TRA")</f>
        <v>Grammys</v>
      </c>
      <c r="I2300">
        <f>_xlfn.XLOOKUP(Grammys[[#This Row],[date]], mobile_visits[date], mobile_visits[mobile_visitors], 0)</f>
        <v>9823</v>
      </c>
    </row>
    <row r="2301" spans="1:9" x14ac:dyDescent="0.2">
      <c r="A2301" s="1">
        <v>45035</v>
      </c>
      <c r="B2301">
        <v>18310</v>
      </c>
      <c r="C2301">
        <v>35347</v>
      </c>
      <c r="D2301">
        <v>19534</v>
      </c>
      <c r="E2301">
        <v>10059</v>
      </c>
      <c r="F2301">
        <v>76</v>
      </c>
      <c r="G2301" t="s">
        <v>20</v>
      </c>
      <c r="H2301" t="str">
        <f>IF(Grammys[[#This Row],[date]] &gt;= DATE(2022, 2, 1), "Grammys", "Grammys + TRA")</f>
        <v>Grammys</v>
      </c>
      <c r="I2301">
        <f>_xlfn.XLOOKUP(Grammys[[#This Row],[date]], mobile_visits[date], mobile_visits[mobile_visitors], 0)</f>
        <v>11113</v>
      </c>
    </row>
    <row r="2302" spans="1:9" x14ac:dyDescent="0.2">
      <c r="A2302" s="1">
        <v>45036</v>
      </c>
      <c r="B2302">
        <v>18790</v>
      </c>
      <c r="C2302">
        <v>35413</v>
      </c>
      <c r="D2302">
        <v>19976</v>
      </c>
      <c r="E2302">
        <v>10274</v>
      </c>
      <c r="F2302">
        <v>73</v>
      </c>
      <c r="G2302" t="s">
        <v>20</v>
      </c>
      <c r="H2302" t="str">
        <f>IF(Grammys[[#This Row],[date]] &gt;= DATE(2022, 2, 1), "Grammys", "Grammys + TRA")</f>
        <v>Grammys</v>
      </c>
      <c r="I2302">
        <f>_xlfn.XLOOKUP(Grammys[[#This Row],[date]], mobile_visits[date], mobile_visits[mobile_visitors], 0)</f>
        <v>12558</v>
      </c>
    </row>
    <row r="2303" spans="1:9" x14ac:dyDescent="0.2">
      <c r="A2303" s="1">
        <v>45037</v>
      </c>
      <c r="B2303">
        <v>18368</v>
      </c>
      <c r="C2303">
        <v>34490</v>
      </c>
      <c r="D2303">
        <v>19436</v>
      </c>
      <c r="E2303">
        <v>9864</v>
      </c>
      <c r="F2303">
        <v>73</v>
      </c>
      <c r="G2303" t="s">
        <v>20</v>
      </c>
      <c r="H2303" t="str">
        <f>IF(Grammys[[#This Row],[date]] &gt;= DATE(2022, 2, 1), "Grammys", "Grammys + TRA")</f>
        <v>Grammys</v>
      </c>
      <c r="I2303">
        <f>_xlfn.XLOOKUP(Grammys[[#This Row],[date]], mobile_visits[date], mobile_visits[mobile_visitors], 0)</f>
        <v>12684</v>
      </c>
    </row>
    <row r="2304" spans="1:9" x14ac:dyDescent="0.2">
      <c r="A2304" s="1">
        <v>45038</v>
      </c>
      <c r="B2304">
        <v>16403</v>
      </c>
      <c r="C2304">
        <v>30386</v>
      </c>
      <c r="D2304">
        <v>17247</v>
      </c>
      <c r="E2304">
        <v>8812</v>
      </c>
      <c r="F2304">
        <v>67</v>
      </c>
      <c r="G2304" t="s">
        <v>20</v>
      </c>
      <c r="H2304" t="str">
        <f>IF(Grammys[[#This Row],[date]] &gt;= DATE(2022, 2, 1), "Grammys", "Grammys + TRA")</f>
        <v>Grammys</v>
      </c>
      <c r="I2304">
        <f>_xlfn.XLOOKUP(Grammys[[#This Row],[date]], mobile_visits[date], mobile_visits[mobile_visitors], 0)</f>
        <v>12440</v>
      </c>
    </row>
    <row r="2305" spans="1:9" x14ac:dyDescent="0.2">
      <c r="A2305" s="1">
        <v>45039</v>
      </c>
      <c r="B2305">
        <v>16362</v>
      </c>
      <c r="C2305">
        <v>30751</v>
      </c>
      <c r="D2305">
        <v>17153</v>
      </c>
      <c r="E2305">
        <v>8553</v>
      </c>
      <c r="F2305">
        <v>76</v>
      </c>
      <c r="G2305" t="s">
        <v>20</v>
      </c>
      <c r="H2305" t="str">
        <f>IF(Grammys[[#This Row],[date]] &gt;= DATE(2022, 2, 1), "Grammys", "Grammys + TRA")</f>
        <v>Grammys</v>
      </c>
      <c r="I2305">
        <f>_xlfn.XLOOKUP(Grammys[[#This Row],[date]], mobile_visits[date], mobile_visits[mobile_visitors], 0)</f>
        <v>13024</v>
      </c>
    </row>
    <row r="2306" spans="1:9" x14ac:dyDescent="0.2">
      <c r="A2306" s="1">
        <v>45040</v>
      </c>
      <c r="B2306">
        <v>17541</v>
      </c>
      <c r="C2306">
        <v>32689</v>
      </c>
      <c r="D2306">
        <v>18678</v>
      </c>
      <c r="E2306">
        <v>9668</v>
      </c>
      <c r="F2306">
        <v>72</v>
      </c>
      <c r="G2306" t="s">
        <v>20</v>
      </c>
      <c r="H2306" t="str">
        <f>IF(Grammys[[#This Row],[date]] &gt;= DATE(2022, 2, 1), "Grammys", "Grammys + TRA")</f>
        <v>Grammys</v>
      </c>
      <c r="I2306">
        <f>_xlfn.XLOOKUP(Grammys[[#This Row],[date]], mobile_visits[date], mobile_visits[mobile_visitors], 0)</f>
        <v>12430</v>
      </c>
    </row>
    <row r="2307" spans="1:9" x14ac:dyDescent="0.2">
      <c r="A2307" s="1">
        <v>45041</v>
      </c>
      <c r="B2307">
        <v>18262</v>
      </c>
      <c r="C2307">
        <v>33281</v>
      </c>
      <c r="D2307">
        <v>19327</v>
      </c>
      <c r="E2307">
        <v>10387</v>
      </c>
      <c r="F2307">
        <v>73</v>
      </c>
      <c r="G2307" t="s">
        <v>20</v>
      </c>
      <c r="H2307" t="str">
        <f>IF(Grammys[[#This Row],[date]] &gt;= DATE(2022, 2, 1), "Grammys", "Grammys + TRA")</f>
        <v>Grammys</v>
      </c>
      <c r="I2307">
        <f>_xlfn.XLOOKUP(Grammys[[#This Row],[date]], mobile_visits[date], mobile_visits[mobile_visitors], 0)</f>
        <v>10518</v>
      </c>
    </row>
    <row r="2308" spans="1:9" x14ac:dyDescent="0.2">
      <c r="A2308" s="1">
        <v>45042</v>
      </c>
      <c r="B2308">
        <v>15660</v>
      </c>
      <c r="C2308">
        <v>29018</v>
      </c>
      <c r="D2308">
        <v>16699</v>
      </c>
      <c r="E2308">
        <v>8868</v>
      </c>
      <c r="F2308">
        <v>76</v>
      </c>
      <c r="G2308" t="s">
        <v>20</v>
      </c>
      <c r="H2308" t="str">
        <f>IF(Grammys[[#This Row],[date]] &gt;= DATE(2022, 2, 1), "Grammys", "Grammys + TRA")</f>
        <v>Grammys</v>
      </c>
      <c r="I2308">
        <f>_xlfn.XLOOKUP(Grammys[[#This Row],[date]], mobile_visits[date], mobile_visits[mobile_visitors], 0)</f>
        <v>8854</v>
      </c>
    </row>
    <row r="2309" spans="1:9" x14ac:dyDescent="0.2">
      <c r="A2309" s="1">
        <v>45043</v>
      </c>
      <c r="B2309">
        <v>14039</v>
      </c>
      <c r="C2309">
        <v>25944</v>
      </c>
      <c r="D2309">
        <v>15052</v>
      </c>
      <c r="E2309">
        <v>8040</v>
      </c>
      <c r="F2309">
        <v>77</v>
      </c>
      <c r="G2309" t="s">
        <v>20</v>
      </c>
      <c r="H2309" t="str">
        <f>IF(Grammys[[#This Row],[date]] &gt;= DATE(2022, 2, 1), "Grammys", "Grammys + TRA")</f>
        <v>Grammys</v>
      </c>
      <c r="I2309">
        <f>_xlfn.XLOOKUP(Grammys[[#This Row],[date]], mobile_visits[date], mobile_visits[mobile_visitors], 0)</f>
        <v>7546</v>
      </c>
    </row>
    <row r="2310" spans="1:9" x14ac:dyDescent="0.2">
      <c r="A2310" s="1">
        <v>45044</v>
      </c>
      <c r="B2310">
        <v>13947</v>
      </c>
      <c r="C2310">
        <v>25573</v>
      </c>
      <c r="D2310">
        <v>14769</v>
      </c>
      <c r="E2310">
        <v>7828</v>
      </c>
      <c r="F2310">
        <v>74</v>
      </c>
      <c r="G2310" t="s">
        <v>20</v>
      </c>
      <c r="H2310" t="str">
        <f>IF(Grammys[[#This Row],[date]] &gt;= DATE(2022, 2, 1), "Grammys", "Grammys + TRA")</f>
        <v>Grammys</v>
      </c>
      <c r="I2310">
        <f>_xlfn.XLOOKUP(Grammys[[#This Row],[date]], mobile_visits[date], mobile_visits[mobile_visitors], 0)</f>
        <v>8888</v>
      </c>
    </row>
    <row r="2311" spans="1:9" x14ac:dyDescent="0.2">
      <c r="A2311" s="1">
        <v>45045</v>
      </c>
      <c r="B2311">
        <v>13127</v>
      </c>
      <c r="C2311">
        <v>24285</v>
      </c>
      <c r="D2311">
        <v>13849</v>
      </c>
      <c r="E2311">
        <v>7083</v>
      </c>
      <c r="F2311">
        <v>73</v>
      </c>
      <c r="G2311" t="s">
        <v>20</v>
      </c>
      <c r="H2311" t="str">
        <f>IF(Grammys[[#This Row],[date]] &gt;= DATE(2022, 2, 1), "Grammys", "Grammys + TRA")</f>
        <v>Grammys</v>
      </c>
      <c r="I2311">
        <f>_xlfn.XLOOKUP(Grammys[[#This Row],[date]], mobile_visits[date], mobile_visits[mobile_visitors], 0)</f>
        <v>9372</v>
      </c>
    </row>
    <row r="2312" spans="1:9" x14ac:dyDescent="0.2">
      <c r="A2312" s="1">
        <v>45046</v>
      </c>
      <c r="B2312">
        <v>13662</v>
      </c>
      <c r="C2312">
        <v>25691</v>
      </c>
      <c r="D2312">
        <v>14623</v>
      </c>
      <c r="E2312">
        <v>7536</v>
      </c>
      <c r="F2312">
        <v>71</v>
      </c>
      <c r="G2312" t="s">
        <v>20</v>
      </c>
      <c r="H2312" t="str">
        <f>IF(Grammys[[#This Row],[date]] &gt;= DATE(2022, 2, 1), "Grammys", "Grammys + TRA")</f>
        <v>Grammys</v>
      </c>
      <c r="I2312">
        <f>_xlfn.XLOOKUP(Grammys[[#This Row],[date]], mobile_visits[date], mobile_visits[mobile_visitors], 0)</f>
        <v>10011</v>
      </c>
    </row>
    <row r="2313" spans="1:9" x14ac:dyDescent="0.2">
      <c r="A2313" s="1">
        <v>45047</v>
      </c>
      <c r="B2313">
        <v>16266</v>
      </c>
      <c r="C2313">
        <v>30062</v>
      </c>
      <c r="D2313">
        <v>17346</v>
      </c>
      <c r="E2313">
        <v>9097</v>
      </c>
      <c r="F2313">
        <v>71</v>
      </c>
      <c r="G2313" t="s">
        <v>20</v>
      </c>
      <c r="H2313" t="str">
        <f>IF(Grammys[[#This Row],[date]] &gt;= DATE(2022, 2, 1), "Grammys", "Grammys + TRA")</f>
        <v>Grammys</v>
      </c>
      <c r="I2313">
        <f>_xlfn.XLOOKUP(Grammys[[#This Row],[date]], mobile_visits[date], mobile_visits[mobile_visitors], 0)</f>
        <v>11833</v>
      </c>
    </row>
    <row r="2314" spans="1:9" x14ac:dyDescent="0.2">
      <c r="A2314" s="1">
        <v>45048</v>
      </c>
      <c r="B2314">
        <v>18538</v>
      </c>
      <c r="C2314">
        <v>34007</v>
      </c>
      <c r="D2314">
        <v>20000</v>
      </c>
      <c r="E2314">
        <v>10524</v>
      </c>
      <c r="F2314">
        <v>77</v>
      </c>
      <c r="G2314" t="s">
        <v>20</v>
      </c>
      <c r="H2314" t="str">
        <f>IF(Grammys[[#This Row],[date]] &gt;= DATE(2022, 2, 1), "Grammys", "Grammys + TRA")</f>
        <v>Grammys</v>
      </c>
      <c r="I2314">
        <f>_xlfn.XLOOKUP(Grammys[[#This Row],[date]], mobile_visits[date], mobile_visits[mobile_visitors], 0)</f>
        <v>13740</v>
      </c>
    </row>
    <row r="2315" spans="1:9" x14ac:dyDescent="0.2">
      <c r="A2315" s="1">
        <v>45049</v>
      </c>
      <c r="B2315">
        <v>18070</v>
      </c>
      <c r="C2315">
        <v>32890</v>
      </c>
      <c r="D2315">
        <v>19495</v>
      </c>
      <c r="E2315">
        <v>10325</v>
      </c>
      <c r="F2315">
        <v>73</v>
      </c>
      <c r="G2315" t="s">
        <v>20</v>
      </c>
      <c r="H2315" t="str">
        <f>IF(Grammys[[#This Row],[date]] &gt;= DATE(2022, 2, 1), "Grammys", "Grammys + TRA")</f>
        <v>Grammys</v>
      </c>
      <c r="I2315">
        <f>_xlfn.XLOOKUP(Grammys[[#This Row],[date]], mobile_visits[date], mobile_visits[mobile_visitors], 0)</f>
        <v>10769</v>
      </c>
    </row>
    <row r="2316" spans="1:9" x14ac:dyDescent="0.2">
      <c r="A2316" s="1">
        <v>45050</v>
      </c>
      <c r="B2316">
        <v>17018</v>
      </c>
      <c r="C2316">
        <v>29738</v>
      </c>
      <c r="D2316">
        <v>18074</v>
      </c>
      <c r="E2316">
        <v>10084</v>
      </c>
      <c r="F2316">
        <v>69</v>
      </c>
      <c r="G2316" t="s">
        <v>20</v>
      </c>
      <c r="H2316" t="str">
        <f>IF(Grammys[[#This Row],[date]] &gt;= DATE(2022, 2, 1), "Grammys", "Grammys + TRA")</f>
        <v>Grammys</v>
      </c>
      <c r="I2316">
        <f>_xlfn.XLOOKUP(Grammys[[#This Row],[date]], mobile_visits[date], mobile_visits[mobile_visitors], 0)</f>
        <v>10421</v>
      </c>
    </row>
    <row r="2317" spans="1:9" x14ac:dyDescent="0.2">
      <c r="A2317" s="1">
        <v>45051</v>
      </c>
      <c r="B2317">
        <v>13993</v>
      </c>
      <c r="C2317">
        <v>25219</v>
      </c>
      <c r="D2317">
        <v>14897</v>
      </c>
      <c r="E2317">
        <v>7917</v>
      </c>
      <c r="F2317">
        <v>79</v>
      </c>
      <c r="G2317" t="s">
        <v>20</v>
      </c>
      <c r="H2317" t="str">
        <f>IF(Grammys[[#This Row],[date]] &gt;= DATE(2022, 2, 1), "Grammys", "Grammys + TRA")</f>
        <v>Grammys</v>
      </c>
      <c r="I2317">
        <f>_xlfn.XLOOKUP(Grammys[[#This Row],[date]], mobile_visits[date], mobile_visits[mobile_visitors], 0)</f>
        <v>8569</v>
      </c>
    </row>
    <row r="2318" spans="1:9" x14ac:dyDescent="0.2">
      <c r="A2318" s="1">
        <v>45052</v>
      </c>
      <c r="B2318">
        <v>12198</v>
      </c>
      <c r="C2318">
        <v>22095</v>
      </c>
      <c r="D2318">
        <v>12928</v>
      </c>
      <c r="E2318">
        <v>6679</v>
      </c>
      <c r="F2318">
        <v>73</v>
      </c>
      <c r="G2318" t="s">
        <v>20</v>
      </c>
      <c r="H2318" t="str">
        <f>IF(Grammys[[#This Row],[date]] &gt;= DATE(2022, 2, 1), "Grammys", "Grammys + TRA")</f>
        <v>Grammys</v>
      </c>
      <c r="I2318">
        <f>_xlfn.XLOOKUP(Grammys[[#This Row],[date]], mobile_visits[date], mobile_visits[mobile_visitors], 0)</f>
        <v>9095</v>
      </c>
    </row>
    <row r="2319" spans="1:9" x14ac:dyDescent="0.2">
      <c r="A2319" s="1">
        <v>45053</v>
      </c>
      <c r="B2319">
        <v>12689</v>
      </c>
      <c r="C2319">
        <v>22960</v>
      </c>
      <c r="D2319">
        <v>13553</v>
      </c>
      <c r="E2319">
        <v>7212</v>
      </c>
      <c r="F2319">
        <v>72</v>
      </c>
      <c r="G2319" t="s">
        <v>20</v>
      </c>
      <c r="H2319" t="str">
        <f>IF(Grammys[[#This Row],[date]] &gt;= DATE(2022, 2, 1), "Grammys", "Grammys + TRA")</f>
        <v>Grammys</v>
      </c>
      <c r="I2319">
        <f>_xlfn.XLOOKUP(Grammys[[#This Row],[date]], mobile_visits[date], mobile_visits[mobile_visitors], 0)</f>
        <v>9664</v>
      </c>
    </row>
    <row r="2320" spans="1:9" x14ac:dyDescent="0.2">
      <c r="A2320" s="1">
        <v>45054</v>
      </c>
      <c r="B2320">
        <v>25026</v>
      </c>
      <c r="C2320">
        <v>45418</v>
      </c>
      <c r="D2320">
        <v>26725</v>
      </c>
      <c r="E2320">
        <v>14101</v>
      </c>
      <c r="F2320">
        <v>66</v>
      </c>
      <c r="G2320" t="s">
        <v>20</v>
      </c>
      <c r="H2320" t="str">
        <f>IF(Grammys[[#This Row],[date]] &gt;= DATE(2022, 2, 1), "Grammys", "Grammys + TRA")</f>
        <v>Grammys</v>
      </c>
      <c r="I2320">
        <f>_xlfn.XLOOKUP(Grammys[[#This Row],[date]], mobile_visits[date], mobile_visits[mobile_visitors], 0)</f>
        <v>18116</v>
      </c>
    </row>
    <row r="2321" spans="1:9" x14ac:dyDescent="0.2">
      <c r="A2321" s="1">
        <v>45055</v>
      </c>
      <c r="B2321">
        <v>22255</v>
      </c>
      <c r="C2321">
        <v>39841</v>
      </c>
      <c r="D2321">
        <v>23948</v>
      </c>
      <c r="E2321">
        <v>13052</v>
      </c>
      <c r="F2321">
        <v>72</v>
      </c>
      <c r="G2321" t="s">
        <v>20</v>
      </c>
      <c r="H2321" t="str">
        <f>IF(Grammys[[#This Row],[date]] &gt;= DATE(2022, 2, 1), "Grammys", "Grammys + TRA")</f>
        <v>Grammys</v>
      </c>
      <c r="I2321">
        <f>_xlfn.XLOOKUP(Grammys[[#This Row],[date]], mobile_visits[date], mobile_visits[mobile_visitors], 0)</f>
        <v>15006</v>
      </c>
    </row>
    <row r="2322" spans="1:9" x14ac:dyDescent="0.2">
      <c r="A2322" s="1">
        <v>45056</v>
      </c>
      <c r="B2322">
        <v>25566</v>
      </c>
      <c r="C2322">
        <v>47510</v>
      </c>
      <c r="D2322">
        <v>27459</v>
      </c>
      <c r="E2322">
        <v>14356</v>
      </c>
      <c r="F2322">
        <v>97</v>
      </c>
      <c r="G2322" t="s">
        <v>20</v>
      </c>
      <c r="H2322" t="str">
        <f>IF(Grammys[[#This Row],[date]] &gt;= DATE(2022, 2, 1), "Grammys", "Grammys + TRA")</f>
        <v>Grammys</v>
      </c>
      <c r="I2322">
        <f>_xlfn.XLOOKUP(Grammys[[#This Row],[date]], mobile_visits[date], mobile_visits[mobile_visitors], 0)</f>
        <v>19099</v>
      </c>
    </row>
    <row r="2323" spans="1:9" x14ac:dyDescent="0.2">
      <c r="A2323" s="1">
        <v>45057</v>
      </c>
      <c r="B2323">
        <v>20696</v>
      </c>
      <c r="C2323">
        <v>38328</v>
      </c>
      <c r="D2323">
        <v>22126</v>
      </c>
      <c r="E2323">
        <v>11643</v>
      </c>
      <c r="F2323">
        <v>80</v>
      </c>
      <c r="G2323" t="s">
        <v>20</v>
      </c>
      <c r="H2323" t="str">
        <f>IF(Grammys[[#This Row],[date]] &gt;= DATE(2022, 2, 1), "Grammys", "Grammys + TRA")</f>
        <v>Grammys</v>
      </c>
      <c r="I2323">
        <f>_xlfn.XLOOKUP(Grammys[[#This Row],[date]], mobile_visits[date], mobile_visits[mobile_visitors], 0)</f>
        <v>14490</v>
      </c>
    </row>
    <row r="2324" spans="1:9" x14ac:dyDescent="0.2">
      <c r="A2324" s="1">
        <v>45058</v>
      </c>
      <c r="B2324">
        <v>16972</v>
      </c>
      <c r="C2324">
        <v>30792</v>
      </c>
      <c r="D2324">
        <v>18165</v>
      </c>
      <c r="E2324">
        <v>9717</v>
      </c>
      <c r="F2324">
        <v>78</v>
      </c>
      <c r="G2324" t="s">
        <v>20</v>
      </c>
      <c r="H2324" t="str">
        <f>IF(Grammys[[#This Row],[date]] &gt;= DATE(2022, 2, 1), "Grammys", "Grammys + TRA")</f>
        <v>Grammys</v>
      </c>
      <c r="I2324">
        <f>_xlfn.XLOOKUP(Grammys[[#This Row],[date]], mobile_visits[date], mobile_visits[mobile_visitors], 0)</f>
        <v>12174</v>
      </c>
    </row>
    <row r="2325" spans="1:9" x14ac:dyDescent="0.2">
      <c r="A2325" s="1">
        <v>45059</v>
      </c>
      <c r="B2325">
        <v>14081</v>
      </c>
      <c r="C2325">
        <v>26593</v>
      </c>
      <c r="D2325">
        <v>15387</v>
      </c>
      <c r="E2325">
        <v>8128</v>
      </c>
      <c r="F2325">
        <v>72</v>
      </c>
      <c r="G2325" t="s">
        <v>20</v>
      </c>
      <c r="H2325" t="str">
        <f>IF(Grammys[[#This Row],[date]] &gt;= DATE(2022, 2, 1), "Grammys", "Grammys + TRA")</f>
        <v>Grammys</v>
      </c>
      <c r="I2325">
        <f>_xlfn.XLOOKUP(Grammys[[#This Row],[date]], mobile_visits[date], mobile_visits[mobile_visitors], 0)</f>
        <v>11056</v>
      </c>
    </row>
    <row r="2326" spans="1:9" x14ac:dyDescent="0.2">
      <c r="A2326" s="1">
        <v>45060</v>
      </c>
      <c r="B2326">
        <v>17400</v>
      </c>
      <c r="C2326">
        <v>35653</v>
      </c>
      <c r="D2326">
        <v>19801</v>
      </c>
      <c r="E2326">
        <v>9907</v>
      </c>
      <c r="F2326">
        <v>66</v>
      </c>
      <c r="G2326" t="s">
        <v>20</v>
      </c>
      <c r="H2326" t="str">
        <f>IF(Grammys[[#This Row],[date]] &gt;= DATE(2022, 2, 1), "Grammys", "Grammys + TRA")</f>
        <v>Grammys</v>
      </c>
      <c r="I2326">
        <f>_xlfn.XLOOKUP(Grammys[[#This Row],[date]], mobile_visits[date], mobile_visits[mobile_visitors], 0)</f>
        <v>14688</v>
      </c>
    </row>
    <row r="2327" spans="1:9" x14ac:dyDescent="0.2">
      <c r="A2327" s="1">
        <v>45061</v>
      </c>
      <c r="B2327">
        <v>15662</v>
      </c>
      <c r="C2327">
        <v>29597</v>
      </c>
      <c r="D2327">
        <v>16850</v>
      </c>
      <c r="E2327">
        <v>8966</v>
      </c>
      <c r="F2327">
        <v>86</v>
      </c>
      <c r="G2327" t="s">
        <v>20</v>
      </c>
      <c r="H2327" t="str">
        <f>IF(Grammys[[#This Row],[date]] &gt;= DATE(2022, 2, 1), "Grammys", "Grammys + TRA")</f>
        <v>Grammys</v>
      </c>
      <c r="I2327">
        <f>_xlfn.XLOOKUP(Grammys[[#This Row],[date]], mobile_visits[date], mobile_visits[mobile_visitors], 0)</f>
        <v>11255</v>
      </c>
    </row>
    <row r="2328" spans="1:9" x14ac:dyDescent="0.2">
      <c r="A2328" s="1">
        <v>45062</v>
      </c>
      <c r="B2328">
        <v>13441</v>
      </c>
      <c r="C2328">
        <v>25008</v>
      </c>
      <c r="D2328">
        <v>14480</v>
      </c>
      <c r="E2328">
        <v>7802</v>
      </c>
      <c r="F2328">
        <v>81</v>
      </c>
      <c r="G2328" t="s">
        <v>20</v>
      </c>
      <c r="H2328" t="str">
        <f>IF(Grammys[[#This Row],[date]] &gt;= DATE(2022, 2, 1), "Grammys", "Grammys + TRA")</f>
        <v>Grammys</v>
      </c>
      <c r="I2328">
        <f>_xlfn.XLOOKUP(Grammys[[#This Row],[date]], mobile_visits[date], mobile_visits[mobile_visitors], 0)</f>
        <v>8591</v>
      </c>
    </row>
    <row r="2329" spans="1:9" x14ac:dyDescent="0.2">
      <c r="A2329" s="1">
        <v>45063</v>
      </c>
      <c r="B2329">
        <v>14293</v>
      </c>
      <c r="C2329">
        <v>26016</v>
      </c>
      <c r="D2329">
        <v>15375</v>
      </c>
      <c r="E2329">
        <v>8206</v>
      </c>
      <c r="F2329">
        <v>78</v>
      </c>
      <c r="G2329" t="s">
        <v>20</v>
      </c>
      <c r="H2329" t="str">
        <f>IF(Grammys[[#This Row],[date]] &gt;= DATE(2022, 2, 1), "Grammys", "Grammys + TRA")</f>
        <v>Grammys</v>
      </c>
      <c r="I2329">
        <f>_xlfn.XLOOKUP(Grammys[[#This Row],[date]], mobile_visits[date], mobile_visits[mobile_visitors], 0)</f>
        <v>9052</v>
      </c>
    </row>
    <row r="2330" spans="1:9" x14ac:dyDescent="0.2">
      <c r="A2330" s="1">
        <v>45064</v>
      </c>
      <c r="B2330">
        <v>13468</v>
      </c>
      <c r="C2330">
        <v>24487</v>
      </c>
      <c r="D2330">
        <v>14315</v>
      </c>
      <c r="E2330">
        <v>7459</v>
      </c>
      <c r="F2330">
        <v>83</v>
      </c>
      <c r="G2330" t="s">
        <v>20</v>
      </c>
      <c r="H2330" t="str">
        <f>IF(Grammys[[#This Row],[date]] &gt;= DATE(2022, 2, 1), "Grammys", "Grammys + TRA")</f>
        <v>Grammys</v>
      </c>
      <c r="I2330">
        <f>_xlfn.XLOOKUP(Grammys[[#This Row],[date]], mobile_visits[date], mobile_visits[mobile_visitors], 0)</f>
        <v>8279</v>
      </c>
    </row>
    <row r="2331" spans="1:9" x14ac:dyDescent="0.2">
      <c r="A2331" s="1">
        <v>45065</v>
      </c>
      <c r="B2331">
        <v>17532</v>
      </c>
      <c r="C2331">
        <v>33040</v>
      </c>
      <c r="D2331">
        <v>18615</v>
      </c>
      <c r="E2331">
        <v>9198</v>
      </c>
      <c r="F2331">
        <v>84</v>
      </c>
      <c r="G2331" t="s">
        <v>20</v>
      </c>
      <c r="H2331" t="str">
        <f>IF(Grammys[[#This Row],[date]] &gt;= DATE(2022, 2, 1), "Grammys", "Grammys + TRA")</f>
        <v>Grammys</v>
      </c>
      <c r="I2331">
        <f>_xlfn.XLOOKUP(Grammys[[#This Row],[date]], mobile_visits[date], mobile_visits[mobile_visitors], 0)</f>
        <v>12395</v>
      </c>
    </row>
    <row r="2332" spans="1:9" x14ac:dyDescent="0.2">
      <c r="A2332" s="1">
        <v>45066</v>
      </c>
      <c r="B2332">
        <v>17796</v>
      </c>
      <c r="C2332">
        <v>33296</v>
      </c>
      <c r="D2332">
        <v>18934</v>
      </c>
      <c r="E2332">
        <v>9166</v>
      </c>
      <c r="F2332">
        <v>75</v>
      </c>
      <c r="G2332" t="s">
        <v>20</v>
      </c>
      <c r="H2332" t="str">
        <f>IF(Grammys[[#This Row],[date]] &gt;= DATE(2022, 2, 1), "Grammys", "Grammys + TRA")</f>
        <v>Grammys</v>
      </c>
      <c r="I2332">
        <f>_xlfn.XLOOKUP(Grammys[[#This Row],[date]], mobile_visits[date], mobile_visits[mobile_visitors], 0)</f>
        <v>13937</v>
      </c>
    </row>
    <row r="2333" spans="1:9" x14ac:dyDescent="0.2">
      <c r="A2333" s="1">
        <v>45067</v>
      </c>
      <c r="B2333">
        <v>16294</v>
      </c>
      <c r="C2333">
        <v>30442</v>
      </c>
      <c r="D2333">
        <v>17846</v>
      </c>
      <c r="E2333">
        <v>9248</v>
      </c>
      <c r="F2333">
        <v>71</v>
      </c>
      <c r="G2333" t="s">
        <v>20</v>
      </c>
      <c r="H2333" t="str">
        <f>IF(Grammys[[#This Row],[date]] &gt;= DATE(2022, 2, 1), "Grammys", "Grammys + TRA")</f>
        <v>Grammys</v>
      </c>
      <c r="I2333">
        <f>_xlfn.XLOOKUP(Grammys[[#This Row],[date]], mobile_visits[date], mobile_visits[mobile_visitors], 0)</f>
        <v>12513</v>
      </c>
    </row>
    <row r="2334" spans="1:9" x14ac:dyDescent="0.2">
      <c r="A2334" s="1">
        <v>45068</v>
      </c>
      <c r="B2334">
        <v>15471</v>
      </c>
      <c r="C2334">
        <v>34636</v>
      </c>
      <c r="D2334">
        <v>17583</v>
      </c>
      <c r="E2334">
        <v>7157</v>
      </c>
      <c r="F2334">
        <v>73</v>
      </c>
      <c r="G2334" t="s">
        <v>20</v>
      </c>
      <c r="H2334" t="str">
        <f>IF(Grammys[[#This Row],[date]] &gt;= DATE(2022, 2, 1), "Grammys", "Grammys + TRA")</f>
        <v>Grammys</v>
      </c>
      <c r="I2334">
        <f>_xlfn.XLOOKUP(Grammys[[#This Row],[date]], mobile_visits[date], mobile_visits[mobile_visitors], 0)</f>
        <v>11455</v>
      </c>
    </row>
    <row r="2335" spans="1:9" x14ac:dyDescent="0.2">
      <c r="A2335" s="1">
        <v>45069</v>
      </c>
      <c r="B2335">
        <v>17691</v>
      </c>
      <c r="C2335">
        <v>41993</v>
      </c>
      <c r="D2335">
        <v>18982</v>
      </c>
      <c r="E2335">
        <v>6916</v>
      </c>
      <c r="F2335">
        <v>77</v>
      </c>
      <c r="G2335" t="s">
        <v>20</v>
      </c>
      <c r="H2335" t="str">
        <f>IF(Grammys[[#This Row],[date]] &gt;= DATE(2022, 2, 1), "Grammys", "Grammys + TRA")</f>
        <v>Grammys</v>
      </c>
      <c r="I2335">
        <f>_xlfn.XLOOKUP(Grammys[[#This Row],[date]], mobile_visits[date], mobile_visits[mobile_visitors], 0)</f>
        <v>11146</v>
      </c>
    </row>
    <row r="2336" spans="1:9" x14ac:dyDescent="0.2">
      <c r="A2336" s="1">
        <v>45070</v>
      </c>
      <c r="B2336">
        <v>19607</v>
      </c>
      <c r="C2336">
        <v>46388</v>
      </c>
      <c r="D2336">
        <v>20908</v>
      </c>
      <c r="E2336">
        <v>7918</v>
      </c>
      <c r="F2336">
        <v>83</v>
      </c>
      <c r="G2336" t="s">
        <v>20</v>
      </c>
      <c r="H2336" t="str">
        <f>IF(Grammys[[#This Row],[date]] &gt;= DATE(2022, 2, 1), "Grammys", "Grammys + TRA")</f>
        <v>Grammys</v>
      </c>
      <c r="I2336">
        <f>_xlfn.XLOOKUP(Grammys[[#This Row],[date]], mobile_visits[date], mobile_visits[mobile_visitors], 0)</f>
        <v>13245</v>
      </c>
    </row>
    <row r="2337" spans="1:9" x14ac:dyDescent="0.2">
      <c r="A2337" s="1">
        <v>45071</v>
      </c>
      <c r="B2337">
        <v>21680</v>
      </c>
      <c r="C2337">
        <v>51484</v>
      </c>
      <c r="D2337">
        <v>23319</v>
      </c>
      <c r="E2337">
        <v>8353</v>
      </c>
      <c r="F2337">
        <v>80</v>
      </c>
      <c r="G2337" t="s">
        <v>20</v>
      </c>
      <c r="H2337" t="str">
        <f>IF(Grammys[[#This Row],[date]] &gt;= DATE(2022, 2, 1), "Grammys", "Grammys + TRA")</f>
        <v>Grammys</v>
      </c>
      <c r="I2337">
        <f>_xlfn.XLOOKUP(Grammys[[#This Row],[date]], mobile_visits[date], mobile_visits[mobile_visitors], 0)</f>
        <v>15970</v>
      </c>
    </row>
    <row r="2338" spans="1:9" x14ac:dyDescent="0.2">
      <c r="A2338" s="1">
        <v>45072</v>
      </c>
      <c r="B2338">
        <v>17211</v>
      </c>
      <c r="C2338">
        <v>41580</v>
      </c>
      <c r="D2338">
        <v>18453</v>
      </c>
      <c r="E2338">
        <v>6417</v>
      </c>
      <c r="F2338">
        <v>74</v>
      </c>
      <c r="G2338" t="s">
        <v>20</v>
      </c>
      <c r="H2338" t="str">
        <f>IF(Grammys[[#This Row],[date]] &gt;= DATE(2022, 2, 1), "Grammys", "Grammys + TRA")</f>
        <v>Grammys</v>
      </c>
      <c r="I2338">
        <f>_xlfn.XLOOKUP(Grammys[[#This Row],[date]], mobile_visits[date], mobile_visits[mobile_visitors], 0)</f>
        <v>12674</v>
      </c>
    </row>
    <row r="2339" spans="1:9" x14ac:dyDescent="0.2">
      <c r="A2339" s="1">
        <v>45073</v>
      </c>
      <c r="B2339">
        <v>14332</v>
      </c>
      <c r="C2339">
        <v>34178</v>
      </c>
      <c r="D2339">
        <v>15430</v>
      </c>
      <c r="E2339">
        <v>5424</v>
      </c>
      <c r="F2339">
        <v>75</v>
      </c>
      <c r="G2339" t="s">
        <v>20</v>
      </c>
      <c r="H2339" t="str">
        <f>IF(Grammys[[#This Row],[date]] &gt;= DATE(2022, 2, 1), "Grammys", "Grammys + TRA")</f>
        <v>Grammys</v>
      </c>
      <c r="I2339">
        <f>_xlfn.XLOOKUP(Grammys[[#This Row],[date]], mobile_visits[date], mobile_visits[mobile_visitors], 0)</f>
        <v>11412</v>
      </c>
    </row>
    <row r="2340" spans="1:9" x14ac:dyDescent="0.2">
      <c r="A2340" s="1">
        <v>45074</v>
      </c>
      <c r="B2340">
        <v>13798</v>
      </c>
      <c r="C2340">
        <v>31708</v>
      </c>
      <c r="D2340">
        <v>14662</v>
      </c>
      <c r="E2340">
        <v>5509</v>
      </c>
      <c r="F2340">
        <v>73</v>
      </c>
      <c r="G2340" t="s">
        <v>20</v>
      </c>
      <c r="H2340" t="str">
        <f>IF(Grammys[[#This Row],[date]] &gt;= DATE(2022, 2, 1), "Grammys", "Grammys + TRA")</f>
        <v>Grammys</v>
      </c>
      <c r="I2340">
        <f>_xlfn.XLOOKUP(Grammys[[#This Row],[date]], mobile_visits[date], mobile_visits[mobile_visitors], 0)</f>
        <v>11060</v>
      </c>
    </row>
    <row r="2341" spans="1:9" x14ac:dyDescent="0.2">
      <c r="A2341" s="1">
        <v>45075</v>
      </c>
      <c r="B2341">
        <v>20563</v>
      </c>
      <c r="C2341">
        <v>53396</v>
      </c>
      <c r="D2341">
        <v>22244</v>
      </c>
      <c r="E2341">
        <v>7005</v>
      </c>
      <c r="F2341">
        <v>92</v>
      </c>
      <c r="G2341" t="s">
        <v>20</v>
      </c>
      <c r="H2341" t="str">
        <f>IF(Grammys[[#This Row],[date]] &gt;= DATE(2022, 2, 1), "Grammys", "Grammys + TRA")</f>
        <v>Grammys</v>
      </c>
      <c r="I2341">
        <f>_xlfn.XLOOKUP(Grammys[[#This Row],[date]], mobile_visits[date], mobile_visits[mobile_visitors], 0)</f>
        <v>16834</v>
      </c>
    </row>
    <row r="2342" spans="1:9" x14ac:dyDescent="0.2">
      <c r="A2342" s="1">
        <v>45076</v>
      </c>
      <c r="B2342">
        <v>16105</v>
      </c>
      <c r="C2342">
        <v>37950</v>
      </c>
      <c r="D2342">
        <v>17264</v>
      </c>
      <c r="E2342">
        <v>6452</v>
      </c>
      <c r="F2342">
        <v>87</v>
      </c>
      <c r="G2342" t="s">
        <v>20</v>
      </c>
      <c r="H2342" t="str">
        <f>IF(Grammys[[#This Row],[date]] &gt;= DATE(2022, 2, 1), "Grammys", "Grammys + TRA")</f>
        <v>Grammys</v>
      </c>
      <c r="I2342">
        <f>_xlfn.XLOOKUP(Grammys[[#This Row],[date]], mobile_visits[date], mobile_visits[mobile_visitors], 0)</f>
        <v>10734</v>
      </c>
    </row>
    <row r="2343" spans="1:9" x14ac:dyDescent="0.2">
      <c r="A2343" s="1">
        <v>45077</v>
      </c>
      <c r="B2343">
        <v>31253</v>
      </c>
      <c r="C2343">
        <v>85686</v>
      </c>
      <c r="D2343">
        <v>33237</v>
      </c>
      <c r="E2343">
        <v>8200</v>
      </c>
      <c r="F2343">
        <v>106</v>
      </c>
      <c r="G2343" t="s">
        <v>20</v>
      </c>
      <c r="H2343" t="str">
        <f>IF(Grammys[[#This Row],[date]] &gt;= DATE(2022, 2, 1), "Grammys", "Grammys + TRA")</f>
        <v>Grammys</v>
      </c>
      <c r="I2343">
        <f>_xlfn.XLOOKUP(Grammys[[#This Row],[date]], mobile_visits[date], mobile_visits[mobile_visitors], 0)</f>
        <v>22726</v>
      </c>
    </row>
  </sheetData>
  <mergeCells count="2">
    <mergeCell ref="K2:O7"/>
    <mergeCell ref="K9:O15"/>
  </mergeCells>
  <conditionalFormatting sqref="H2:H2343">
    <cfRule type="expression" dxfId="1" priority="1">
      <formula>MOD(ROW(),2)=0</formula>
    </cfRule>
  </conditionalFormatting>
  <conditionalFormatting sqref="I2:I2343">
    <cfRule type="expression" dxfId="0"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activeCell="M33" sqref="M33"/>
    </sheetView>
  </sheetViews>
  <sheetFormatPr baseColWidth="10" defaultRowHeight="16" x14ac:dyDescent="0.2"/>
  <cols>
    <col min="1" max="1" width="16" customWidth="1"/>
    <col min="2" max="2" width="18.33203125" style="2" customWidth="1"/>
    <col min="4" max="4" width="12.33203125" customWidth="1"/>
    <col min="6" max="6" width="18.1640625" customWidth="1"/>
    <col min="7" max="7" width="25.83203125" customWidth="1"/>
  </cols>
  <sheetData>
    <row r="1" spans="1:7" x14ac:dyDescent="0.2">
      <c r="A1" t="s">
        <v>0</v>
      </c>
      <c r="B1" s="2" t="s">
        <v>19</v>
      </c>
      <c r="C1" t="s">
        <v>1</v>
      </c>
      <c r="D1" t="s">
        <v>2</v>
      </c>
      <c r="E1" t="s">
        <v>3</v>
      </c>
      <c r="F1" t="s">
        <v>4</v>
      </c>
      <c r="G1" t="s">
        <v>5</v>
      </c>
    </row>
    <row r="2" spans="1:7" x14ac:dyDescent="0.2">
      <c r="A2" s="1">
        <v>44593</v>
      </c>
      <c r="B2" s="2">
        <f>YEAR(TRA[[#This Row],[date]])</f>
        <v>2022</v>
      </c>
      <c r="C2">
        <v>928</v>
      </c>
      <c r="D2">
        <v>2856</v>
      </c>
      <c r="E2">
        <v>1092</v>
      </c>
      <c r="F2">
        <v>591</v>
      </c>
      <c r="G2">
        <v>148</v>
      </c>
    </row>
    <row r="3" spans="1:7" x14ac:dyDescent="0.2">
      <c r="A3" s="1">
        <v>44594</v>
      </c>
      <c r="B3" s="2">
        <f>YEAR(TRA[[#This Row],[date]])</f>
        <v>2022</v>
      </c>
      <c r="C3">
        <v>1329</v>
      </c>
      <c r="D3">
        <v>3233</v>
      </c>
      <c r="E3">
        <v>1490</v>
      </c>
      <c r="F3">
        <v>923</v>
      </c>
      <c r="G3">
        <v>90</v>
      </c>
    </row>
    <row r="4" spans="1:7" x14ac:dyDescent="0.2">
      <c r="A4" s="1">
        <v>44595</v>
      </c>
      <c r="B4" s="2">
        <f>YEAR(TRA[[#This Row],[date]])</f>
        <v>2022</v>
      </c>
      <c r="C4">
        <v>1138</v>
      </c>
      <c r="D4">
        <v>3340</v>
      </c>
      <c r="E4">
        <v>1322</v>
      </c>
      <c r="F4">
        <v>754</v>
      </c>
      <c r="G4">
        <v>127</v>
      </c>
    </row>
    <row r="5" spans="1:7" x14ac:dyDescent="0.2">
      <c r="A5" s="1">
        <v>44596</v>
      </c>
      <c r="B5" s="2">
        <f>YEAR(TRA[[#This Row],[date]])</f>
        <v>2022</v>
      </c>
      <c r="C5">
        <v>811</v>
      </c>
      <c r="D5">
        <v>2552</v>
      </c>
      <c r="E5">
        <v>963</v>
      </c>
      <c r="F5">
        <v>534</v>
      </c>
      <c r="G5">
        <v>142</v>
      </c>
    </row>
    <row r="6" spans="1:7" x14ac:dyDescent="0.2">
      <c r="A6" s="1">
        <v>44597</v>
      </c>
      <c r="B6" s="2">
        <f>YEAR(TRA[[#This Row],[date]])</f>
        <v>2022</v>
      </c>
      <c r="C6">
        <v>541</v>
      </c>
      <c r="D6">
        <v>1530</v>
      </c>
      <c r="E6">
        <v>602</v>
      </c>
      <c r="F6">
        <v>326</v>
      </c>
      <c r="G6">
        <v>111</v>
      </c>
    </row>
    <row r="7" spans="1:7" x14ac:dyDescent="0.2">
      <c r="A7" s="1">
        <v>44598</v>
      </c>
      <c r="B7" s="2">
        <f>YEAR(TRA[[#This Row],[date]])</f>
        <v>2022</v>
      </c>
      <c r="C7">
        <v>536</v>
      </c>
      <c r="D7">
        <v>1669</v>
      </c>
      <c r="E7">
        <v>610</v>
      </c>
      <c r="F7">
        <v>339</v>
      </c>
      <c r="G7">
        <v>147</v>
      </c>
    </row>
    <row r="8" spans="1:7" x14ac:dyDescent="0.2">
      <c r="A8" s="1">
        <v>44599</v>
      </c>
      <c r="B8" s="2">
        <f>YEAR(TRA[[#This Row],[date]])</f>
        <v>2022</v>
      </c>
      <c r="C8">
        <v>921</v>
      </c>
      <c r="D8">
        <v>3512</v>
      </c>
      <c r="E8">
        <v>1117</v>
      </c>
      <c r="F8">
        <v>567</v>
      </c>
      <c r="G8">
        <v>198</v>
      </c>
    </row>
    <row r="9" spans="1:7" x14ac:dyDescent="0.2">
      <c r="A9" s="1">
        <v>44600</v>
      </c>
      <c r="B9" s="2">
        <f>YEAR(TRA[[#This Row],[date]])</f>
        <v>2022</v>
      </c>
      <c r="C9">
        <v>1106</v>
      </c>
      <c r="D9">
        <v>3662</v>
      </c>
      <c r="E9">
        <v>1296</v>
      </c>
      <c r="F9">
        <v>661</v>
      </c>
      <c r="G9">
        <v>163</v>
      </c>
    </row>
    <row r="10" spans="1:7" x14ac:dyDescent="0.2">
      <c r="A10" s="1">
        <v>44601</v>
      </c>
      <c r="B10" s="2">
        <f>YEAR(TRA[[#This Row],[date]])</f>
        <v>2022</v>
      </c>
      <c r="C10">
        <v>1181</v>
      </c>
      <c r="D10">
        <v>4209</v>
      </c>
      <c r="E10">
        <v>1382</v>
      </c>
      <c r="F10">
        <v>725</v>
      </c>
      <c r="G10">
        <v>150</v>
      </c>
    </row>
    <row r="11" spans="1:7" x14ac:dyDescent="0.2">
      <c r="A11" s="1">
        <v>44602</v>
      </c>
      <c r="B11" s="2">
        <f>YEAR(TRA[[#This Row],[date]])</f>
        <v>2022</v>
      </c>
      <c r="C11">
        <v>1134</v>
      </c>
      <c r="D11">
        <v>3473</v>
      </c>
      <c r="E11">
        <v>1341</v>
      </c>
      <c r="F11">
        <v>727</v>
      </c>
      <c r="G11">
        <v>140</v>
      </c>
    </row>
    <row r="12" spans="1:7" x14ac:dyDescent="0.2">
      <c r="A12" s="1">
        <v>44603</v>
      </c>
      <c r="B12" s="2">
        <f>YEAR(TRA[[#This Row],[date]])</f>
        <v>2022</v>
      </c>
      <c r="C12">
        <v>871</v>
      </c>
      <c r="D12">
        <v>3263</v>
      </c>
      <c r="E12">
        <v>1045</v>
      </c>
      <c r="F12">
        <v>577</v>
      </c>
      <c r="G12">
        <v>183</v>
      </c>
    </row>
    <row r="13" spans="1:7" x14ac:dyDescent="0.2">
      <c r="A13" s="1">
        <v>44604</v>
      </c>
      <c r="B13" s="2">
        <f>YEAR(TRA[[#This Row],[date]])</f>
        <v>2022</v>
      </c>
      <c r="C13">
        <v>628</v>
      </c>
      <c r="D13">
        <v>1791</v>
      </c>
      <c r="E13">
        <v>726</v>
      </c>
      <c r="F13">
        <v>418</v>
      </c>
      <c r="G13">
        <v>116</v>
      </c>
    </row>
    <row r="14" spans="1:7" x14ac:dyDescent="0.2">
      <c r="A14" s="1">
        <v>44605</v>
      </c>
      <c r="B14" s="2">
        <f>YEAR(TRA[[#This Row],[date]])</f>
        <v>2022</v>
      </c>
      <c r="C14">
        <v>658</v>
      </c>
      <c r="D14">
        <v>1861</v>
      </c>
      <c r="E14">
        <v>766</v>
      </c>
      <c r="F14">
        <v>443</v>
      </c>
      <c r="G14">
        <v>122</v>
      </c>
    </row>
    <row r="15" spans="1:7" x14ac:dyDescent="0.2">
      <c r="A15" s="1">
        <v>44606</v>
      </c>
      <c r="B15" s="2">
        <f>YEAR(TRA[[#This Row],[date]])</f>
        <v>2022</v>
      </c>
      <c r="C15">
        <v>1111</v>
      </c>
      <c r="D15">
        <v>4054</v>
      </c>
      <c r="E15">
        <v>1365</v>
      </c>
      <c r="F15">
        <v>687</v>
      </c>
      <c r="G15">
        <v>167</v>
      </c>
    </row>
    <row r="16" spans="1:7" x14ac:dyDescent="0.2">
      <c r="A16" s="1">
        <v>44607</v>
      </c>
      <c r="B16" s="2">
        <f>YEAR(TRA[[#This Row],[date]])</f>
        <v>2022</v>
      </c>
      <c r="C16">
        <v>1331</v>
      </c>
      <c r="D16">
        <v>4734</v>
      </c>
      <c r="E16">
        <v>1656</v>
      </c>
      <c r="F16">
        <v>849</v>
      </c>
      <c r="G16">
        <v>171</v>
      </c>
    </row>
    <row r="17" spans="1:7" x14ac:dyDescent="0.2">
      <c r="A17" s="1">
        <v>44608</v>
      </c>
      <c r="B17" s="2">
        <f>YEAR(TRA[[#This Row],[date]])</f>
        <v>2022</v>
      </c>
      <c r="C17">
        <v>1136</v>
      </c>
      <c r="D17">
        <v>3648</v>
      </c>
      <c r="E17">
        <v>1350</v>
      </c>
      <c r="F17">
        <v>722</v>
      </c>
      <c r="G17">
        <v>148</v>
      </c>
    </row>
    <row r="18" spans="1:7" x14ac:dyDescent="0.2">
      <c r="A18" s="1">
        <v>44609</v>
      </c>
      <c r="B18" s="2">
        <f>YEAR(TRA[[#This Row],[date]])</f>
        <v>2022</v>
      </c>
      <c r="C18">
        <v>1121</v>
      </c>
      <c r="D18">
        <v>3612</v>
      </c>
      <c r="E18">
        <v>1319</v>
      </c>
      <c r="F18">
        <v>711</v>
      </c>
      <c r="G18">
        <v>138</v>
      </c>
    </row>
    <row r="19" spans="1:7" x14ac:dyDescent="0.2">
      <c r="A19" s="1">
        <v>44610</v>
      </c>
      <c r="B19" s="2">
        <f>YEAR(TRA[[#This Row],[date]])</f>
        <v>2022</v>
      </c>
      <c r="C19">
        <v>1077</v>
      </c>
      <c r="D19">
        <v>3590</v>
      </c>
      <c r="E19">
        <v>1283</v>
      </c>
      <c r="F19">
        <v>742</v>
      </c>
      <c r="G19">
        <v>159</v>
      </c>
    </row>
    <row r="20" spans="1:7" x14ac:dyDescent="0.2">
      <c r="A20" s="1">
        <v>44611</v>
      </c>
      <c r="B20" s="2">
        <f>YEAR(TRA[[#This Row],[date]])</f>
        <v>2022</v>
      </c>
      <c r="C20">
        <v>726</v>
      </c>
      <c r="D20">
        <v>1954</v>
      </c>
      <c r="E20">
        <v>830</v>
      </c>
      <c r="F20">
        <v>515</v>
      </c>
      <c r="G20">
        <v>128</v>
      </c>
    </row>
    <row r="21" spans="1:7" x14ac:dyDescent="0.2">
      <c r="A21" s="1">
        <v>44612</v>
      </c>
      <c r="B21" s="2">
        <f>YEAR(TRA[[#This Row],[date]])</f>
        <v>2022</v>
      </c>
      <c r="C21">
        <v>717</v>
      </c>
      <c r="D21">
        <v>1927</v>
      </c>
      <c r="E21">
        <v>828</v>
      </c>
      <c r="F21">
        <v>511</v>
      </c>
      <c r="G21">
        <v>146</v>
      </c>
    </row>
    <row r="22" spans="1:7" x14ac:dyDescent="0.2">
      <c r="A22" s="1">
        <v>44613</v>
      </c>
      <c r="B22" s="2">
        <f>YEAR(TRA[[#This Row],[date]])</f>
        <v>2022</v>
      </c>
      <c r="C22">
        <v>1071</v>
      </c>
      <c r="D22">
        <v>3469</v>
      </c>
      <c r="E22">
        <v>1278</v>
      </c>
      <c r="F22">
        <v>717</v>
      </c>
      <c r="G22">
        <v>144</v>
      </c>
    </row>
    <row r="23" spans="1:7" x14ac:dyDescent="0.2">
      <c r="A23" s="1">
        <v>44614</v>
      </c>
      <c r="B23" s="2">
        <f>YEAR(TRA[[#This Row],[date]])</f>
        <v>2022</v>
      </c>
      <c r="C23">
        <v>1498</v>
      </c>
      <c r="D23">
        <v>5491</v>
      </c>
      <c r="E23">
        <v>1842</v>
      </c>
      <c r="F23">
        <v>968</v>
      </c>
      <c r="G23">
        <v>159</v>
      </c>
    </row>
    <row r="24" spans="1:7" x14ac:dyDescent="0.2">
      <c r="A24" s="1">
        <v>44615</v>
      </c>
      <c r="B24" s="2">
        <f>YEAR(TRA[[#This Row],[date]])</f>
        <v>2022</v>
      </c>
      <c r="C24">
        <v>1584</v>
      </c>
      <c r="D24">
        <v>6208</v>
      </c>
      <c r="E24">
        <v>1937</v>
      </c>
      <c r="F24">
        <v>936</v>
      </c>
      <c r="G24">
        <v>169</v>
      </c>
    </row>
    <row r="25" spans="1:7" x14ac:dyDescent="0.2">
      <c r="A25" s="1">
        <v>44616</v>
      </c>
      <c r="B25" s="2">
        <f>YEAR(TRA[[#This Row],[date]])</f>
        <v>2022</v>
      </c>
      <c r="C25">
        <v>1367</v>
      </c>
      <c r="D25">
        <v>5040</v>
      </c>
      <c r="E25">
        <v>1697</v>
      </c>
      <c r="F25">
        <v>852</v>
      </c>
      <c r="G25">
        <v>194</v>
      </c>
    </row>
    <row r="26" spans="1:7" x14ac:dyDescent="0.2">
      <c r="A26" s="1">
        <v>44617</v>
      </c>
      <c r="B26" s="2">
        <f>YEAR(TRA[[#This Row],[date]])</f>
        <v>2022</v>
      </c>
      <c r="C26">
        <v>1513</v>
      </c>
      <c r="D26">
        <v>4637</v>
      </c>
      <c r="E26">
        <v>1818</v>
      </c>
      <c r="F26">
        <v>991</v>
      </c>
      <c r="G26">
        <v>141</v>
      </c>
    </row>
    <row r="27" spans="1:7" x14ac:dyDescent="0.2">
      <c r="A27" s="1">
        <v>44618</v>
      </c>
      <c r="B27" s="2">
        <f>YEAR(TRA[[#This Row],[date]])</f>
        <v>2022</v>
      </c>
      <c r="C27">
        <v>925</v>
      </c>
      <c r="D27">
        <v>2699</v>
      </c>
      <c r="E27">
        <v>1085</v>
      </c>
      <c r="F27">
        <v>602</v>
      </c>
      <c r="G27">
        <v>129</v>
      </c>
    </row>
    <row r="28" spans="1:7" x14ac:dyDescent="0.2">
      <c r="A28" s="1">
        <v>44619</v>
      </c>
      <c r="B28" s="2">
        <f>YEAR(TRA[[#This Row],[date]])</f>
        <v>2022</v>
      </c>
      <c r="C28">
        <v>952</v>
      </c>
      <c r="D28">
        <v>3214</v>
      </c>
      <c r="E28">
        <v>1161</v>
      </c>
      <c r="F28">
        <v>565</v>
      </c>
      <c r="G28">
        <v>201</v>
      </c>
    </row>
    <row r="29" spans="1:7" x14ac:dyDescent="0.2">
      <c r="A29" s="1">
        <v>44620</v>
      </c>
      <c r="B29" s="2">
        <f>YEAR(TRA[[#This Row],[date]])</f>
        <v>2022</v>
      </c>
      <c r="C29">
        <v>1966</v>
      </c>
      <c r="D29">
        <v>8951</v>
      </c>
      <c r="E29">
        <v>2717</v>
      </c>
      <c r="F29">
        <v>1114</v>
      </c>
      <c r="G29">
        <v>237</v>
      </c>
    </row>
    <row r="30" spans="1:7" x14ac:dyDescent="0.2">
      <c r="A30" s="1">
        <v>44621</v>
      </c>
      <c r="B30" s="2">
        <f>YEAR(TRA[[#This Row],[date]])</f>
        <v>2022</v>
      </c>
      <c r="C30">
        <v>1571</v>
      </c>
      <c r="D30">
        <v>6180</v>
      </c>
      <c r="E30">
        <v>2073</v>
      </c>
      <c r="F30">
        <v>1008</v>
      </c>
      <c r="G30">
        <v>188</v>
      </c>
    </row>
    <row r="31" spans="1:7" x14ac:dyDescent="0.2">
      <c r="A31" s="1">
        <v>44622</v>
      </c>
      <c r="B31" s="2">
        <f>YEAR(TRA[[#This Row],[date]])</f>
        <v>2022</v>
      </c>
      <c r="C31">
        <v>1052</v>
      </c>
      <c r="D31">
        <v>2885</v>
      </c>
      <c r="E31">
        <v>1207</v>
      </c>
      <c r="F31">
        <v>719</v>
      </c>
      <c r="G31">
        <v>107</v>
      </c>
    </row>
    <row r="32" spans="1:7" x14ac:dyDescent="0.2">
      <c r="A32" s="1">
        <v>44623</v>
      </c>
      <c r="B32" s="2">
        <f>YEAR(TRA[[#This Row],[date]])</f>
        <v>2022</v>
      </c>
      <c r="C32">
        <v>1012</v>
      </c>
      <c r="D32">
        <v>2752</v>
      </c>
      <c r="E32">
        <v>1194</v>
      </c>
      <c r="F32">
        <v>717</v>
      </c>
      <c r="G32">
        <v>117</v>
      </c>
    </row>
    <row r="33" spans="1:7" x14ac:dyDescent="0.2">
      <c r="A33" s="1">
        <v>44624</v>
      </c>
      <c r="B33" s="2">
        <f>YEAR(TRA[[#This Row],[date]])</f>
        <v>2022</v>
      </c>
      <c r="C33">
        <v>831</v>
      </c>
      <c r="D33">
        <v>2431</v>
      </c>
      <c r="E33">
        <v>977</v>
      </c>
      <c r="F33">
        <v>582</v>
      </c>
      <c r="G33">
        <v>126</v>
      </c>
    </row>
    <row r="34" spans="1:7" x14ac:dyDescent="0.2">
      <c r="A34" s="1">
        <v>44625</v>
      </c>
      <c r="B34" s="2">
        <f>YEAR(TRA[[#This Row],[date]])</f>
        <v>2022</v>
      </c>
      <c r="C34">
        <v>579</v>
      </c>
      <c r="D34">
        <v>1409</v>
      </c>
      <c r="E34">
        <v>648</v>
      </c>
      <c r="F34">
        <v>412</v>
      </c>
      <c r="G34">
        <v>89</v>
      </c>
    </row>
    <row r="35" spans="1:7" x14ac:dyDescent="0.2">
      <c r="A35" s="1">
        <v>44626</v>
      </c>
      <c r="B35" s="2">
        <f>YEAR(TRA[[#This Row],[date]])</f>
        <v>2022</v>
      </c>
      <c r="C35">
        <v>653</v>
      </c>
      <c r="D35">
        <v>1574</v>
      </c>
      <c r="E35">
        <v>719</v>
      </c>
      <c r="F35">
        <v>462</v>
      </c>
      <c r="G35">
        <v>98</v>
      </c>
    </row>
    <row r="36" spans="1:7" x14ac:dyDescent="0.2">
      <c r="A36" s="1">
        <v>44627</v>
      </c>
      <c r="B36" s="2">
        <f>YEAR(TRA[[#This Row],[date]])</f>
        <v>2022</v>
      </c>
      <c r="C36">
        <v>1015</v>
      </c>
      <c r="D36">
        <v>2878</v>
      </c>
      <c r="E36">
        <v>1175</v>
      </c>
      <c r="F36">
        <v>723</v>
      </c>
      <c r="G36">
        <v>127</v>
      </c>
    </row>
    <row r="37" spans="1:7" x14ac:dyDescent="0.2">
      <c r="A37" s="1">
        <v>44628</v>
      </c>
      <c r="B37" s="2">
        <f>YEAR(TRA[[#This Row],[date]])</f>
        <v>2022</v>
      </c>
      <c r="C37">
        <v>1493</v>
      </c>
      <c r="D37">
        <v>3662</v>
      </c>
      <c r="E37">
        <v>1703</v>
      </c>
      <c r="F37">
        <v>966</v>
      </c>
      <c r="G37">
        <v>99</v>
      </c>
    </row>
    <row r="38" spans="1:7" x14ac:dyDescent="0.2">
      <c r="A38" s="1">
        <v>44629</v>
      </c>
      <c r="B38" s="2">
        <f>YEAR(TRA[[#This Row],[date]])</f>
        <v>2022</v>
      </c>
      <c r="C38">
        <v>1111</v>
      </c>
      <c r="D38">
        <v>3393</v>
      </c>
      <c r="E38">
        <v>1293</v>
      </c>
      <c r="F38">
        <v>753</v>
      </c>
      <c r="G38">
        <v>112</v>
      </c>
    </row>
    <row r="39" spans="1:7" x14ac:dyDescent="0.2">
      <c r="A39" s="1">
        <v>44630</v>
      </c>
      <c r="B39" s="2">
        <f>YEAR(TRA[[#This Row],[date]])</f>
        <v>2022</v>
      </c>
      <c r="C39">
        <v>1000</v>
      </c>
      <c r="D39">
        <v>2796</v>
      </c>
      <c r="E39">
        <v>1160</v>
      </c>
      <c r="F39">
        <v>696</v>
      </c>
      <c r="G39">
        <v>101</v>
      </c>
    </row>
    <row r="40" spans="1:7" x14ac:dyDescent="0.2">
      <c r="A40" s="1">
        <v>44631</v>
      </c>
      <c r="B40" s="2">
        <f>YEAR(TRA[[#This Row],[date]])</f>
        <v>2022</v>
      </c>
      <c r="C40">
        <v>925</v>
      </c>
      <c r="D40">
        <v>2592</v>
      </c>
      <c r="E40">
        <v>1082</v>
      </c>
      <c r="F40">
        <v>648</v>
      </c>
      <c r="G40">
        <v>116</v>
      </c>
    </row>
    <row r="41" spans="1:7" x14ac:dyDescent="0.2">
      <c r="A41" s="1">
        <v>44632</v>
      </c>
      <c r="B41" s="2">
        <f>YEAR(TRA[[#This Row],[date]])</f>
        <v>2022</v>
      </c>
      <c r="C41">
        <v>637</v>
      </c>
      <c r="D41">
        <v>1589</v>
      </c>
      <c r="E41">
        <v>722</v>
      </c>
      <c r="F41">
        <v>456</v>
      </c>
      <c r="G41">
        <v>115</v>
      </c>
    </row>
    <row r="42" spans="1:7" x14ac:dyDescent="0.2">
      <c r="A42" s="1">
        <v>44633</v>
      </c>
      <c r="B42" s="2">
        <f>YEAR(TRA[[#This Row],[date]])</f>
        <v>2022</v>
      </c>
      <c r="C42">
        <v>720</v>
      </c>
      <c r="D42">
        <v>1622</v>
      </c>
      <c r="E42">
        <v>792</v>
      </c>
      <c r="F42">
        <v>492</v>
      </c>
      <c r="G42">
        <v>67</v>
      </c>
    </row>
    <row r="43" spans="1:7" x14ac:dyDescent="0.2">
      <c r="A43" s="1">
        <v>44634</v>
      </c>
      <c r="B43" s="2">
        <f>YEAR(TRA[[#This Row],[date]])</f>
        <v>2022</v>
      </c>
      <c r="C43">
        <v>1109</v>
      </c>
      <c r="D43">
        <v>2742</v>
      </c>
      <c r="E43">
        <v>1254</v>
      </c>
      <c r="F43">
        <v>765</v>
      </c>
      <c r="G43">
        <v>99</v>
      </c>
    </row>
    <row r="44" spans="1:7" x14ac:dyDescent="0.2">
      <c r="A44" s="1">
        <v>44635</v>
      </c>
      <c r="B44" s="2">
        <f>YEAR(TRA[[#This Row],[date]])</f>
        <v>2022</v>
      </c>
      <c r="C44">
        <v>1974</v>
      </c>
      <c r="D44">
        <v>4475</v>
      </c>
      <c r="E44">
        <v>2199</v>
      </c>
      <c r="F44">
        <v>1365</v>
      </c>
      <c r="G44">
        <v>73</v>
      </c>
    </row>
    <row r="45" spans="1:7" x14ac:dyDescent="0.2">
      <c r="A45" s="1">
        <v>44636</v>
      </c>
      <c r="B45" s="2">
        <f>YEAR(TRA[[#This Row],[date]])</f>
        <v>2022</v>
      </c>
      <c r="C45">
        <v>1433</v>
      </c>
      <c r="D45">
        <v>3572</v>
      </c>
      <c r="E45">
        <v>1622</v>
      </c>
      <c r="F45">
        <v>993</v>
      </c>
      <c r="G45">
        <v>93</v>
      </c>
    </row>
    <row r="46" spans="1:7" x14ac:dyDescent="0.2">
      <c r="A46" s="1">
        <v>44637</v>
      </c>
      <c r="B46" s="2">
        <f>YEAR(TRA[[#This Row],[date]])</f>
        <v>2022</v>
      </c>
      <c r="C46">
        <v>1186</v>
      </c>
      <c r="D46">
        <v>2802</v>
      </c>
      <c r="E46">
        <v>1331</v>
      </c>
      <c r="F46">
        <v>854</v>
      </c>
      <c r="G46">
        <v>85</v>
      </c>
    </row>
    <row r="47" spans="1:7" x14ac:dyDescent="0.2">
      <c r="A47" s="1">
        <v>44638</v>
      </c>
      <c r="B47" s="2">
        <f>YEAR(TRA[[#This Row],[date]])</f>
        <v>2022</v>
      </c>
      <c r="C47">
        <v>1320</v>
      </c>
      <c r="D47">
        <v>2796</v>
      </c>
      <c r="E47">
        <v>1483</v>
      </c>
      <c r="F47">
        <v>1042</v>
      </c>
      <c r="G47">
        <v>80</v>
      </c>
    </row>
    <row r="48" spans="1:7" x14ac:dyDescent="0.2">
      <c r="A48" s="1">
        <v>44639</v>
      </c>
      <c r="B48" s="2">
        <f>YEAR(TRA[[#This Row],[date]])</f>
        <v>2022</v>
      </c>
      <c r="C48">
        <v>978</v>
      </c>
      <c r="D48">
        <v>2000</v>
      </c>
      <c r="E48">
        <v>1100</v>
      </c>
      <c r="F48">
        <v>756</v>
      </c>
      <c r="G48">
        <v>69</v>
      </c>
    </row>
    <row r="49" spans="1:7" x14ac:dyDescent="0.2">
      <c r="A49" s="1">
        <v>44640</v>
      </c>
      <c r="B49" s="2">
        <f>YEAR(TRA[[#This Row],[date]])</f>
        <v>2022</v>
      </c>
      <c r="C49">
        <v>1006</v>
      </c>
      <c r="D49">
        <v>2165</v>
      </c>
      <c r="E49">
        <v>1103</v>
      </c>
      <c r="F49">
        <v>722</v>
      </c>
      <c r="G49">
        <v>72</v>
      </c>
    </row>
    <row r="50" spans="1:7" x14ac:dyDescent="0.2">
      <c r="A50" s="1">
        <v>44641</v>
      </c>
      <c r="B50" s="2">
        <f>YEAR(TRA[[#This Row],[date]])</f>
        <v>2022</v>
      </c>
      <c r="C50">
        <v>1508</v>
      </c>
      <c r="D50">
        <v>3417</v>
      </c>
      <c r="E50">
        <v>1682</v>
      </c>
      <c r="F50">
        <v>1080</v>
      </c>
      <c r="G50">
        <v>84</v>
      </c>
    </row>
    <row r="51" spans="1:7" x14ac:dyDescent="0.2">
      <c r="A51" s="1">
        <v>44642</v>
      </c>
      <c r="B51" s="2">
        <f>YEAR(TRA[[#This Row],[date]])</f>
        <v>2022</v>
      </c>
      <c r="C51">
        <v>1701</v>
      </c>
      <c r="D51">
        <v>3735</v>
      </c>
      <c r="E51">
        <v>1894</v>
      </c>
      <c r="F51">
        <v>1230</v>
      </c>
      <c r="G51">
        <v>73</v>
      </c>
    </row>
    <row r="52" spans="1:7" x14ac:dyDescent="0.2">
      <c r="A52" s="1">
        <v>44643</v>
      </c>
      <c r="B52" s="2">
        <f>YEAR(TRA[[#This Row],[date]])</f>
        <v>2022</v>
      </c>
      <c r="C52">
        <v>1519</v>
      </c>
      <c r="D52">
        <v>3374</v>
      </c>
      <c r="E52">
        <v>1726</v>
      </c>
      <c r="F52">
        <v>1137</v>
      </c>
      <c r="G52">
        <v>91</v>
      </c>
    </row>
    <row r="53" spans="1:7" x14ac:dyDescent="0.2">
      <c r="A53" s="1">
        <v>44644</v>
      </c>
      <c r="B53" s="2">
        <f>YEAR(TRA[[#This Row],[date]])</f>
        <v>2022</v>
      </c>
      <c r="C53">
        <v>1603</v>
      </c>
      <c r="D53">
        <v>3748</v>
      </c>
      <c r="E53">
        <v>1823</v>
      </c>
      <c r="F53">
        <v>1148</v>
      </c>
      <c r="G53">
        <v>105</v>
      </c>
    </row>
    <row r="54" spans="1:7" x14ac:dyDescent="0.2">
      <c r="A54" s="1">
        <v>44645</v>
      </c>
      <c r="B54" s="2">
        <f>YEAR(TRA[[#This Row],[date]])</f>
        <v>2022</v>
      </c>
      <c r="C54">
        <v>1387</v>
      </c>
      <c r="D54">
        <v>3329</v>
      </c>
      <c r="E54">
        <v>1586</v>
      </c>
      <c r="F54">
        <v>1042</v>
      </c>
      <c r="G54">
        <v>97</v>
      </c>
    </row>
    <row r="55" spans="1:7" x14ac:dyDescent="0.2">
      <c r="A55" s="1">
        <v>44646</v>
      </c>
      <c r="B55" s="2">
        <f>YEAR(TRA[[#This Row],[date]])</f>
        <v>2022</v>
      </c>
      <c r="C55">
        <v>1113</v>
      </c>
      <c r="D55">
        <v>2419</v>
      </c>
      <c r="E55">
        <v>1240</v>
      </c>
      <c r="F55">
        <v>840</v>
      </c>
      <c r="G55">
        <v>94</v>
      </c>
    </row>
    <row r="56" spans="1:7" x14ac:dyDescent="0.2">
      <c r="A56" s="1">
        <v>44647</v>
      </c>
      <c r="B56" s="2">
        <f>YEAR(TRA[[#This Row],[date]])</f>
        <v>2022</v>
      </c>
      <c r="C56">
        <v>2656</v>
      </c>
      <c r="D56">
        <v>4702</v>
      </c>
      <c r="E56">
        <v>2890</v>
      </c>
      <c r="F56">
        <v>2013</v>
      </c>
      <c r="G56">
        <v>55</v>
      </c>
    </row>
    <row r="57" spans="1:7" x14ac:dyDescent="0.2">
      <c r="A57" s="1">
        <v>44648</v>
      </c>
      <c r="B57" s="2">
        <f>YEAR(TRA[[#This Row],[date]])</f>
        <v>2022</v>
      </c>
      <c r="C57">
        <v>4746</v>
      </c>
      <c r="D57">
        <v>9155</v>
      </c>
      <c r="E57">
        <v>5278</v>
      </c>
      <c r="F57">
        <v>3561</v>
      </c>
      <c r="G57">
        <v>59</v>
      </c>
    </row>
    <row r="58" spans="1:7" x14ac:dyDescent="0.2">
      <c r="A58" s="1">
        <v>44649</v>
      </c>
      <c r="B58" s="2">
        <f>YEAR(TRA[[#This Row],[date]])</f>
        <v>2022</v>
      </c>
      <c r="C58">
        <v>4532</v>
      </c>
      <c r="D58">
        <v>9373</v>
      </c>
      <c r="E58">
        <v>5008</v>
      </c>
      <c r="F58">
        <v>3251</v>
      </c>
      <c r="G58">
        <v>64</v>
      </c>
    </row>
    <row r="59" spans="1:7" x14ac:dyDescent="0.2">
      <c r="A59" s="1">
        <v>44650</v>
      </c>
      <c r="B59" s="2">
        <f>YEAR(TRA[[#This Row],[date]])</f>
        <v>2022</v>
      </c>
      <c r="C59">
        <v>3711</v>
      </c>
      <c r="D59">
        <v>8221</v>
      </c>
      <c r="E59">
        <v>4171</v>
      </c>
      <c r="F59">
        <v>2662</v>
      </c>
      <c r="G59">
        <v>77</v>
      </c>
    </row>
    <row r="60" spans="1:7" x14ac:dyDescent="0.2">
      <c r="A60" s="1">
        <v>44651</v>
      </c>
      <c r="B60" s="2">
        <f>YEAR(TRA[[#This Row],[date]])</f>
        <v>2022</v>
      </c>
      <c r="C60">
        <v>3118</v>
      </c>
      <c r="D60">
        <v>6953</v>
      </c>
      <c r="E60">
        <v>3479</v>
      </c>
      <c r="F60">
        <v>2281</v>
      </c>
      <c r="G60">
        <v>78</v>
      </c>
    </row>
    <row r="61" spans="1:7" x14ac:dyDescent="0.2">
      <c r="A61" s="1">
        <v>44652</v>
      </c>
      <c r="B61" s="2">
        <f>YEAR(TRA[[#This Row],[date]])</f>
        <v>2022</v>
      </c>
      <c r="C61">
        <v>3918</v>
      </c>
      <c r="D61">
        <v>8155</v>
      </c>
      <c r="E61">
        <v>4309</v>
      </c>
      <c r="F61">
        <v>2829</v>
      </c>
      <c r="G61">
        <v>67</v>
      </c>
    </row>
    <row r="62" spans="1:7" x14ac:dyDescent="0.2">
      <c r="A62" s="1">
        <v>44653</v>
      </c>
      <c r="B62" s="2">
        <f>YEAR(TRA[[#This Row],[date]])</f>
        <v>2022</v>
      </c>
      <c r="C62">
        <v>6955</v>
      </c>
      <c r="D62">
        <v>12913</v>
      </c>
      <c r="E62">
        <v>7465</v>
      </c>
      <c r="F62">
        <v>5174</v>
      </c>
      <c r="G62">
        <v>54</v>
      </c>
    </row>
    <row r="63" spans="1:7" x14ac:dyDescent="0.2">
      <c r="A63" s="1">
        <v>44654</v>
      </c>
      <c r="B63" s="2">
        <f>YEAR(TRA[[#This Row],[date]])</f>
        <v>2022</v>
      </c>
      <c r="C63">
        <v>65411</v>
      </c>
      <c r="D63">
        <v>114987</v>
      </c>
      <c r="E63">
        <v>70782</v>
      </c>
      <c r="F63">
        <v>49152</v>
      </c>
      <c r="G63">
        <v>53</v>
      </c>
    </row>
    <row r="64" spans="1:7" x14ac:dyDescent="0.2">
      <c r="A64" s="1">
        <v>44655</v>
      </c>
      <c r="B64" s="2">
        <f>YEAR(TRA[[#This Row],[date]])</f>
        <v>2022</v>
      </c>
      <c r="C64">
        <v>15241</v>
      </c>
      <c r="D64">
        <v>27645</v>
      </c>
      <c r="E64">
        <v>16523</v>
      </c>
      <c r="F64">
        <v>11763</v>
      </c>
      <c r="G64">
        <v>57</v>
      </c>
    </row>
    <row r="65" spans="1:7" x14ac:dyDescent="0.2">
      <c r="A65" s="1">
        <v>44656</v>
      </c>
      <c r="B65" s="2">
        <f>YEAR(TRA[[#This Row],[date]])</f>
        <v>2022</v>
      </c>
      <c r="C65">
        <v>5493</v>
      </c>
      <c r="D65">
        <v>10697</v>
      </c>
      <c r="E65">
        <v>6066</v>
      </c>
      <c r="F65">
        <v>4241</v>
      </c>
      <c r="G65">
        <v>69</v>
      </c>
    </row>
    <row r="66" spans="1:7" x14ac:dyDescent="0.2">
      <c r="A66" s="1">
        <v>44657</v>
      </c>
      <c r="B66" s="2">
        <f>YEAR(TRA[[#This Row],[date]])</f>
        <v>2022</v>
      </c>
      <c r="C66">
        <v>3061</v>
      </c>
      <c r="D66">
        <v>6253</v>
      </c>
      <c r="E66">
        <v>3452</v>
      </c>
      <c r="F66">
        <v>2383</v>
      </c>
      <c r="G66">
        <v>73</v>
      </c>
    </row>
    <row r="67" spans="1:7" x14ac:dyDescent="0.2">
      <c r="A67" s="1">
        <v>44658</v>
      </c>
      <c r="B67" s="2">
        <f>YEAR(TRA[[#This Row],[date]])</f>
        <v>2022</v>
      </c>
      <c r="C67">
        <v>2281</v>
      </c>
      <c r="D67">
        <v>4857</v>
      </c>
      <c r="E67">
        <v>2560</v>
      </c>
      <c r="F67">
        <v>1694</v>
      </c>
      <c r="G67">
        <v>88</v>
      </c>
    </row>
    <row r="68" spans="1:7" x14ac:dyDescent="0.2">
      <c r="A68" s="1">
        <v>44659</v>
      </c>
      <c r="B68" s="2">
        <f>YEAR(TRA[[#This Row],[date]])</f>
        <v>2022</v>
      </c>
      <c r="C68">
        <v>1855</v>
      </c>
      <c r="D68">
        <v>3833</v>
      </c>
      <c r="E68">
        <v>2069</v>
      </c>
      <c r="F68">
        <v>1401</v>
      </c>
      <c r="G68">
        <v>76</v>
      </c>
    </row>
    <row r="69" spans="1:7" x14ac:dyDescent="0.2">
      <c r="A69" s="1">
        <v>44660</v>
      </c>
      <c r="B69" s="2">
        <f>YEAR(TRA[[#This Row],[date]])</f>
        <v>2022</v>
      </c>
      <c r="C69">
        <v>1528</v>
      </c>
      <c r="D69">
        <v>2844</v>
      </c>
      <c r="E69">
        <v>1700</v>
      </c>
      <c r="F69">
        <v>1255</v>
      </c>
      <c r="G69">
        <v>61</v>
      </c>
    </row>
    <row r="70" spans="1:7" x14ac:dyDescent="0.2">
      <c r="A70" s="1">
        <v>44661</v>
      </c>
      <c r="B70" s="2">
        <f>YEAR(TRA[[#This Row],[date]])</f>
        <v>2022</v>
      </c>
      <c r="C70">
        <v>1165</v>
      </c>
      <c r="D70">
        <v>2336</v>
      </c>
      <c r="E70">
        <v>1308</v>
      </c>
      <c r="F70">
        <v>920</v>
      </c>
      <c r="G70">
        <v>78</v>
      </c>
    </row>
    <row r="71" spans="1:7" x14ac:dyDescent="0.2">
      <c r="A71" s="1">
        <v>44662</v>
      </c>
      <c r="B71" s="2">
        <f>YEAR(TRA[[#This Row],[date]])</f>
        <v>2022</v>
      </c>
      <c r="C71">
        <v>1481</v>
      </c>
      <c r="D71">
        <v>3440</v>
      </c>
      <c r="E71">
        <v>1695</v>
      </c>
      <c r="F71">
        <v>1110</v>
      </c>
      <c r="G71">
        <v>92</v>
      </c>
    </row>
    <row r="72" spans="1:7" x14ac:dyDescent="0.2">
      <c r="A72" s="1">
        <v>44663</v>
      </c>
      <c r="B72" s="2">
        <f>YEAR(TRA[[#This Row],[date]])</f>
        <v>2022</v>
      </c>
      <c r="C72">
        <v>1278</v>
      </c>
      <c r="D72">
        <v>3721</v>
      </c>
      <c r="E72">
        <v>1558</v>
      </c>
      <c r="F72">
        <v>954</v>
      </c>
      <c r="G72">
        <v>136</v>
      </c>
    </row>
    <row r="73" spans="1:7" x14ac:dyDescent="0.2">
      <c r="A73" s="1">
        <v>44664</v>
      </c>
      <c r="B73" s="2">
        <f>YEAR(TRA[[#This Row],[date]])</f>
        <v>2022</v>
      </c>
      <c r="C73">
        <v>1127</v>
      </c>
      <c r="D73">
        <v>2813</v>
      </c>
      <c r="E73">
        <v>1278</v>
      </c>
      <c r="F73">
        <v>790</v>
      </c>
      <c r="G73">
        <v>132</v>
      </c>
    </row>
    <row r="74" spans="1:7" x14ac:dyDescent="0.2">
      <c r="A74" s="1">
        <v>44665</v>
      </c>
      <c r="B74" s="2">
        <f>YEAR(TRA[[#This Row],[date]])</f>
        <v>2022</v>
      </c>
      <c r="C74">
        <v>1011</v>
      </c>
      <c r="D74">
        <v>2270</v>
      </c>
      <c r="E74">
        <v>1146</v>
      </c>
      <c r="F74">
        <v>769</v>
      </c>
      <c r="G74">
        <v>91</v>
      </c>
    </row>
    <row r="75" spans="1:7" x14ac:dyDescent="0.2">
      <c r="A75" s="1">
        <v>44666</v>
      </c>
      <c r="B75" s="2">
        <f>YEAR(TRA[[#This Row],[date]])</f>
        <v>2022</v>
      </c>
      <c r="C75">
        <v>812</v>
      </c>
      <c r="D75">
        <v>1781</v>
      </c>
      <c r="E75">
        <v>900</v>
      </c>
      <c r="F75">
        <v>589</v>
      </c>
      <c r="G75">
        <v>82</v>
      </c>
    </row>
    <row r="76" spans="1:7" x14ac:dyDescent="0.2">
      <c r="A76" s="1">
        <v>44667</v>
      </c>
      <c r="B76" s="2">
        <f>YEAR(TRA[[#This Row],[date]])</f>
        <v>2022</v>
      </c>
      <c r="C76">
        <v>665</v>
      </c>
      <c r="D76">
        <v>1375</v>
      </c>
      <c r="E76">
        <v>753</v>
      </c>
      <c r="F76">
        <v>529</v>
      </c>
      <c r="G76">
        <v>80</v>
      </c>
    </row>
    <row r="77" spans="1:7" x14ac:dyDescent="0.2">
      <c r="A77" s="1">
        <v>44668</v>
      </c>
      <c r="B77" s="2">
        <f>YEAR(TRA[[#This Row],[date]])</f>
        <v>2022</v>
      </c>
      <c r="C77">
        <v>687</v>
      </c>
      <c r="D77">
        <v>1521</v>
      </c>
      <c r="E77">
        <v>782</v>
      </c>
      <c r="F77">
        <v>530</v>
      </c>
      <c r="G77">
        <v>84</v>
      </c>
    </row>
    <row r="78" spans="1:7" x14ac:dyDescent="0.2">
      <c r="A78" s="1">
        <v>44669</v>
      </c>
      <c r="B78" s="2">
        <f>YEAR(TRA[[#This Row],[date]])</f>
        <v>2022</v>
      </c>
      <c r="C78">
        <v>1014</v>
      </c>
      <c r="D78">
        <v>2311</v>
      </c>
      <c r="E78">
        <v>1138</v>
      </c>
      <c r="F78">
        <v>737</v>
      </c>
      <c r="G78">
        <v>85</v>
      </c>
    </row>
    <row r="79" spans="1:7" x14ac:dyDescent="0.2">
      <c r="A79" s="1">
        <v>44670</v>
      </c>
      <c r="B79" s="2">
        <f>YEAR(TRA[[#This Row],[date]])</f>
        <v>2022</v>
      </c>
      <c r="C79">
        <v>1017</v>
      </c>
      <c r="D79">
        <v>2534</v>
      </c>
      <c r="E79">
        <v>1147</v>
      </c>
      <c r="F79">
        <v>729</v>
      </c>
      <c r="G79">
        <v>102</v>
      </c>
    </row>
    <row r="80" spans="1:7" x14ac:dyDescent="0.2">
      <c r="A80" s="1">
        <v>44671</v>
      </c>
      <c r="B80" s="2">
        <f>YEAR(TRA[[#This Row],[date]])</f>
        <v>2022</v>
      </c>
      <c r="C80">
        <v>916</v>
      </c>
      <c r="D80">
        <v>2232</v>
      </c>
      <c r="E80">
        <v>1072</v>
      </c>
      <c r="F80">
        <v>686</v>
      </c>
      <c r="G80">
        <v>110</v>
      </c>
    </row>
    <row r="81" spans="1:7" x14ac:dyDescent="0.2">
      <c r="A81" s="1">
        <v>44672</v>
      </c>
      <c r="B81" s="2">
        <f>YEAR(TRA[[#This Row],[date]])</f>
        <v>2022</v>
      </c>
      <c r="C81">
        <v>994</v>
      </c>
      <c r="D81">
        <v>2350</v>
      </c>
      <c r="E81">
        <v>1145</v>
      </c>
      <c r="F81">
        <v>723</v>
      </c>
      <c r="G81">
        <v>92</v>
      </c>
    </row>
    <row r="82" spans="1:7" x14ac:dyDescent="0.2">
      <c r="A82" s="1">
        <v>44673</v>
      </c>
      <c r="B82" s="2">
        <f>YEAR(TRA[[#This Row],[date]])</f>
        <v>2022</v>
      </c>
      <c r="C82">
        <v>862</v>
      </c>
      <c r="D82">
        <v>2105</v>
      </c>
      <c r="E82">
        <v>988</v>
      </c>
      <c r="F82">
        <v>636</v>
      </c>
      <c r="G82">
        <v>120</v>
      </c>
    </row>
    <row r="83" spans="1:7" x14ac:dyDescent="0.2">
      <c r="A83" s="1">
        <v>44674</v>
      </c>
      <c r="B83" s="2">
        <f>YEAR(TRA[[#This Row],[date]])</f>
        <v>2022</v>
      </c>
      <c r="C83">
        <v>660</v>
      </c>
      <c r="D83">
        <v>1415</v>
      </c>
      <c r="E83">
        <v>767</v>
      </c>
      <c r="F83">
        <v>533</v>
      </c>
      <c r="G83">
        <v>68</v>
      </c>
    </row>
    <row r="84" spans="1:7" x14ac:dyDescent="0.2">
      <c r="A84" s="1">
        <v>44675</v>
      </c>
      <c r="B84" s="2">
        <f>YEAR(TRA[[#This Row],[date]])</f>
        <v>2022</v>
      </c>
      <c r="C84">
        <v>663</v>
      </c>
      <c r="D84">
        <v>1368</v>
      </c>
      <c r="E84">
        <v>750</v>
      </c>
      <c r="F84">
        <v>525</v>
      </c>
      <c r="G84">
        <v>80</v>
      </c>
    </row>
    <row r="85" spans="1:7" x14ac:dyDescent="0.2">
      <c r="A85" s="1">
        <v>44676</v>
      </c>
      <c r="B85" s="2">
        <f>YEAR(TRA[[#This Row],[date]])</f>
        <v>2022</v>
      </c>
      <c r="C85">
        <v>1282</v>
      </c>
      <c r="D85">
        <v>3091</v>
      </c>
      <c r="E85">
        <v>1528</v>
      </c>
      <c r="F85">
        <v>983</v>
      </c>
      <c r="G85">
        <v>97</v>
      </c>
    </row>
    <row r="86" spans="1:7" x14ac:dyDescent="0.2">
      <c r="A86" s="1">
        <v>44677</v>
      </c>
      <c r="B86" s="2">
        <f>YEAR(TRA[[#This Row],[date]])</f>
        <v>2022</v>
      </c>
      <c r="C86">
        <v>1092</v>
      </c>
      <c r="D86">
        <v>3324</v>
      </c>
      <c r="E86">
        <v>1296</v>
      </c>
      <c r="F86">
        <v>845</v>
      </c>
      <c r="G86">
        <v>112</v>
      </c>
    </row>
    <row r="87" spans="1:7" x14ac:dyDescent="0.2">
      <c r="A87" s="1">
        <v>44678</v>
      </c>
      <c r="B87" s="2">
        <f>YEAR(TRA[[#This Row],[date]])</f>
        <v>2022</v>
      </c>
      <c r="C87">
        <v>1088</v>
      </c>
      <c r="D87">
        <v>3052</v>
      </c>
      <c r="E87">
        <v>1298</v>
      </c>
      <c r="F87">
        <v>837</v>
      </c>
      <c r="G87">
        <v>98</v>
      </c>
    </row>
    <row r="88" spans="1:7" x14ac:dyDescent="0.2">
      <c r="A88" s="1">
        <v>44679</v>
      </c>
      <c r="B88" s="2">
        <f>YEAR(TRA[[#This Row],[date]])</f>
        <v>2022</v>
      </c>
      <c r="C88">
        <v>1748</v>
      </c>
      <c r="D88">
        <v>3652</v>
      </c>
      <c r="E88">
        <v>2049</v>
      </c>
      <c r="F88">
        <v>1518</v>
      </c>
      <c r="G88">
        <v>79</v>
      </c>
    </row>
    <row r="89" spans="1:7" x14ac:dyDescent="0.2">
      <c r="A89" s="1">
        <v>44680</v>
      </c>
      <c r="B89" s="2">
        <f>YEAR(TRA[[#This Row],[date]])</f>
        <v>2022</v>
      </c>
      <c r="C89">
        <v>977</v>
      </c>
      <c r="D89">
        <v>2304</v>
      </c>
      <c r="E89">
        <v>1151</v>
      </c>
      <c r="F89">
        <v>771</v>
      </c>
      <c r="G89">
        <v>81</v>
      </c>
    </row>
    <row r="90" spans="1:7" x14ac:dyDescent="0.2">
      <c r="A90" s="1">
        <v>44681</v>
      </c>
      <c r="B90" s="2">
        <f>YEAR(TRA[[#This Row],[date]])</f>
        <v>2022</v>
      </c>
      <c r="C90">
        <v>658</v>
      </c>
      <c r="D90">
        <v>1448</v>
      </c>
      <c r="E90">
        <v>741</v>
      </c>
      <c r="F90">
        <v>532</v>
      </c>
      <c r="G90">
        <v>70</v>
      </c>
    </row>
    <row r="91" spans="1:7" x14ac:dyDescent="0.2">
      <c r="A91" s="1">
        <v>44682</v>
      </c>
      <c r="B91" s="2">
        <f>YEAR(TRA[[#This Row],[date]])</f>
        <v>2022</v>
      </c>
      <c r="C91">
        <v>700</v>
      </c>
      <c r="D91">
        <v>1544</v>
      </c>
      <c r="E91">
        <v>813</v>
      </c>
      <c r="F91">
        <v>580</v>
      </c>
      <c r="G91">
        <v>76</v>
      </c>
    </row>
    <row r="92" spans="1:7" x14ac:dyDescent="0.2">
      <c r="A92" s="1">
        <v>44683</v>
      </c>
      <c r="B92" s="2">
        <f>YEAR(TRA[[#This Row],[date]])</f>
        <v>2022</v>
      </c>
      <c r="C92">
        <v>878</v>
      </c>
      <c r="D92">
        <v>2311</v>
      </c>
      <c r="E92">
        <v>990</v>
      </c>
      <c r="F92">
        <v>631</v>
      </c>
      <c r="G92">
        <v>100</v>
      </c>
    </row>
    <row r="93" spans="1:7" x14ac:dyDescent="0.2">
      <c r="A93" s="1">
        <v>44684</v>
      </c>
      <c r="B93" s="2">
        <f>YEAR(TRA[[#This Row],[date]])</f>
        <v>2022</v>
      </c>
      <c r="C93">
        <v>1338</v>
      </c>
      <c r="D93">
        <v>2777</v>
      </c>
      <c r="E93">
        <v>1482</v>
      </c>
      <c r="F93">
        <v>1026</v>
      </c>
      <c r="G93">
        <v>88</v>
      </c>
    </row>
    <row r="94" spans="1:7" x14ac:dyDescent="0.2">
      <c r="A94" s="1">
        <v>44685</v>
      </c>
      <c r="B94" s="2">
        <f>YEAR(TRA[[#This Row],[date]])</f>
        <v>2022</v>
      </c>
      <c r="C94">
        <v>979</v>
      </c>
      <c r="D94">
        <v>2139</v>
      </c>
      <c r="E94">
        <v>1111</v>
      </c>
      <c r="F94">
        <v>751</v>
      </c>
      <c r="G94">
        <v>90</v>
      </c>
    </row>
    <row r="95" spans="1:7" x14ac:dyDescent="0.2">
      <c r="A95" s="1">
        <v>44686</v>
      </c>
      <c r="B95" s="2">
        <f>YEAR(TRA[[#This Row],[date]])</f>
        <v>2022</v>
      </c>
      <c r="C95">
        <v>887</v>
      </c>
      <c r="D95">
        <v>2971</v>
      </c>
      <c r="E95">
        <v>1047</v>
      </c>
      <c r="F95">
        <v>652</v>
      </c>
      <c r="G95">
        <v>126</v>
      </c>
    </row>
    <row r="96" spans="1:7" x14ac:dyDescent="0.2">
      <c r="A96" s="1">
        <v>44687</v>
      </c>
      <c r="B96" s="2">
        <f>YEAR(TRA[[#This Row],[date]])</f>
        <v>2022</v>
      </c>
      <c r="C96">
        <v>818</v>
      </c>
      <c r="D96">
        <v>2363</v>
      </c>
      <c r="E96">
        <v>944</v>
      </c>
      <c r="F96">
        <v>599</v>
      </c>
      <c r="G96">
        <v>121</v>
      </c>
    </row>
    <row r="97" spans="1:7" x14ac:dyDescent="0.2">
      <c r="A97" s="1">
        <v>44688</v>
      </c>
      <c r="B97" s="2">
        <f>YEAR(TRA[[#This Row],[date]])</f>
        <v>2022</v>
      </c>
      <c r="C97">
        <v>541</v>
      </c>
      <c r="D97">
        <v>1118</v>
      </c>
      <c r="E97">
        <v>607</v>
      </c>
      <c r="F97">
        <v>418</v>
      </c>
      <c r="G97">
        <v>79</v>
      </c>
    </row>
    <row r="98" spans="1:7" x14ac:dyDescent="0.2">
      <c r="A98" s="1">
        <v>44689</v>
      </c>
      <c r="B98" s="2">
        <f>YEAR(TRA[[#This Row],[date]])</f>
        <v>2022</v>
      </c>
      <c r="C98">
        <v>589</v>
      </c>
      <c r="D98">
        <v>1260</v>
      </c>
      <c r="E98">
        <v>649</v>
      </c>
      <c r="F98">
        <v>464</v>
      </c>
      <c r="G98">
        <v>92</v>
      </c>
    </row>
    <row r="99" spans="1:7" x14ac:dyDescent="0.2">
      <c r="A99" s="1">
        <v>44690</v>
      </c>
      <c r="B99" s="2">
        <f>YEAR(TRA[[#This Row],[date]])</f>
        <v>2022</v>
      </c>
      <c r="C99">
        <v>908</v>
      </c>
      <c r="D99">
        <v>2244</v>
      </c>
      <c r="E99">
        <v>1026</v>
      </c>
      <c r="F99">
        <v>662</v>
      </c>
      <c r="G99">
        <v>105</v>
      </c>
    </row>
    <row r="100" spans="1:7" x14ac:dyDescent="0.2">
      <c r="A100" s="1">
        <v>44691</v>
      </c>
      <c r="B100" s="2">
        <f>YEAR(TRA[[#This Row],[date]])</f>
        <v>2022</v>
      </c>
      <c r="C100">
        <v>1066</v>
      </c>
      <c r="D100">
        <v>2661</v>
      </c>
      <c r="E100">
        <v>1234</v>
      </c>
      <c r="F100">
        <v>798</v>
      </c>
      <c r="G100">
        <v>106</v>
      </c>
    </row>
    <row r="101" spans="1:7" x14ac:dyDescent="0.2">
      <c r="A101" s="1">
        <v>44692</v>
      </c>
      <c r="B101" s="2">
        <f>YEAR(TRA[[#This Row],[date]])</f>
        <v>2022</v>
      </c>
      <c r="C101">
        <v>943</v>
      </c>
      <c r="D101">
        <v>2459</v>
      </c>
      <c r="E101">
        <v>1083</v>
      </c>
      <c r="F101">
        <v>698</v>
      </c>
      <c r="G101">
        <v>107</v>
      </c>
    </row>
    <row r="102" spans="1:7" x14ac:dyDescent="0.2">
      <c r="A102" s="1">
        <v>44693</v>
      </c>
      <c r="B102" s="2">
        <f>YEAR(TRA[[#This Row],[date]])</f>
        <v>2022</v>
      </c>
      <c r="C102">
        <v>1303</v>
      </c>
      <c r="D102">
        <v>2982</v>
      </c>
      <c r="E102">
        <v>1492</v>
      </c>
      <c r="F102">
        <v>1047</v>
      </c>
      <c r="G102">
        <v>97</v>
      </c>
    </row>
    <row r="103" spans="1:7" x14ac:dyDescent="0.2">
      <c r="A103" s="1">
        <v>44694</v>
      </c>
      <c r="B103" s="2">
        <f>YEAR(TRA[[#This Row],[date]])</f>
        <v>2022</v>
      </c>
      <c r="C103">
        <v>1100</v>
      </c>
      <c r="D103">
        <v>2713</v>
      </c>
      <c r="E103">
        <v>1246</v>
      </c>
      <c r="F103">
        <v>814</v>
      </c>
      <c r="G103">
        <v>92</v>
      </c>
    </row>
    <row r="104" spans="1:7" x14ac:dyDescent="0.2">
      <c r="A104" s="1">
        <v>44695</v>
      </c>
      <c r="B104" s="2">
        <f>YEAR(TRA[[#This Row],[date]])</f>
        <v>2022</v>
      </c>
      <c r="C104">
        <v>701</v>
      </c>
      <c r="D104">
        <v>1446</v>
      </c>
      <c r="E104">
        <v>786</v>
      </c>
      <c r="F104">
        <v>550</v>
      </c>
      <c r="G104">
        <v>66</v>
      </c>
    </row>
    <row r="105" spans="1:7" x14ac:dyDescent="0.2">
      <c r="A105" s="1">
        <v>44696</v>
      </c>
      <c r="B105" s="2">
        <f>YEAR(TRA[[#This Row],[date]])</f>
        <v>2022</v>
      </c>
      <c r="C105">
        <v>715</v>
      </c>
      <c r="D105">
        <v>1538</v>
      </c>
      <c r="E105">
        <v>789</v>
      </c>
      <c r="F105">
        <v>543</v>
      </c>
      <c r="G105">
        <v>96</v>
      </c>
    </row>
    <row r="106" spans="1:7" x14ac:dyDescent="0.2">
      <c r="A106" s="1">
        <v>44697</v>
      </c>
      <c r="B106" s="2">
        <f>YEAR(TRA[[#This Row],[date]])</f>
        <v>2022</v>
      </c>
      <c r="C106">
        <v>1085</v>
      </c>
      <c r="D106">
        <v>2626</v>
      </c>
      <c r="E106">
        <v>1219</v>
      </c>
      <c r="F106">
        <v>808</v>
      </c>
      <c r="G106">
        <v>98</v>
      </c>
    </row>
    <row r="107" spans="1:7" x14ac:dyDescent="0.2">
      <c r="A107" s="1">
        <v>44698</v>
      </c>
      <c r="B107" s="2">
        <f>YEAR(TRA[[#This Row],[date]])</f>
        <v>2022</v>
      </c>
      <c r="C107">
        <v>1078</v>
      </c>
      <c r="D107">
        <v>3435</v>
      </c>
      <c r="E107">
        <v>1252</v>
      </c>
      <c r="F107">
        <v>768</v>
      </c>
      <c r="G107">
        <v>129</v>
      </c>
    </row>
    <row r="108" spans="1:7" x14ac:dyDescent="0.2">
      <c r="A108" s="1">
        <v>44699</v>
      </c>
      <c r="B108" s="2">
        <f>YEAR(TRA[[#This Row],[date]])</f>
        <v>2022</v>
      </c>
      <c r="C108">
        <v>1015</v>
      </c>
      <c r="D108">
        <v>3480</v>
      </c>
      <c r="E108">
        <v>1179</v>
      </c>
      <c r="F108">
        <v>764</v>
      </c>
      <c r="G108">
        <v>147</v>
      </c>
    </row>
    <row r="109" spans="1:7" x14ac:dyDescent="0.2">
      <c r="A109" s="1">
        <v>44700</v>
      </c>
      <c r="B109" s="2">
        <f>YEAR(TRA[[#This Row],[date]])</f>
        <v>2022</v>
      </c>
      <c r="C109">
        <v>867</v>
      </c>
      <c r="D109">
        <v>1937</v>
      </c>
      <c r="E109">
        <v>985</v>
      </c>
      <c r="F109">
        <v>665</v>
      </c>
      <c r="G109">
        <v>89</v>
      </c>
    </row>
    <row r="110" spans="1:7" x14ac:dyDescent="0.2">
      <c r="A110" s="1">
        <v>44701</v>
      </c>
      <c r="B110" s="2">
        <f>YEAR(TRA[[#This Row],[date]])</f>
        <v>2022</v>
      </c>
      <c r="C110">
        <v>800</v>
      </c>
      <c r="D110">
        <v>1582</v>
      </c>
      <c r="E110">
        <v>873</v>
      </c>
      <c r="F110">
        <v>607</v>
      </c>
      <c r="G110">
        <v>73</v>
      </c>
    </row>
    <row r="111" spans="1:7" x14ac:dyDescent="0.2">
      <c r="A111" s="1">
        <v>44702</v>
      </c>
      <c r="B111" s="2">
        <f>YEAR(TRA[[#This Row],[date]])</f>
        <v>2022</v>
      </c>
      <c r="C111">
        <v>590</v>
      </c>
      <c r="D111">
        <v>1074</v>
      </c>
      <c r="E111">
        <v>648</v>
      </c>
      <c r="F111">
        <v>457</v>
      </c>
      <c r="G111">
        <v>56</v>
      </c>
    </row>
    <row r="112" spans="1:7" x14ac:dyDescent="0.2">
      <c r="A112" s="1">
        <v>44703</v>
      </c>
      <c r="B112" s="2">
        <f>YEAR(TRA[[#This Row],[date]])</f>
        <v>2022</v>
      </c>
      <c r="C112">
        <v>646</v>
      </c>
      <c r="D112">
        <v>1074</v>
      </c>
      <c r="E112">
        <v>697</v>
      </c>
      <c r="F112">
        <v>521</v>
      </c>
      <c r="G112">
        <v>52</v>
      </c>
    </row>
    <row r="113" spans="1:7" x14ac:dyDescent="0.2">
      <c r="A113" s="1">
        <v>44704</v>
      </c>
      <c r="B113" s="2">
        <f>YEAR(TRA[[#This Row],[date]])</f>
        <v>2022</v>
      </c>
      <c r="C113">
        <v>925</v>
      </c>
      <c r="D113">
        <v>1798</v>
      </c>
      <c r="E113">
        <v>1036</v>
      </c>
      <c r="F113">
        <v>750</v>
      </c>
      <c r="G113">
        <v>66</v>
      </c>
    </row>
    <row r="114" spans="1:7" x14ac:dyDescent="0.2">
      <c r="A114" s="1">
        <v>44705</v>
      </c>
      <c r="B114" s="2">
        <f>YEAR(TRA[[#This Row],[date]])</f>
        <v>2022</v>
      </c>
      <c r="C114">
        <v>977</v>
      </c>
      <c r="D114">
        <v>1765</v>
      </c>
      <c r="E114">
        <v>1077</v>
      </c>
      <c r="F114">
        <v>797</v>
      </c>
      <c r="G114">
        <v>71</v>
      </c>
    </row>
    <row r="115" spans="1:7" x14ac:dyDescent="0.2">
      <c r="A115" s="1">
        <v>44706</v>
      </c>
      <c r="B115" s="2">
        <f>YEAR(TRA[[#This Row],[date]])</f>
        <v>2022</v>
      </c>
      <c r="C115">
        <v>928</v>
      </c>
      <c r="D115">
        <v>1646</v>
      </c>
      <c r="E115">
        <v>1037</v>
      </c>
      <c r="F115">
        <v>756</v>
      </c>
      <c r="G115">
        <v>61</v>
      </c>
    </row>
    <row r="116" spans="1:7" x14ac:dyDescent="0.2">
      <c r="A116" s="1">
        <v>44707</v>
      </c>
      <c r="B116" s="2">
        <f>YEAR(TRA[[#This Row],[date]])</f>
        <v>2022</v>
      </c>
      <c r="C116">
        <v>987</v>
      </c>
      <c r="D116">
        <v>1810</v>
      </c>
      <c r="E116">
        <v>1090</v>
      </c>
      <c r="F116">
        <v>805</v>
      </c>
      <c r="G116">
        <v>75</v>
      </c>
    </row>
    <row r="117" spans="1:7" x14ac:dyDescent="0.2">
      <c r="A117" s="1">
        <v>44708</v>
      </c>
      <c r="B117" s="2">
        <f>YEAR(TRA[[#This Row],[date]])</f>
        <v>2022</v>
      </c>
      <c r="C117">
        <v>844</v>
      </c>
      <c r="D117">
        <v>1381</v>
      </c>
      <c r="E117">
        <v>920</v>
      </c>
      <c r="F117">
        <v>712</v>
      </c>
      <c r="G117">
        <v>60</v>
      </c>
    </row>
    <row r="118" spans="1:7" x14ac:dyDescent="0.2">
      <c r="A118" s="1">
        <v>44709</v>
      </c>
      <c r="B118" s="2">
        <f>YEAR(TRA[[#This Row],[date]])</f>
        <v>2022</v>
      </c>
      <c r="C118">
        <v>814</v>
      </c>
      <c r="D118">
        <v>1249</v>
      </c>
      <c r="E118">
        <v>881</v>
      </c>
      <c r="F118">
        <v>728</v>
      </c>
      <c r="G118">
        <v>69</v>
      </c>
    </row>
    <row r="119" spans="1:7" x14ac:dyDescent="0.2">
      <c r="A119" s="1">
        <v>44710</v>
      </c>
      <c r="B119" s="2">
        <f>YEAR(TRA[[#This Row],[date]])</f>
        <v>2022</v>
      </c>
      <c r="C119">
        <v>552</v>
      </c>
      <c r="D119">
        <v>1098</v>
      </c>
      <c r="E119">
        <v>609</v>
      </c>
      <c r="F119">
        <v>479</v>
      </c>
      <c r="G119">
        <v>63</v>
      </c>
    </row>
    <row r="120" spans="1:7" x14ac:dyDescent="0.2">
      <c r="A120" s="1">
        <v>44711</v>
      </c>
      <c r="B120" s="2">
        <f>YEAR(TRA[[#This Row],[date]])</f>
        <v>2022</v>
      </c>
      <c r="C120">
        <v>619</v>
      </c>
      <c r="D120">
        <v>1146</v>
      </c>
      <c r="E120">
        <v>683</v>
      </c>
      <c r="F120">
        <v>496</v>
      </c>
      <c r="G120">
        <v>55</v>
      </c>
    </row>
    <row r="121" spans="1:7" x14ac:dyDescent="0.2">
      <c r="A121" s="1">
        <v>44712</v>
      </c>
      <c r="B121" s="2">
        <f>YEAR(TRA[[#This Row],[date]])</f>
        <v>2022</v>
      </c>
      <c r="C121">
        <v>787</v>
      </c>
      <c r="D121">
        <v>1473</v>
      </c>
      <c r="E121">
        <v>872</v>
      </c>
      <c r="F121">
        <v>625</v>
      </c>
      <c r="G121">
        <v>80</v>
      </c>
    </row>
    <row r="122" spans="1:7" x14ac:dyDescent="0.2">
      <c r="A122" s="1">
        <v>44713</v>
      </c>
      <c r="B122" s="2">
        <f>YEAR(TRA[[#This Row],[date]])</f>
        <v>2022</v>
      </c>
      <c r="C122">
        <v>1548</v>
      </c>
      <c r="D122">
        <v>2937</v>
      </c>
      <c r="E122">
        <v>1737</v>
      </c>
      <c r="F122">
        <v>1229</v>
      </c>
      <c r="G122">
        <v>63</v>
      </c>
    </row>
    <row r="123" spans="1:7" x14ac:dyDescent="0.2">
      <c r="A123" s="1">
        <v>44714</v>
      </c>
      <c r="B123" s="2">
        <f>YEAR(TRA[[#This Row],[date]])</f>
        <v>2022</v>
      </c>
      <c r="C123">
        <v>1060</v>
      </c>
      <c r="D123">
        <v>2050</v>
      </c>
      <c r="E123">
        <v>1178</v>
      </c>
      <c r="F123">
        <v>829</v>
      </c>
      <c r="G123">
        <v>76</v>
      </c>
    </row>
    <row r="124" spans="1:7" x14ac:dyDescent="0.2">
      <c r="A124" s="1">
        <v>44715</v>
      </c>
      <c r="B124" s="2">
        <f>YEAR(TRA[[#This Row],[date]])</f>
        <v>2022</v>
      </c>
      <c r="C124">
        <v>874</v>
      </c>
      <c r="D124">
        <v>1780</v>
      </c>
      <c r="E124">
        <v>968</v>
      </c>
      <c r="F124">
        <v>690</v>
      </c>
      <c r="G124">
        <v>93</v>
      </c>
    </row>
    <row r="125" spans="1:7" x14ac:dyDescent="0.2">
      <c r="A125" s="1">
        <v>44716</v>
      </c>
      <c r="B125" s="2">
        <f>YEAR(TRA[[#This Row],[date]])</f>
        <v>2022</v>
      </c>
      <c r="C125">
        <v>636</v>
      </c>
      <c r="D125">
        <v>1142</v>
      </c>
      <c r="E125">
        <v>708</v>
      </c>
      <c r="F125">
        <v>530</v>
      </c>
      <c r="G125">
        <v>69</v>
      </c>
    </row>
    <row r="126" spans="1:7" x14ac:dyDescent="0.2">
      <c r="A126" s="1">
        <v>44717</v>
      </c>
      <c r="B126" s="2">
        <f>YEAR(TRA[[#This Row],[date]])</f>
        <v>2022</v>
      </c>
      <c r="C126">
        <v>673</v>
      </c>
      <c r="D126">
        <v>1275</v>
      </c>
      <c r="E126">
        <v>731</v>
      </c>
      <c r="F126">
        <v>523</v>
      </c>
      <c r="G126">
        <v>86</v>
      </c>
    </row>
    <row r="127" spans="1:7" x14ac:dyDescent="0.2">
      <c r="A127" s="1">
        <v>44718</v>
      </c>
      <c r="B127" s="2">
        <f>YEAR(TRA[[#This Row],[date]])</f>
        <v>2022</v>
      </c>
      <c r="C127">
        <v>993</v>
      </c>
      <c r="D127">
        <v>1801</v>
      </c>
      <c r="E127">
        <v>1086</v>
      </c>
      <c r="F127">
        <v>784</v>
      </c>
      <c r="G127">
        <v>63</v>
      </c>
    </row>
    <row r="128" spans="1:7" x14ac:dyDescent="0.2">
      <c r="A128" s="1">
        <v>44719</v>
      </c>
      <c r="B128" s="2">
        <f>YEAR(TRA[[#This Row],[date]])</f>
        <v>2022</v>
      </c>
      <c r="C128">
        <v>1042</v>
      </c>
      <c r="D128">
        <v>2184</v>
      </c>
      <c r="E128">
        <v>1176</v>
      </c>
      <c r="F128">
        <v>829</v>
      </c>
      <c r="G128">
        <v>94</v>
      </c>
    </row>
    <row r="129" spans="1:7" x14ac:dyDescent="0.2">
      <c r="A129" s="1">
        <v>44720</v>
      </c>
      <c r="B129" s="2">
        <f>YEAR(TRA[[#This Row],[date]])</f>
        <v>2022</v>
      </c>
      <c r="C129">
        <v>1077</v>
      </c>
      <c r="D129">
        <v>2024</v>
      </c>
      <c r="E129">
        <v>1216</v>
      </c>
      <c r="F129">
        <v>884</v>
      </c>
      <c r="G129">
        <v>67</v>
      </c>
    </row>
    <row r="130" spans="1:7" x14ac:dyDescent="0.2">
      <c r="A130" s="1">
        <v>44721</v>
      </c>
      <c r="B130" s="2">
        <f>YEAR(TRA[[#This Row],[date]])</f>
        <v>2022</v>
      </c>
      <c r="C130">
        <v>1090</v>
      </c>
      <c r="D130">
        <v>1010</v>
      </c>
      <c r="E130">
        <v>513</v>
      </c>
      <c r="F130">
        <v>339</v>
      </c>
      <c r="G130">
        <v>152</v>
      </c>
    </row>
    <row r="131" spans="1:7" x14ac:dyDescent="0.2">
      <c r="A131" s="1">
        <v>44722</v>
      </c>
      <c r="B131" s="2">
        <f>YEAR(TRA[[#This Row],[date]])</f>
        <v>2022</v>
      </c>
      <c r="C131">
        <v>634</v>
      </c>
      <c r="D131">
        <v>746</v>
      </c>
      <c r="E131">
        <v>96</v>
      </c>
      <c r="F131">
        <v>39</v>
      </c>
      <c r="G131">
        <v>543</v>
      </c>
    </row>
    <row r="132" spans="1:7" x14ac:dyDescent="0.2">
      <c r="A132" s="1">
        <v>44723</v>
      </c>
      <c r="B132" s="2">
        <f>YEAR(TRA[[#This Row],[date]])</f>
        <v>2022</v>
      </c>
      <c r="C132">
        <v>299</v>
      </c>
      <c r="D132">
        <v>121</v>
      </c>
      <c r="E132">
        <v>19</v>
      </c>
      <c r="F132">
        <v>7</v>
      </c>
      <c r="G132">
        <v>517</v>
      </c>
    </row>
    <row r="133" spans="1:7" x14ac:dyDescent="0.2">
      <c r="A133" s="1">
        <v>44724</v>
      </c>
      <c r="B133" s="2">
        <f>YEAR(TRA[[#This Row],[date]])</f>
        <v>2022</v>
      </c>
      <c r="C133">
        <v>324</v>
      </c>
      <c r="D133">
        <v>235</v>
      </c>
      <c r="E133">
        <v>21</v>
      </c>
      <c r="F133">
        <v>6</v>
      </c>
      <c r="G133">
        <v>1269</v>
      </c>
    </row>
    <row r="134" spans="1:7" x14ac:dyDescent="0.2">
      <c r="A134" s="1">
        <v>44725</v>
      </c>
      <c r="B134" s="2">
        <f>YEAR(TRA[[#This Row],[date]])</f>
        <v>2022</v>
      </c>
      <c r="C134">
        <v>497</v>
      </c>
      <c r="D134">
        <v>582</v>
      </c>
      <c r="E134">
        <v>62</v>
      </c>
      <c r="F134">
        <v>14</v>
      </c>
      <c r="G134">
        <v>707</v>
      </c>
    </row>
    <row r="135" spans="1:7" x14ac:dyDescent="0.2">
      <c r="A135" s="1">
        <v>44726</v>
      </c>
      <c r="B135" s="2">
        <f>YEAR(TRA[[#This Row],[date]])</f>
        <v>2022</v>
      </c>
      <c r="C135">
        <v>742</v>
      </c>
      <c r="D135">
        <v>2931</v>
      </c>
      <c r="E135">
        <v>256</v>
      </c>
      <c r="F135">
        <v>118</v>
      </c>
      <c r="G135">
        <v>272</v>
      </c>
    </row>
    <row r="136" spans="1:7" x14ac:dyDescent="0.2">
      <c r="A136" s="1">
        <v>44727</v>
      </c>
      <c r="B136" s="2">
        <f>YEAR(TRA[[#This Row],[date]])</f>
        <v>2022</v>
      </c>
      <c r="C136">
        <v>920</v>
      </c>
      <c r="D136">
        <v>4471</v>
      </c>
      <c r="E136">
        <v>824</v>
      </c>
      <c r="F136">
        <v>477</v>
      </c>
      <c r="G136">
        <v>199</v>
      </c>
    </row>
    <row r="137" spans="1:7" x14ac:dyDescent="0.2">
      <c r="A137" s="1">
        <v>44728</v>
      </c>
      <c r="B137" s="2">
        <f>YEAR(TRA[[#This Row],[date]])</f>
        <v>2022</v>
      </c>
      <c r="C137">
        <v>1397</v>
      </c>
      <c r="D137">
        <v>4204</v>
      </c>
      <c r="E137">
        <v>1627</v>
      </c>
      <c r="F137">
        <v>1114</v>
      </c>
      <c r="G137">
        <v>85</v>
      </c>
    </row>
    <row r="138" spans="1:7" x14ac:dyDescent="0.2">
      <c r="A138" s="1">
        <v>44729</v>
      </c>
      <c r="B138" s="2">
        <f>YEAR(TRA[[#This Row],[date]])</f>
        <v>2022</v>
      </c>
      <c r="C138">
        <v>1210</v>
      </c>
      <c r="D138">
        <v>2810</v>
      </c>
      <c r="E138">
        <v>1373</v>
      </c>
      <c r="F138">
        <v>986</v>
      </c>
      <c r="G138">
        <v>92</v>
      </c>
    </row>
    <row r="139" spans="1:7" x14ac:dyDescent="0.2">
      <c r="A139" s="1">
        <v>44730</v>
      </c>
      <c r="B139" s="2">
        <f>YEAR(TRA[[#This Row],[date]])</f>
        <v>2022</v>
      </c>
      <c r="C139">
        <v>970</v>
      </c>
      <c r="D139">
        <v>1707</v>
      </c>
      <c r="E139">
        <v>1074</v>
      </c>
      <c r="F139">
        <v>788</v>
      </c>
      <c r="G139">
        <v>63</v>
      </c>
    </row>
    <row r="140" spans="1:7" x14ac:dyDescent="0.2">
      <c r="A140" s="1">
        <v>44731</v>
      </c>
      <c r="B140" s="2">
        <f>YEAR(TRA[[#This Row],[date]])</f>
        <v>2022</v>
      </c>
      <c r="C140">
        <v>867</v>
      </c>
      <c r="D140">
        <v>1486</v>
      </c>
      <c r="E140">
        <v>936</v>
      </c>
      <c r="F140">
        <v>705</v>
      </c>
      <c r="G140">
        <v>61</v>
      </c>
    </row>
    <row r="141" spans="1:7" x14ac:dyDescent="0.2">
      <c r="A141" s="1">
        <v>44732</v>
      </c>
      <c r="B141" s="2">
        <f>YEAR(TRA[[#This Row],[date]])</f>
        <v>2022</v>
      </c>
      <c r="C141">
        <v>1024</v>
      </c>
      <c r="D141">
        <v>2188</v>
      </c>
      <c r="E141">
        <v>1173</v>
      </c>
      <c r="F141">
        <v>819</v>
      </c>
      <c r="G141">
        <v>87</v>
      </c>
    </row>
    <row r="142" spans="1:7" x14ac:dyDescent="0.2">
      <c r="A142" s="1">
        <v>44733</v>
      </c>
      <c r="B142" s="2">
        <f>YEAR(TRA[[#This Row],[date]])</f>
        <v>2022</v>
      </c>
      <c r="C142">
        <v>1436</v>
      </c>
      <c r="D142">
        <v>3587</v>
      </c>
      <c r="E142">
        <v>1756</v>
      </c>
      <c r="F142">
        <v>1176</v>
      </c>
      <c r="G142">
        <v>98</v>
      </c>
    </row>
    <row r="143" spans="1:7" x14ac:dyDescent="0.2">
      <c r="A143" s="1">
        <v>44734</v>
      </c>
      <c r="B143" s="2">
        <f>YEAR(TRA[[#This Row],[date]])</f>
        <v>2022</v>
      </c>
      <c r="C143">
        <v>1660</v>
      </c>
      <c r="D143">
        <v>3966</v>
      </c>
      <c r="E143">
        <v>1980</v>
      </c>
      <c r="F143">
        <v>1367</v>
      </c>
      <c r="G143">
        <v>83</v>
      </c>
    </row>
    <row r="144" spans="1:7" x14ac:dyDescent="0.2">
      <c r="A144" s="1">
        <v>44735</v>
      </c>
      <c r="B144" s="2">
        <f>YEAR(TRA[[#This Row],[date]])</f>
        <v>2022</v>
      </c>
      <c r="C144">
        <v>1331</v>
      </c>
      <c r="D144">
        <v>4801</v>
      </c>
      <c r="E144">
        <v>1635</v>
      </c>
      <c r="F144">
        <v>1117</v>
      </c>
      <c r="G144">
        <v>157</v>
      </c>
    </row>
    <row r="145" spans="1:7" x14ac:dyDescent="0.2">
      <c r="A145" s="1">
        <v>44736</v>
      </c>
      <c r="B145" s="2">
        <f>YEAR(TRA[[#This Row],[date]])</f>
        <v>2022</v>
      </c>
      <c r="C145">
        <v>895</v>
      </c>
      <c r="D145">
        <v>3035</v>
      </c>
      <c r="E145">
        <v>1108</v>
      </c>
      <c r="F145">
        <v>758</v>
      </c>
      <c r="G145">
        <v>170</v>
      </c>
    </row>
    <row r="146" spans="1:7" x14ac:dyDescent="0.2">
      <c r="A146" s="1">
        <v>44737</v>
      </c>
      <c r="B146" s="2">
        <f>YEAR(TRA[[#This Row],[date]])</f>
        <v>2022</v>
      </c>
      <c r="C146">
        <v>609</v>
      </c>
      <c r="D146">
        <v>2004</v>
      </c>
      <c r="E146">
        <v>734</v>
      </c>
      <c r="F146">
        <v>515</v>
      </c>
      <c r="G146">
        <v>223</v>
      </c>
    </row>
    <row r="147" spans="1:7" x14ac:dyDescent="0.2">
      <c r="A147" s="1">
        <v>44738</v>
      </c>
      <c r="B147" s="2">
        <f>YEAR(TRA[[#This Row],[date]])</f>
        <v>2022</v>
      </c>
      <c r="C147">
        <v>598</v>
      </c>
      <c r="D147">
        <v>3180</v>
      </c>
      <c r="E147">
        <v>724</v>
      </c>
      <c r="F147">
        <v>511</v>
      </c>
      <c r="G147">
        <v>276</v>
      </c>
    </row>
    <row r="148" spans="1:7" x14ac:dyDescent="0.2">
      <c r="A148" s="1">
        <v>44739</v>
      </c>
      <c r="B148" s="2">
        <f>YEAR(TRA[[#This Row],[date]])</f>
        <v>2022</v>
      </c>
      <c r="C148">
        <v>928</v>
      </c>
      <c r="D148">
        <v>2248</v>
      </c>
      <c r="E148">
        <v>1165</v>
      </c>
      <c r="F148">
        <v>765</v>
      </c>
      <c r="G148">
        <v>145</v>
      </c>
    </row>
    <row r="149" spans="1:7" x14ac:dyDescent="0.2">
      <c r="A149" s="1">
        <v>44740</v>
      </c>
      <c r="B149" s="2">
        <f>YEAR(TRA[[#This Row],[date]])</f>
        <v>2022</v>
      </c>
      <c r="C149">
        <v>1875</v>
      </c>
      <c r="D149">
        <v>4975</v>
      </c>
      <c r="E149">
        <v>2302</v>
      </c>
      <c r="F149">
        <v>1384</v>
      </c>
      <c r="G149">
        <v>139</v>
      </c>
    </row>
    <row r="150" spans="1:7" x14ac:dyDescent="0.2">
      <c r="A150" s="1">
        <v>44741</v>
      </c>
      <c r="B150" s="2">
        <f>YEAR(TRA[[#This Row],[date]])</f>
        <v>2022</v>
      </c>
      <c r="C150">
        <v>1741</v>
      </c>
      <c r="D150">
        <v>4458</v>
      </c>
      <c r="E150">
        <v>2181</v>
      </c>
      <c r="F150">
        <v>1313</v>
      </c>
      <c r="G150">
        <v>113</v>
      </c>
    </row>
    <row r="151" spans="1:7" x14ac:dyDescent="0.2">
      <c r="A151" s="1">
        <v>44742</v>
      </c>
      <c r="B151" s="2">
        <f>YEAR(TRA[[#This Row],[date]])</f>
        <v>2022</v>
      </c>
      <c r="C151">
        <v>1470</v>
      </c>
      <c r="D151">
        <v>3707</v>
      </c>
      <c r="E151">
        <v>1796</v>
      </c>
      <c r="F151">
        <v>1101</v>
      </c>
      <c r="G151">
        <v>107</v>
      </c>
    </row>
    <row r="152" spans="1:7" x14ac:dyDescent="0.2">
      <c r="A152" s="1">
        <v>44743</v>
      </c>
      <c r="B152" s="2">
        <f>YEAR(TRA[[#This Row],[date]])</f>
        <v>2022</v>
      </c>
      <c r="C152">
        <v>1263</v>
      </c>
      <c r="D152">
        <v>3291</v>
      </c>
      <c r="E152">
        <v>1534</v>
      </c>
      <c r="F152">
        <v>918</v>
      </c>
      <c r="G152">
        <v>99</v>
      </c>
    </row>
    <row r="153" spans="1:7" x14ac:dyDescent="0.2">
      <c r="A153" s="1">
        <v>44744</v>
      </c>
      <c r="B153" s="2">
        <f>YEAR(TRA[[#This Row],[date]])</f>
        <v>2022</v>
      </c>
      <c r="C153">
        <v>790</v>
      </c>
      <c r="D153">
        <v>1953</v>
      </c>
      <c r="E153">
        <v>968</v>
      </c>
      <c r="F153">
        <v>597</v>
      </c>
      <c r="G153">
        <v>79</v>
      </c>
    </row>
    <row r="154" spans="1:7" x14ac:dyDescent="0.2">
      <c r="A154" s="1">
        <v>44745</v>
      </c>
      <c r="B154" s="2">
        <f>YEAR(TRA[[#This Row],[date]])</f>
        <v>2022</v>
      </c>
      <c r="C154">
        <v>708</v>
      </c>
      <c r="D154">
        <v>1618</v>
      </c>
      <c r="E154">
        <v>823</v>
      </c>
      <c r="F154">
        <v>504</v>
      </c>
      <c r="G154">
        <v>103</v>
      </c>
    </row>
    <row r="155" spans="1:7" x14ac:dyDescent="0.2">
      <c r="A155" s="1">
        <v>44746</v>
      </c>
      <c r="B155" s="2">
        <f>YEAR(TRA[[#This Row],[date]])</f>
        <v>2022</v>
      </c>
      <c r="C155">
        <v>639</v>
      </c>
      <c r="D155">
        <v>1305</v>
      </c>
      <c r="E155">
        <v>760</v>
      </c>
      <c r="F155">
        <v>533</v>
      </c>
      <c r="G155">
        <v>89</v>
      </c>
    </row>
    <row r="156" spans="1:7" x14ac:dyDescent="0.2">
      <c r="A156" s="1">
        <v>44747</v>
      </c>
      <c r="B156" s="2">
        <f>YEAR(TRA[[#This Row],[date]])</f>
        <v>2022</v>
      </c>
      <c r="C156">
        <v>1273</v>
      </c>
      <c r="D156">
        <v>2921</v>
      </c>
      <c r="E156">
        <v>1560</v>
      </c>
      <c r="F156">
        <v>1065</v>
      </c>
      <c r="G156">
        <v>85</v>
      </c>
    </row>
    <row r="157" spans="1:7" x14ac:dyDescent="0.2">
      <c r="A157" s="1">
        <v>44748</v>
      </c>
      <c r="B157" s="2">
        <f>YEAR(TRA[[#This Row],[date]])</f>
        <v>2022</v>
      </c>
      <c r="C157">
        <v>1169</v>
      </c>
      <c r="D157">
        <v>2757</v>
      </c>
      <c r="E157">
        <v>1389</v>
      </c>
      <c r="F157">
        <v>914</v>
      </c>
      <c r="G157">
        <v>83</v>
      </c>
    </row>
    <row r="158" spans="1:7" x14ac:dyDescent="0.2">
      <c r="A158" s="1">
        <v>44749</v>
      </c>
      <c r="B158" s="2">
        <f>YEAR(TRA[[#This Row],[date]])</f>
        <v>2022</v>
      </c>
      <c r="C158">
        <v>956</v>
      </c>
      <c r="D158">
        <v>2246</v>
      </c>
      <c r="E158">
        <v>1238</v>
      </c>
      <c r="F158">
        <v>807</v>
      </c>
      <c r="G158">
        <v>98</v>
      </c>
    </row>
    <row r="159" spans="1:7" x14ac:dyDescent="0.2">
      <c r="A159" s="1">
        <v>44750</v>
      </c>
      <c r="B159" s="2">
        <f>YEAR(TRA[[#This Row],[date]])</f>
        <v>2022</v>
      </c>
      <c r="C159">
        <v>795</v>
      </c>
      <c r="D159">
        <v>1845</v>
      </c>
      <c r="E159">
        <v>992</v>
      </c>
      <c r="F159">
        <v>669</v>
      </c>
      <c r="G159">
        <v>112</v>
      </c>
    </row>
    <row r="160" spans="1:7" x14ac:dyDescent="0.2">
      <c r="A160" s="1">
        <v>44751</v>
      </c>
      <c r="B160" s="2">
        <f>YEAR(TRA[[#This Row],[date]])</f>
        <v>2022</v>
      </c>
      <c r="C160">
        <v>573</v>
      </c>
      <c r="D160">
        <v>1123</v>
      </c>
      <c r="E160">
        <v>686</v>
      </c>
      <c r="F160">
        <v>475</v>
      </c>
      <c r="G160">
        <v>82</v>
      </c>
    </row>
    <row r="161" spans="1:7" x14ac:dyDescent="0.2">
      <c r="A161" s="1">
        <v>44752</v>
      </c>
      <c r="B161" s="2">
        <f>YEAR(TRA[[#This Row],[date]])</f>
        <v>2022</v>
      </c>
      <c r="C161">
        <v>563</v>
      </c>
      <c r="D161">
        <v>1183</v>
      </c>
      <c r="E161">
        <v>664</v>
      </c>
      <c r="F161">
        <v>446</v>
      </c>
      <c r="G161">
        <v>81</v>
      </c>
    </row>
    <row r="162" spans="1:7" x14ac:dyDescent="0.2">
      <c r="A162" s="1">
        <v>44753</v>
      </c>
      <c r="B162" s="2">
        <f>YEAR(TRA[[#This Row],[date]])</f>
        <v>2022</v>
      </c>
      <c r="C162">
        <v>1169</v>
      </c>
      <c r="D162">
        <v>2830</v>
      </c>
      <c r="E162">
        <v>1516</v>
      </c>
      <c r="F162">
        <v>985</v>
      </c>
      <c r="G162">
        <v>108</v>
      </c>
    </row>
    <row r="163" spans="1:7" x14ac:dyDescent="0.2">
      <c r="A163" s="1">
        <v>44754</v>
      </c>
      <c r="B163" s="2">
        <f>YEAR(TRA[[#This Row],[date]])</f>
        <v>2022</v>
      </c>
      <c r="C163">
        <v>1320</v>
      </c>
      <c r="D163">
        <v>2946</v>
      </c>
      <c r="E163">
        <v>1663</v>
      </c>
      <c r="F163">
        <v>1114</v>
      </c>
      <c r="G163">
        <v>93</v>
      </c>
    </row>
    <row r="164" spans="1:7" x14ac:dyDescent="0.2">
      <c r="A164" s="1">
        <v>44755</v>
      </c>
      <c r="B164" s="2">
        <f>YEAR(TRA[[#This Row],[date]])</f>
        <v>2022</v>
      </c>
      <c r="C164">
        <v>1113</v>
      </c>
      <c r="D164">
        <v>2548</v>
      </c>
      <c r="E164">
        <v>1448</v>
      </c>
      <c r="F164">
        <v>966</v>
      </c>
      <c r="G164">
        <v>119</v>
      </c>
    </row>
    <row r="165" spans="1:7" x14ac:dyDescent="0.2">
      <c r="A165" s="1">
        <v>44756</v>
      </c>
      <c r="B165" s="2">
        <f>YEAR(TRA[[#This Row],[date]])</f>
        <v>2022</v>
      </c>
      <c r="C165">
        <v>1219</v>
      </c>
      <c r="D165">
        <v>2880</v>
      </c>
      <c r="E165">
        <v>1543</v>
      </c>
      <c r="F165">
        <v>1042</v>
      </c>
      <c r="G165">
        <v>117</v>
      </c>
    </row>
    <row r="166" spans="1:7" x14ac:dyDescent="0.2">
      <c r="A166" s="1">
        <v>44757</v>
      </c>
      <c r="B166" s="2">
        <f>YEAR(TRA[[#This Row],[date]])</f>
        <v>2022</v>
      </c>
      <c r="C166">
        <v>898</v>
      </c>
      <c r="D166">
        <v>2085</v>
      </c>
      <c r="E166">
        <v>1157</v>
      </c>
      <c r="F166">
        <v>801</v>
      </c>
      <c r="G166">
        <v>107</v>
      </c>
    </row>
    <row r="167" spans="1:7" x14ac:dyDescent="0.2">
      <c r="A167" s="1">
        <v>44758</v>
      </c>
      <c r="B167" s="2">
        <f>YEAR(TRA[[#This Row],[date]])</f>
        <v>2022</v>
      </c>
      <c r="C167">
        <v>682</v>
      </c>
      <c r="D167">
        <v>1541</v>
      </c>
      <c r="E167">
        <v>816</v>
      </c>
      <c r="F167">
        <v>580</v>
      </c>
      <c r="G167">
        <v>131</v>
      </c>
    </row>
    <row r="168" spans="1:7" x14ac:dyDescent="0.2">
      <c r="A168" s="1">
        <v>44759</v>
      </c>
      <c r="B168" s="2">
        <f>YEAR(TRA[[#This Row],[date]])</f>
        <v>2022</v>
      </c>
      <c r="C168">
        <v>615</v>
      </c>
      <c r="D168">
        <v>1347</v>
      </c>
      <c r="E168">
        <v>730</v>
      </c>
      <c r="F168">
        <v>513</v>
      </c>
      <c r="G168">
        <v>104</v>
      </c>
    </row>
    <row r="169" spans="1:7" x14ac:dyDescent="0.2">
      <c r="A169" s="1">
        <v>44760</v>
      </c>
      <c r="B169" s="2">
        <f>YEAR(TRA[[#This Row],[date]])</f>
        <v>2022</v>
      </c>
      <c r="C169">
        <v>1225</v>
      </c>
      <c r="D169">
        <v>2876</v>
      </c>
      <c r="E169">
        <v>1550</v>
      </c>
      <c r="F169">
        <v>1044</v>
      </c>
      <c r="G169">
        <v>126</v>
      </c>
    </row>
    <row r="170" spans="1:7" x14ac:dyDescent="0.2">
      <c r="A170" s="1">
        <v>44761</v>
      </c>
      <c r="B170" s="2">
        <f>YEAR(TRA[[#This Row],[date]])</f>
        <v>2022</v>
      </c>
      <c r="C170">
        <v>1305</v>
      </c>
      <c r="D170">
        <v>2958</v>
      </c>
      <c r="E170">
        <v>1659</v>
      </c>
      <c r="F170">
        <v>1175</v>
      </c>
      <c r="G170">
        <v>112</v>
      </c>
    </row>
    <row r="171" spans="1:7" x14ac:dyDescent="0.2">
      <c r="A171" s="1">
        <v>44762</v>
      </c>
      <c r="B171" s="2">
        <f>YEAR(TRA[[#This Row],[date]])</f>
        <v>2022</v>
      </c>
      <c r="C171">
        <v>1410</v>
      </c>
      <c r="D171">
        <v>3491</v>
      </c>
      <c r="E171">
        <v>1795</v>
      </c>
      <c r="F171">
        <v>1219</v>
      </c>
      <c r="G171">
        <v>164</v>
      </c>
    </row>
    <row r="172" spans="1:7" x14ac:dyDescent="0.2">
      <c r="A172" s="1">
        <v>44763</v>
      </c>
      <c r="B172" s="2">
        <f>YEAR(TRA[[#This Row],[date]])</f>
        <v>2022</v>
      </c>
      <c r="C172">
        <v>1258</v>
      </c>
      <c r="D172">
        <v>3064</v>
      </c>
      <c r="E172">
        <v>1613</v>
      </c>
      <c r="F172">
        <v>1056</v>
      </c>
      <c r="G172">
        <v>162</v>
      </c>
    </row>
    <row r="173" spans="1:7" x14ac:dyDescent="0.2">
      <c r="A173" s="1">
        <v>44764</v>
      </c>
      <c r="B173" s="2">
        <f>YEAR(TRA[[#This Row],[date]])</f>
        <v>2022</v>
      </c>
      <c r="C173">
        <v>1034</v>
      </c>
      <c r="D173">
        <v>2193</v>
      </c>
      <c r="E173">
        <v>1334</v>
      </c>
      <c r="F173">
        <v>925</v>
      </c>
      <c r="G173">
        <v>104</v>
      </c>
    </row>
    <row r="174" spans="1:7" x14ac:dyDescent="0.2">
      <c r="A174" s="1">
        <v>44765</v>
      </c>
      <c r="B174" s="2">
        <f>YEAR(TRA[[#This Row],[date]])</f>
        <v>2022</v>
      </c>
      <c r="C174">
        <v>730</v>
      </c>
      <c r="D174">
        <v>1482</v>
      </c>
      <c r="E174">
        <v>887</v>
      </c>
      <c r="F174">
        <v>636</v>
      </c>
      <c r="G174">
        <v>81</v>
      </c>
    </row>
    <row r="175" spans="1:7" x14ac:dyDescent="0.2">
      <c r="A175" s="1">
        <v>44766</v>
      </c>
      <c r="B175" s="2">
        <f>YEAR(TRA[[#This Row],[date]])</f>
        <v>2022</v>
      </c>
      <c r="C175">
        <v>606</v>
      </c>
      <c r="D175">
        <v>1389</v>
      </c>
      <c r="E175">
        <v>787</v>
      </c>
      <c r="F175">
        <v>567</v>
      </c>
      <c r="G175">
        <v>90</v>
      </c>
    </row>
    <row r="176" spans="1:7" x14ac:dyDescent="0.2">
      <c r="A176" s="1">
        <v>44767</v>
      </c>
      <c r="B176" s="2">
        <f>YEAR(TRA[[#This Row],[date]])</f>
        <v>2022</v>
      </c>
      <c r="C176">
        <v>1089</v>
      </c>
      <c r="D176">
        <v>2558</v>
      </c>
      <c r="E176">
        <v>1390</v>
      </c>
      <c r="F176">
        <v>1010</v>
      </c>
      <c r="G176">
        <v>93</v>
      </c>
    </row>
    <row r="177" spans="1:7" x14ac:dyDescent="0.2">
      <c r="A177" s="1">
        <v>44768</v>
      </c>
      <c r="B177" s="2">
        <f>YEAR(TRA[[#This Row],[date]])</f>
        <v>2022</v>
      </c>
      <c r="C177">
        <v>1032</v>
      </c>
      <c r="D177">
        <v>2483</v>
      </c>
      <c r="E177">
        <v>1417</v>
      </c>
      <c r="F177">
        <v>963</v>
      </c>
      <c r="G177">
        <v>82</v>
      </c>
    </row>
    <row r="178" spans="1:7" x14ac:dyDescent="0.2">
      <c r="A178" s="1">
        <v>44769</v>
      </c>
      <c r="B178" s="2">
        <f>YEAR(TRA[[#This Row],[date]])</f>
        <v>2022</v>
      </c>
      <c r="C178">
        <v>1109</v>
      </c>
      <c r="D178">
        <v>2675</v>
      </c>
      <c r="E178">
        <v>1446</v>
      </c>
      <c r="F178">
        <v>998</v>
      </c>
      <c r="G178">
        <v>97</v>
      </c>
    </row>
    <row r="179" spans="1:7" x14ac:dyDescent="0.2">
      <c r="A179" s="1">
        <v>44770</v>
      </c>
      <c r="B179" s="2">
        <f>YEAR(TRA[[#This Row],[date]])</f>
        <v>2022</v>
      </c>
      <c r="C179">
        <v>993</v>
      </c>
      <c r="D179">
        <v>3075</v>
      </c>
      <c r="E179">
        <v>1356</v>
      </c>
      <c r="F179">
        <v>903</v>
      </c>
      <c r="G179">
        <v>127</v>
      </c>
    </row>
    <row r="180" spans="1:7" x14ac:dyDescent="0.2">
      <c r="A180" s="1">
        <v>44771</v>
      </c>
      <c r="B180" s="2">
        <f>YEAR(TRA[[#This Row],[date]])</f>
        <v>2022</v>
      </c>
      <c r="C180">
        <v>1087</v>
      </c>
      <c r="D180">
        <v>2353</v>
      </c>
      <c r="E180">
        <v>1393</v>
      </c>
      <c r="F180">
        <v>985</v>
      </c>
      <c r="G180">
        <v>89</v>
      </c>
    </row>
    <row r="181" spans="1:7" x14ac:dyDescent="0.2">
      <c r="A181" s="1">
        <v>44772</v>
      </c>
      <c r="B181" s="2">
        <f>YEAR(TRA[[#This Row],[date]])</f>
        <v>2022</v>
      </c>
      <c r="C181">
        <v>673</v>
      </c>
      <c r="D181">
        <v>1314</v>
      </c>
      <c r="E181">
        <v>834</v>
      </c>
      <c r="F181">
        <v>627</v>
      </c>
      <c r="G181">
        <v>64</v>
      </c>
    </row>
    <row r="182" spans="1:7" x14ac:dyDescent="0.2">
      <c r="A182" s="1">
        <v>44773</v>
      </c>
      <c r="B182" s="2">
        <f>YEAR(TRA[[#This Row],[date]])</f>
        <v>2022</v>
      </c>
      <c r="C182">
        <v>633</v>
      </c>
      <c r="D182">
        <v>1258</v>
      </c>
      <c r="E182">
        <v>769</v>
      </c>
      <c r="F182">
        <v>563</v>
      </c>
      <c r="G182">
        <v>59</v>
      </c>
    </row>
    <row r="183" spans="1:7" x14ac:dyDescent="0.2">
      <c r="A183" s="1">
        <v>44774</v>
      </c>
      <c r="B183" s="2">
        <f>YEAR(TRA[[#This Row],[date]])</f>
        <v>2022</v>
      </c>
      <c r="C183">
        <v>973</v>
      </c>
      <c r="D183">
        <v>2055</v>
      </c>
      <c r="E183">
        <v>1207</v>
      </c>
      <c r="F183">
        <v>812</v>
      </c>
      <c r="G183">
        <v>84</v>
      </c>
    </row>
    <row r="184" spans="1:7" x14ac:dyDescent="0.2">
      <c r="A184" s="1">
        <v>44775</v>
      </c>
      <c r="B184" s="2">
        <f>YEAR(TRA[[#This Row],[date]])</f>
        <v>2022</v>
      </c>
      <c r="C184">
        <v>1063</v>
      </c>
      <c r="D184">
        <v>2251</v>
      </c>
      <c r="E184">
        <v>1341</v>
      </c>
      <c r="F184">
        <v>959</v>
      </c>
      <c r="G184">
        <v>89</v>
      </c>
    </row>
    <row r="185" spans="1:7" x14ac:dyDescent="0.2">
      <c r="A185" s="1">
        <v>44776</v>
      </c>
      <c r="B185" s="2">
        <f>YEAR(TRA[[#This Row],[date]])</f>
        <v>2022</v>
      </c>
      <c r="C185">
        <v>1136</v>
      </c>
      <c r="D185">
        <v>2289</v>
      </c>
      <c r="E185">
        <v>1400</v>
      </c>
      <c r="F185">
        <v>994</v>
      </c>
      <c r="G185">
        <v>65</v>
      </c>
    </row>
    <row r="186" spans="1:7" x14ac:dyDescent="0.2">
      <c r="A186" s="1">
        <v>44777</v>
      </c>
      <c r="B186" s="2">
        <f>YEAR(TRA[[#This Row],[date]])</f>
        <v>2022</v>
      </c>
      <c r="C186">
        <v>1328</v>
      </c>
      <c r="D186">
        <v>2621</v>
      </c>
      <c r="E186">
        <v>1595</v>
      </c>
      <c r="F186">
        <v>1143</v>
      </c>
      <c r="G186">
        <v>85</v>
      </c>
    </row>
    <row r="187" spans="1:7" x14ac:dyDescent="0.2">
      <c r="A187" s="1">
        <v>44778</v>
      </c>
      <c r="B187" s="2">
        <f>YEAR(TRA[[#This Row],[date]])</f>
        <v>2022</v>
      </c>
      <c r="C187">
        <v>1053</v>
      </c>
      <c r="D187">
        <v>2721</v>
      </c>
      <c r="E187">
        <v>1322</v>
      </c>
      <c r="F187">
        <v>940</v>
      </c>
      <c r="G187">
        <v>177</v>
      </c>
    </row>
    <row r="188" spans="1:7" x14ac:dyDescent="0.2">
      <c r="A188" s="1">
        <v>44779</v>
      </c>
      <c r="B188" s="2">
        <f>YEAR(TRA[[#This Row],[date]])</f>
        <v>2022</v>
      </c>
      <c r="C188">
        <v>739</v>
      </c>
      <c r="D188">
        <v>2115</v>
      </c>
      <c r="E188">
        <v>925</v>
      </c>
      <c r="F188">
        <v>685</v>
      </c>
      <c r="G188">
        <v>224</v>
      </c>
    </row>
    <row r="189" spans="1:7" x14ac:dyDescent="0.2">
      <c r="A189" s="1">
        <v>44780</v>
      </c>
      <c r="B189" s="2">
        <f>YEAR(TRA[[#This Row],[date]])</f>
        <v>2022</v>
      </c>
      <c r="C189">
        <v>761</v>
      </c>
      <c r="D189">
        <v>1928</v>
      </c>
      <c r="E189">
        <v>917</v>
      </c>
      <c r="F189">
        <v>701</v>
      </c>
      <c r="G189">
        <v>127</v>
      </c>
    </row>
    <row r="190" spans="1:7" x14ac:dyDescent="0.2">
      <c r="A190" s="1">
        <v>44781</v>
      </c>
      <c r="B190" s="2">
        <f>YEAR(TRA[[#This Row],[date]])</f>
        <v>2022</v>
      </c>
      <c r="C190">
        <v>1212</v>
      </c>
      <c r="D190">
        <v>2493</v>
      </c>
      <c r="E190">
        <v>1492</v>
      </c>
      <c r="F190">
        <v>1075</v>
      </c>
      <c r="G190">
        <v>79</v>
      </c>
    </row>
    <row r="191" spans="1:7" x14ac:dyDescent="0.2">
      <c r="A191" s="1">
        <v>44782</v>
      </c>
      <c r="B191" s="2">
        <f>YEAR(TRA[[#This Row],[date]])</f>
        <v>2022</v>
      </c>
      <c r="C191">
        <v>1213</v>
      </c>
      <c r="D191">
        <v>3230</v>
      </c>
      <c r="E191">
        <v>1524</v>
      </c>
      <c r="F191">
        <v>821</v>
      </c>
      <c r="G191">
        <v>126</v>
      </c>
    </row>
    <row r="192" spans="1:7" x14ac:dyDescent="0.2">
      <c r="A192" s="1">
        <v>44783</v>
      </c>
      <c r="B192" s="2">
        <f>YEAR(TRA[[#This Row],[date]])</f>
        <v>2022</v>
      </c>
      <c r="C192">
        <v>1037</v>
      </c>
      <c r="D192">
        <v>4184</v>
      </c>
      <c r="E192">
        <v>1321</v>
      </c>
      <c r="F192">
        <v>118</v>
      </c>
      <c r="G192">
        <v>118</v>
      </c>
    </row>
    <row r="193" spans="1:7" x14ac:dyDescent="0.2">
      <c r="A193" s="1">
        <v>44784</v>
      </c>
      <c r="B193" s="2">
        <f>YEAR(TRA[[#This Row],[date]])</f>
        <v>2022</v>
      </c>
      <c r="C193">
        <v>1086</v>
      </c>
      <c r="D193">
        <v>4370</v>
      </c>
      <c r="E193">
        <v>1367</v>
      </c>
      <c r="F193">
        <v>127</v>
      </c>
      <c r="G193">
        <v>125</v>
      </c>
    </row>
    <row r="194" spans="1:7" x14ac:dyDescent="0.2">
      <c r="A194" s="1">
        <v>44785</v>
      </c>
      <c r="B194" s="2">
        <f>YEAR(TRA[[#This Row],[date]])</f>
        <v>2022</v>
      </c>
      <c r="C194">
        <v>1044</v>
      </c>
      <c r="D194">
        <v>3901</v>
      </c>
      <c r="E194">
        <v>1304</v>
      </c>
      <c r="F194">
        <v>125</v>
      </c>
      <c r="G194">
        <v>83</v>
      </c>
    </row>
    <row r="195" spans="1:7" x14ac:dyDescent="0.2">
      <c r="A195" s="1">
        <v>44786</v>
      </c>
      <c r="B195" s="2">
        <f>YEAR(TRA[[#This Row],[date]])</f>
        <v>2022</v>
      </c>
      <c r="C195">
        <v>751</v>
      </c>
      <c r="D195">
        <v>3055</v>
      </c>
      <c r="E195">
        <v>936</v>
      </c>
      <c r="F195">
        <v>119</v>
      </c>
      <c r="G195">
        <v>107</v>
      </c>
    </row>
    <row r="196" spans="1:7" x14ac:dyDescent="0.2">
      <c r="A196" s="1">
        <v>44787</v>
      </c>
      <c r="B196" s="2">
        <f>YEAR(TRA[[#This Row],[date]])</f>
        <v>2022</v>
      </c>
      <c r="C196">
        <v>719</v>
      </c>
      <c r="D196">
        <v>2631</v>
      </c>
      <c r="E196">
        <v>912</v>
      </c>
      <c r="F196">
        <v>75</v>
      </c>
      <c r="G196">
        <v>71</v>
      </c>
    </row>
    <row r="197" spans="1:7" x14ac:dyDescent="0.2">
      <c r="A197" s="1">
        <v>44788</v>
      </c>
      <c r="B197" s="2">
        <f>YEAR(TRA[[#This Row],[date]])</f>
        <v>2022</v>
      </c>
      <c r="C197">
        <v>1114</v>
      </c>
      <c r="D197">
        <v>4493</v>
      </c>
      <c r="E197">
        <v>1415</v>
      </c>
      <c r="F197">
        <v>125</v>
      </c>
      <c r="G197">
        <v>93</v>
      </c>
    </row>
    <row r="198" spans="1:7" x14ac:dyDescent="0.2">
      <c r="A198" s="1">
        <v>44789</v>
      </c>
      <c r="B198" s="2">
        <f>YEAR(TRA[[#This Row],[date]])</f>
        <v>2022</v>
      </c>
      <c r="C198">
        <v>1081</v>
      </c>
      <c r="D198">
        <v>4713</v>
      </c>
      <c r="E198">
        <v>1406</v>
      </c>
      <c r="F198">
        <v>110</v>
      </c>
      <c r="G198">
        <v>145</v>
      </c>
    </row>
    <row r="199" spans="1:7" x14ac:dyDescent="0.2">
      <c r="A199" s="1">
        <v>44790</v>
      </c>
      <c r="B199" s="2">
        <f>YEAR(TRA[[#This Row],[date]])</f>
        <v>2022</v>
      </c>
      <c r="C199">
        <v>1284</v>
      </c>
      <c r="D199">
        <v>5535</v>
      </c>
      <c r="E199">
        <v>1687</v>
      </c>
      <c r="F199">
        <v>109</v>
      </c>
      <c r="G199">
        <v>150</v>
      </c>
    </row>
    <row r="200" spans="1:7" x14ac:dyDescent="0.2">
      <c r="A200" s="1">
        <v>44791</v>
      </c>
      <c r="B200" s="2">
        <f>YEAR(TRA[[#This Row],[date]])</f>
        <v>2022</v>
      </c>
      <c r="C200">
        <v>1082</v>
      </c>
      <c r="D200">
        <v>4582</v>
      </c>
      <c r="E200">
        <v>1424</v>
      </c>
      <c r="F200">
        <v>89</v>
      </c>
      <c r="G200">
        <v>144</v>
      </c>
    </row>
    <row r="201" spans="1:7" x14ac:dyDescent="0.2">
      <c r="A201" s="1">
        <v>44792</v>
      </c>
      <c r="B201" s="2">
        <f>YEAR(TRA[[#This Row],[date]])</f>
        <v>2022</v>
      </c>
      <c r="C201">
        <v>1064</v>
      </c>
      <c r="D201">
        <v>4047</v>
      </c>
      <c r="E201">
        <v>1362</v>
      </c>
      <c r="F201">
        <v>112</v>
      </c>
      <c r="G201">
        <v>110</v>
      </c>
    </row>
    <row r="202" spans="1:7" x14ac:dyDescent="0.2">
      <c r="A202" s="1">
        <v>44793</v>
      </c>
      <c r="B202" s="2">
        <f>YEAR(TRA[[#This Row],[date]])</f>
        <v>2022</v>
      </c>
      <c r="C202">
        <v>758</v>
      </c>
      <c r="D202">
        <v>2744</v>
      </c>
      <c r="E202">
        <v>951</v>
      </c>
      <c r="F202">
        <v>88</v>
      </c>
      <c r="G202">
        <v>91</v>
      </c>
    </row>
    <row r="203" spans="1:7" x14ac:dyDescent="0.2">
      <c r="A203" s="1">
        <v>44794</v>
      </c>
      <c r="B203" s="2">
        <f>YEAR(TRA[[#This Row],[date]])</f>
        <v>2022</v>
      </c>
      <c r="C203">
        <v>800</v>
      </c>
      <c r="D203">
        <v>3073</v>
      </c>
      <c r="E203">
        <v>1038</v>
      </c>
      <c r="F203">
        <v>79</v>
      </c>
      <c r="G203">
        <v>141</v>
      </c>
    </row>
    <row r="204" spans="1:7" x14ac:dyDescent="0.2">
      <c r="A204" s="1">
        <v>44795</v>
      </c>
      <c r="B204" s="2">
        <f>YEAR(TRA[[#This Row],[date]])</f>
        <v>2022</v>
      </c>
      <c r="C204">
        <v>1272</v>
      </c>
      <c r="D204">
        <v>4843</v>
      </c>
      <c r="E204">
        <v>1634</v>
      </c>
      <c r="F204">
        <v>97</v>
      </c>
      <c r="G204">
        <v>106</v>
      </c>
    </row>
    <row r="205" spans="1:7" x14ac:dyDescent="0.2">
      <c r="A205" s="1">
        <v>44796</v>
      </c>
      <c r="B205" s="2">
        <f>YEAR(TRA[[#This Row],[date]])</f>
        <v>2022</v>
      </c>
      <c r="C205">
        <v>1295</v>
      </c>
      <c r="D205">
        <v>5388</v>
      </c>
      <c r="E205">
        <v>1711</v>
      </c>
      <c r="F205">
        <v>107</v>
      </c>
      <c r="G205">
        <v>114</v>
      </c>
    </row>
    <row r="206" spans="1:7" x14ac:dyDescent="0.2">
      <c r="A206" s="1">
        <v>44797</v>
      </c>
      <c r="B206" s="2">
        <f>YEAR(TRA[[#This Row],[date]])</f>
        <v>2022</v>
      </c>
      <c r="C206">
        <v>1373</v>
      </c>
      <c r="D206">
        <v>5466</v>
      </c>
      <c r="E206">
        <v>1721</v>
      </c>
      <c r="F206">
        <v>126</v>
      </c>
      <c r="G206">
        <v>105</v>
      </c>
    </row>
    <row r="207" spans="1:7" x14ac:dyDescent="0.2">
      <c r="A207" s="1">
        <v>44798</v>
      </c>
      <c r="B207" s="2">
        <f>YEAR(TRA[[#This Row],[date]])</f>
        <v>2022</v>
      </c>
      <c r="C207">
        <v>1383</v>
      </c>
      <c r="D207">
        <v>5278</v>
      </c>
      <c r="E207">
        <v>1754</v>
      </c>
      <c r="F207">
        <v>119</v>
      </c>
      <c r="G207">
        <v>111</v>
      </c>
    </row>
    <row r="208" spans="1:7" x14ac:dyDescent="0.2">
      <c r="A208" s="1">
        <v>44799</v>
      </c>
      <c r="B208" s="2">
        <f>YEAR(TRA[[#This Row],[date]])</f>
        <v>2022</v>
      </c>
      <c r="C208">
        <v>1261</v>
      </c>
      <c r="D208">
        <v>4638</v>
      </c>
      <c r="E208">
        <v>1546</v>
      </c>
      <c r="F208">
        <v>124</v>
      </c>
      <c r="G208">
        <v>102</v>
      </c>
    </row>
    <row r="209" spans="1:7" x14ac:dyDescent="0.2">
      <c r="A209" s="1">
        <v>44800</v>
      </c>
      <c r="B209" s="2">
        <f>YEAR(TRA[[#This Row],[date]])</f>
        <v>2022</v>
      </c>
      <c r="C209">
        <v>817</v>
      </c>
      <c r="D209">
        <v>3146</v>
      </c>
      <c r="E209">
        <v>1032</v>
      </c>
      <c r="F209">
        <v>105</v>
      </c>
      <c r="G209">
        <v>95</v>
      </c>
    </row>
    <row r="210" spans="1:7" x14ac:dyDescent="0.2">
      <c r="A210" s="1">
        <v>44801</v>
      </c>
      <c r="B210" s="2">
        <f>YEAR(TRA[[#This Row],[date]])</f>
        <v>2022</v>
      </c>
      <c r="C210">
        <v>989</v>
      </c>
      <c r="D210">
        <v>3511</v>
      </c>
      <c r="E210">
        <v>1230</v>
      </c>
      <c r="F210">
        <v>71</v>
      </c>
      <c r="G210">
        <v>71</v>
      </c>
    </row>
    <row r="211" spans="1:7" x14ac:dyDescent="0.2">
      <c r="A211" s="1">
        <v>44802</v>
      </c>
      <c r="B211" s="2">
        <f>YEAR(TRA[[#This Row],[date]])</f>
        <v>2022</v>
      </c>
      <c r="C211">
        <v>1558</v>
      </c>
      <c r="D211">
        <v>5890</v>
      </c>
      <c r="E211">
        <v>2015</v>
      </c>
      <c r="F211">
        <v>144</v>
      </c>
      <c r="G211">
        <v>100</v>
      </c>
    </row>
    <row r="212" spans="1:7" x14ac:dyDescent="0.2">
      <c r="A212" s="1">
        <v>44803</v>
      </c>
      <c r="B212" s="2">
        <f>YEAR(TRA[[#This Row],[date]])</f>
        <v>2022</v>
      </c>
      <c r="C212">
        <v>1539</v>
      </c>
      <c r="D212">
        <v>6951</v>
      </c>
      <c r="E212">
        <v>2068</v>
      </c>
      <c r="F212">
        <v>119</v>
      </c>
      <c r="G212">
        <v>126</v>
      </c>
    </row>
    <row r="213" spans="1:7" x14ac:dyDescent="0.2">
      <c r="A213" s="1">
        <v>44804</v>
      </c>
      <c r="B213" s="2">
        <f>YEAR(TRA[[#This Row],[date]])</f>
        <v>2022</v>
      </c>
      <c r="C213">
        <v>2147</v>
      </c>
      <c r="D213">
        <v>7972</v>
      </c>
      <c r="E213">
        <v>2679</v>
      </c>
      <c r="F213">
        <v>127</v>
      </c>
      <c r="G213">
        <v>109</v>
      </c>
    </row>
    <row r="214" spans="1:7" x14ac:dyDescent="0.2">
      <c r="A214" s="1">
        <v>44805</v>
      </c>
      <c r="B214" s="2">
        <f>YEAR(TRA[[#This Row],[date]])</f>
        <v>2022</v>
      </c>
      <c r="C214">
        <v>1330</v>
      </c>
      <c r="D214">
        <v>5228</v>
      </c>
      <c r="E214">
        <v>1718</v>
      </c>
      <c r="F214">
        <v>137</v>
      </c>
      <c r="G214">
        <v>114</v>
      </c>
    </row>
    <row r="215" spans="1:7" x14ac:dyDescent="0.2">
      <c r="A215" s="1">
        <v>44806</v>
      </c>
      <c r="B215" s="2">
        <f>YEAR(TRA[[#This Row],[date]])</f>
        <v>2022</v>
      </c>
      <c r="C215">
        <v>1041</v>
      </c>
      <c r="D215">
        <v>3745</v>
      </c>
      <c r="E215">
        <v>1313</v>
      </c>
      <c r="F215">
        <v>116</v>
      </c>
      <c r="G215">
        <v>101</v>
      </c>
    </row>
    <row r="216" spans="1:7" x14ac:dyDescent="0.2">
      <c r="A216" s="1">
        <v>44807</v>
      </c>
      <c r="B216" s="2">
        <f>YEAR(TRA[[#This Row],[date]])</f>
        <v>2022</v>
      </c>
      <c r="C216">
        <v>600</v>
      </c>
      <c r="D216">
        <v>1922</v>
      </c>
      <c r="E216">
        <v>707</v>
      </c>
      <c r="F216">
        <v>76</v>
      </c>
      <c r="G216">
        <v>85</v>
      </c>
    </row>
    <row r="217" spans="1:7" x14ac:dyDescent="0.2">
      <c r="A217" s="1">
        <v>44808</v>
      </c>
      <c r="B217" s="2">
        <f>YEAR(TRA[[#This Row],[date]])</f>
        <v>2022</v>
      </c>
      <c r="C217">
        <v>651</v>
      </c>
      <c r="D217">
        <v>2275</v>
      </c>
      <c r="E217">
        <v>780</v>
      </c>
      <c r="F217">
        <v>76</v>
      </c>
      <c r="G217">
        <v>86</v>
      </c>
    </row>
    <row r="218" spans="1:7" x14ac:dyDescent="0.2">
      <c r="A218" s="1">
        <v>44809</v>
      </c>
      <c r="B218" s="2">
        <f>YEAR(TRA[[#This Row],[date]])</f>
        <v>2022</v>
      </c>
      <c r="C218">
        <v>851</v>
      </c>
      <c r="D218">
        <v>2901</v>
      </c>
      <c r="E218">
        <v>1003</v>
      </c>
      <c r="F218">
        <v>88</v>
      </c>
      <c r="G218">
        <v>109</v>
      </c>
    </row>
    <row r="219" spans="1:7" x14ac:dyDescent="0.2">
      <c r="A219" s="1">
        <v>44810</v>
      </c>
      <c r="B219" s="2">
        <f>YEAR(TRA[[#This Row],[date]])</f>
        <v>2022</v>
      </c>
      <c r="C219">
        <v>1049</v>
      </c>
      <c r="D219">
        <v>4600</v>
      </c>
      <c r="E219">
        <v>1342</v>
      </c>
      <c r="F219">
        <v>113</v>
      </c>
      <c r="G219">
        <v>134</v>
      </c>
    </row>
    <row r="220" spans="1:7" x14ac:dyDescent="0.2">
      <c r="A220" s="1">
        <v>44811</v>
      </c>
      <c r="B220" s="2">
        <f>YEAR(TRA[[#This Row],[date]])</f>
        <v>2022</v>
      </c>
      <c r="C220">
        <v>984</v>
      </c>
      <c r="D220">
        <v>3920</v>
      </c>
      <c r="E220">
        <v>1278</v>
      </c>
      <c r="F220">
        <v>105</v>
      </c>
      <c r="G220">
        <v>103</v>
      </c>
    </row>
    <row r="221" spans="1:7" x14ac:dyDescent="0.2">
      <c r="A221" s="1">
        <v>44812</v>
      </c>
      <c r="B221" s="2">
        <f>YEAR(TRA[[#This Row],[date]])</f>
        <v>2022</v>
      </c>
      <c r="C221">
        <v>1047</v>
      </c>
      <c r="D221">
        <v>4185</v>
      </c>
      <c r="E221">
        <v>1343</v>
      </c>
      <c r="F221">
        <v>95</v>
      </c>
      <c r="G221">
        <v>147</v>
      </c>
    </row>
    <row r="222" spans="1:7" x14ac:dyDescent="0.2">
      <c r="A222" s="1">
        <v>44813</v>
      </c>
      <c r="B222" s="2">
        <f>YEAR(TRA[[#This Row],[date]])</f>
        <v>2022</v>
      </c>
      <c r="C222">
        <v>1158</v>
      </c>
      <c r="D222">
        <v>4227</v>
      </c>
      <c r="E222">
        <v>1416</v>
      </c>
      <c r="F222">
        <v>113</v>
      </c>
      <c r="G222">
        <v>98</v>
      </c>
    </row>
    <row r="223" spans="1:7" x14ac:dyDescent="0.2">
      <c r="A223" s="1">
        <v>44814</v>
      </c>
      <c r="B223" s="2">
        <f>YEAR(TRA[[#This Row],[date]])</f>
        <v>2022</v>
      </c>
      <c r="C223">
        <v>593</v>
      </c>
      <c r="D223">
        <v>2113</v>
      </c>
      <c r="E223">
        <v>733</v>
      </c>
      <c r="F223">
        <v>117</v>
      </c>
      <c r="G223">
        <v>98</v>
      </c>
    </row>
    <row r="224" spans="1:7" x14ac:dyDescent="0.2">
      <c r="A224" s="1">
        <v>44815</v>
      </c>
      <c r="B224" s="2">
        <f>YEAR(TRA[[#This Row],[date]])</f>
        <v>2022</v>
      </c>
      <c r="C224">
        <v>610</v>
      </c>
      <c r="D224">
        <v>2185</v>
      </c>
      <c r="E224">
        <v>759</v>
      </c>
      <c r="F224">
        <v>93</v>
      </c>
      <c r="G224">
        <v>93</v>
      </c>
    </row>
    <row r="225" spans="1:7" x14ac:dyDescent="0.2">
      <c r="A225" s="1">
        <v>44816</v>
      </c>
      <c r="B225" s="2">
        <f>YEAR(TRA[[#This Row],[date]])</f>
        <v>2022</v>
      </c>
      <c r="C225">
        <v>1125</v>
      </c>
      <c r="D225">
        <v>4175</v>
      </c>
      <c r="E225">
        <v>1434</v>
      </c>
      <c r="F225">
        <v>116</v>
      </c>
      <c r="G225">
        <v>116</v>
      </c>
    </row>
    <row r="226" spans="1:7" x14ac:dyDescent="0.2">
      <c r="A226" s="1">
        <v>44817</v>
      </c>
      <c r="B226" s="2">
        <f>YEAR(TRA[[#This Row],[date]])</f>
        <v>2022</v>
      </c>
      <c r="C226">
        <v>1490</v>
      </c>
      <c r="D226">
        <v>5561</v>
      </c>
      <c r="E226">
        <v>1846</v>
      </c>
      <c r="F226">
        <v>120</v>
      </c>
      <c r="G226">
        <v>97</v>
      </c>
    </row>
    <row r="227" spans="1:7" x14ac:dyDescent="0.2">
      <c r="A227" s="1">
        <v>44818</v>
      </c>
      <c r="B227" s="2">
        <f>YEAR(TRA[[#This Row],[date]])</f>
        <v>2022</v>
      </c>
      <c r="C227">
        <v>1206</v>
      </c>
      <c r="D227">
        <v>4594</v>
      </c>
      <c r="E227">
        <v>1527</v>
      </c>
      <c r="F227">
        <v>101</v>
      </c>
      <c r="G227">
        <v>92</v>
      </c>
    </row>
    <row r="228" spans="1:7" x14ac:dyDescent="0.2">
      <c r="A228" s="1">
        <v>44819</v>
      </c>
      <c r="B228" s="2">
        <f>YEAR(TRA[[#This Row],[date]])</f>
        <v>2022</v>
      </c>
      <c r="C228">
        <v>1321</v>
      </c>
      <c r="D228">
        <v>5016</v>
      </c>
      <c r="E228">
        <v>1647</v>
      </c>
      <c r="F228">
        <v>116</v>
      </c>
      <c r="G228">
        <v>100</v>
      </c>
    </row>
    <row r="229" spans="1:7" x14ac:dyDescent="0.2">
      <c r="A229" s="1">
        <v>44820</v>
      </c>
      <c r="B229" s="2">
        <f>YEAR(TRA[[#This Row],[date]])</f>
        <v>2022</v>
      </c>
      <c r="C229">
        <v>1083</v>
      </c>
      <c r="D229">
        <v>4399</v>
      </c>
      <c r="E229">
        <v>1381</v>
      </c>
      <c r="F229">
        <v>75</v>
      </c>
      <c r="G229">
        <v>112</v>
      </c>
    </row>
    <row r="230" spans="1:7" x14ac:dyDescent="0.2">
      <c r="A230" s="1">
        <v>44821</v>
      </c>
      <c r="B230" s="2">
        <f>YEAR(TRA[[#This Row],[date]])</f>
        <v>2022</v>
      </c>
      <c r="C230">
        <v>654</v>
      </c>
      <c r="D230">
        <v>2216</v>
      </c>
      <c r="E230">
        <v>824</v>
      </c>
      <c r="F230">
        <v>94</v>
      </c>
      <c r="G230">
        <v>66</v>
      </c>
    </row>
    <row r="231" spans="1:7" x14ac:dyDescent="0.2">
      <c r="A231" s="1">
        <v>44822</v>
      </c>
      <c r="B231" s="2">
        <f>YEAR(TRA[[#This Row],[date]])</f>
        <v>2022</v>
      </c>
      <c r="C231">
        <v>640</v>
      </c>
      <c r="D231">
        <v>2307</v>
      </c>
      <c r="E231">
        <v>799</v>
      </c>
      <c r="F231">
        <v>90</v>
      </c>
      <c r="G231">
        <v>99</v>
      </c>
    </row>
    <row r="232" spans="1:7" x14ac:dyDescent="0.2">
      <c r="A232" s="1">
        <v>44823</v>
      </c>
      <c r="B232" s="2">
        <f>YEAR(TRA[[#This Row],[date]])</f>
        <v>2022</v>
      </c>
      <c r="C232">
        <v>1347</v>
      </c>
      <c r="D232">
        <v>4817</v>
      </c>
      <c r="E232">
        <v>1640</v>
      </c>
      <c r="F232">
        <v>117</v>
      </c>
      <c r="G232">
        <v>89</v>
      </c>
    </row>
    <row r="233" spans="1:7" x14ac:dyDescent="0.2">
      <c r="A233" s="1">
        <v>44824</v>
      </c>
      <c r="B233" s="2">
        <f>YEAR(TRA[[#This Row],[date]])</f>
        <v>2022</v>
      </c>
      <c r="C233">
        <v>2127</v>
      </c>
      <c r="D233">
        <v>6692</v>
      </c>
      <c r="E233">
        <v>2477</v>
      </c>
      <c r="F233">
        <v>159</v>
      </c>
      <c r="G233">
        <v>66</v>
      </c>
    </row>
    <row r="234" spans="1:7" x14ac:dyDescent="0.2">
      <c r="A234" s="1">
        <v>44825</v>
      </c>
      <c r="B234" s="2">
        <f>YEAR(TRA[[#This Row],[date]])</f>
        <v>2022</v>
      </c>
      <c r="C234">
        <v>1382</v>
      </c>
      <c r="D234">
        <v>5022</v>
      </c>
      <c r="E234">
        <v>1707</v>
      </c>
      <c r="F234">
        <v>125</v>
      </c>
      <c r="G234">
        <v>119</v>
      </c>
    </row>
    <row r="235" spans="1:7" x14ac:dyDescent="0.2">
      <c r="A235" s="1">
        <v>44826</v>
      </c>
      <c r="B235" s="2">
        <f>YEAR(TRA[[#This Row],[date]])</f>
        <v>2022</v>
      </c>
      <c r="C235">
        <v>1337</v>
      </c>
      <c r="D235">
        <v>4971</v>
      </c>
      <c r="E235">
        <v>1727</v>
      </c>
      <c r="F235">
        <v>135</v>
      </c>
      <c r="G235">
        <v>84</v>
      </c>
    </row>
    <row r="236" spans="1:7" x14ac:dyDescent="0.2">
      <c r="A236" s="1">
        <v>44827</v>
      </c>
      <c r="B236" s="2">
        <f>YEAR(TRA[[#This Row],[date]])</f>
        <v>2022</v>
      </c>
      <c r="C236">
        <v>1141</v>
      </c>
      <c r="D236">
        <v>4382</v>
      </c>
      <c r="E236">
        <v>1417</v>
      </c>
      <c r="F236">
        <v>102</v>
      </c>
      <c r="G236">
        <v>92</v>
      </c>
    </row>
    <row r="237" spans="1:7" x14ac:dyDescent="0.2">
      <c r="A237" s="1">
        <v>44828</v>
      </c>
      <c r="B237" s="2">
        <f>YEAR(TRA[[#This Row],[date]])</f>
        <v>2022</v>
      </c>
      <c r="C237">
        <v>725</v>
      </c>
      <c r="D237">
        <v>2234</v>
      </c>
      <c r="E237">
        <v>886</v>
      </c>
      <c r="F237">
        <v>209</v>
      </c>
      <c r="G237">
        <v>94</v>
      </c>
    </row>
    <row r="238" spans="1:7" x14ac:dyDescent="0.2">
      <c r="A238" s="1">
        <v>44829</v>
      </c>
      <c r="B238" s="2">
        <f>YEAR(TRA[[#This Row],[date]])</f>
        <v>2022</v>
      </c>
      <c r="C238">
        <v>817</v>
      </c>
      <c r="D238">
        <v>2885</v>
      </c>
      <c r="E238">
        <v>974</v>
      </c>
      <c r="F238">
        <v>206</v>
      </c>
      <c r="G238">
        <v>98</v>
      </c>
    </row>
    <row r="239" spans="1:7" x14ac:dyDescent="0.2">
      <c r="A239" s="1">
        <v>44830</v>
      </c>
      <c r="B239" s="2">
        <f>YEAR(TRA[[#This Row],[date]])</f>
        <v>2022</v>
      </c>
      <c r="C239">
        <v>1333</v>
      </c>
      <c r="D239">
        <v>4703</v>
      </c>
      <c r="E239">
        <v>1603</v>
      </c>
      <c r="F239">
        <v>173</v>
      </c>
      <c r="G239">
        <v>86</v>
      </c>
    </row>
    <row r="240" spans="1:7" x14ac:dyDescent="0.2">
      <c r="A240" s="1">
        <v>44831</v>
      </c>
      <c r="B240" s="2">
        <f>YEAR(TRA[[#This Row],[date]])</f>
        <v>2022</v>
      </c>
      <c r="C240">
        <v>1363</v>
      </c>
      <c r="D240">
        <v>5174</v>
      </c>
      <c r="E240">
        <v>1649</v>
      </c>
      <c r="F240">
        <v>98</v>
      </c>
      <c r="G240">
        <v>138</v>
      </c>
    </row>
    <row r="241" spans="1:7" x14ac:dyDescent="0.2">
      <c r="A241" s="1">
        <v>44832</v>
      </c>
      <c r="B241" s="2">
        <f>YEAR(TRA[[#This Row],[date]])</f>
        <v>2022</v>
      </c>
      <c r="C241">
        <v>1343</v>
      </c>
      <c r="D241">
        <v>5184</v>
      </c>
      <c r="E241">
        <v>1679</v>
      </c>
      <c r="F241">
        <v>135</v>
      </c>
      <c r="G241">
        <v>107</v>
      </c>
    </row>
    <row r="242" spans="1:7" x14ac:dyDescent="0.2">
      <c r="A242" s="1">
        <v>44833</v>
      </c>
      <c r="B242" s="2">
        <f>YEAR(TRA[[#This Row],[date]])</f>
        <v>2022</v>
      </c>
      <c r="C242">
        <v>1345</v>
      </c>
      <c r="D242">
        <v>5045</v>
      </c>
      <c r="E242">
        <v>1665</v>
      </c>
      <c r="F242">
        <v>115</v>
      </c>
      <c r="G242">
        <v>119</v>
      </c>
    </row>
    <row r="243" spans="1:7" x14ac:dyDescent="0.2">
      <c r="A243" s="1">
        <v>44834</v>
      </c>
      <c r="B243" s="2">
        <f>YEAR(TRA[[#This Row],[date]])</f>
        <v>2022</v>
      </c>
      <c r="C243">
        <v>1540</v>
      </c>
      <c r="D243">
        <v>6126</v>
      </c>
      <c r="E243">
        <v>1912</v>
      </c>
      <c r="F243">
        <v>118</v>
      </c>
      <c r="G243">
        <v>122</v>
      </c>
    </row>
    <row r="244" spans="1:7" x14ac:dyDescent="0.2">
      <c r="A244" s="1">
        <v>44835</v>
      </c>
      <c r="B244" s="2">
        <f>YEAR(TRA[[#This Row],[date]])</f>
        <v>2022</v>
      </c>
      <c r="C244">
        <v>1297</v>
      </c>
      <c r="D244">
        <v>4353</v>
      </c>
      <c r="E244">
        <v>1480</v>
      </c>
      <c r="F244">
        <v>106</v>
      </c>
      <c r="G244">
        <v>57</v>
      </c>
    </row>
    <row r="245" spans="1:7" x14ac:dyDescent="0.2">
      <c r="A245" s="1">
        <v>44836</v>
      </c>
      <c r="B245" s="2">
        <f>YEAR(TRA[[#This Row],[date]])</f>
        <v>2022</v>
      </c>
      <c r="C245">
        <v>2553</v>
      </c>
      <c r="D245">
        <v>8530</v>
      </c>
      <c r="E245">
        <v>2875</v>
      </c>
      <c r="F245">
        <v>517</v>
      </c>
      <c r="G245">
        <v>67</v>
      </c>
    </row>
    <row r="246" spans="1:7" x14ac:dyDescent="0.2">
      <c r="A246" s="1">
        <v>44837</v>
      </c>
      <c r="B246" s="2">
        <f>YEAR(TRA[[#This Row],[date]])</f>
        <v>2022</v>
      </c>
      <c r="C246">
        <v>2504</v>
      </c>
      <c r="D246">
        <v>9575</v>
      </c>
      <c r="E246">
        <v>3006</v>
      </c>
      <c r="F246">
        <v>288</v>
      </c>
      <c r="G246">
        <v>103</v>
      </c>
    </row>
    <row r="247" spans="1:7" x14ac:dyDescent="0.2">
      <c r="A247" s="1">
        <v>44838</v>
      </c>
      <c r="B247" s="2">
        <f>YEAR(TRA[[#This Row],[date]])</f>
        <v>2022</v>
      </c>
      <c r="C247">
        <v>1876</v>
      </c>
      <c r="D247">
        <v>7250</v>
      </c>
      <c r="E247">
        <v>2301</v>
      </c>
      <c r="F247">
        <v>116</v>
      </c>
      <c r="G247">
        <v>117</v>
      </c>
    </row>
    <row r="248" spans="1:7" x14ac:dyDescent="0.2">
      <c r="A248" s="1">
        <v>44839</v>
      </c>
      <c r="B248" s="2">
        <f>YEAR(TRA[[#This Row],[date]])</f>
        <v>2022</v>
      </c>
      <c r="C248">
        <v>1601</v>
      </c>
      <c r="D248">
        <v>6688</v>
      </c>
      <c r="E248">
        <v>2013</v>
      </c>
      <c r="F248">
        <v>57</v>
      </c>
      <c r="G248">
        <v>126</v>
      </c>
    </row>
    <row r="249" spans="1:7" x14ac:dyDescent="0.2">
      <c r="A249" s="1">
        <v>44840</v>
      </c>
      <c r="B249" s="2">
        <f>YEAR(TRA[[#This Row],[date]])</f>
        <v>2022</v>
      </c>
      <c r="C249">
        <v>1942</v>
      </c>
      <c r="D249">
        <v>7979</v>
      </c>
      <c r="E249">
        <v>2466</v>
      </c>
      <c r="F249">
        <v>79</v>
      </c>
      <c r="G249">
        <v>128</v>
      </c>
    </row>
    <row r="250" spans="1:7" x14ac:dyDescent="0.2">
      <c r="A250" s="1">
        <v>44841</v>
      </c>
      <c r="B250" s="2">
        <f>YEAR(TRA[[#This Row],[date]])</f>
        <v>2022</v>
      </c>
      <c r="C250">
        <v>1366</v>
      </c>
      <c r="D250">
        <v>5168</v>
      </c>
      <c r="E250">
        <v>1687</v>
      </c>
      <c r="F250">
        <v>64</v>
      </c>
      <c r="G250">
        <v>112</v>
      </c>
    </row>
    <row r="251" spans="1:7" x14ac:dyDescent="0.2">
      <c r="A251" s="1">
        <v>44842</v>
      </c>
      <c r="B251" s="2">
        <f>YEAR(TRA[[#This Row],[date]])</f>
        <v>2022</v>
      </c>
      <c r="C251">
        <v>835</v>
      </c>
      <c r="D251">
        <v>2899</v>
      </c>
      <c r="E251">
        <v>1010</v>
      </c>
      <c r="F251">
        <v>59</v>
      </c>
      <c r="G251">
        <v>68</v>
      </c>
    </row>
    <row r="252" spans="1:7" x14ac:dyDescent="0.2">
      <c r="A252" s="1">
        <v>44843</v>
      </c>
      <c r="B252" s="2">
        <f>YEAR(TRA[[#This Row],[date]])</f>
        <v>2022</v>
      </c>
      <c r="C252">
        <v>840</v>
      </c>
      <c r="D252">
        <v>3030</v>
      </c>
      <c r="E252">
        <v>1015</v>
      </c>
      <c r="F252">
        <v>47</v>
      </c>
      <c r="G252">
        <v>96</v>
      </c>
    </row>
    <row r="253" spans="1:7" x14ac:dyDescent="0.2">
      <c r="A253" s="1">
        <v>44844</v>
      </c>
      <c r="B253" s="2">
        <f>YEAR(TRA[[#This Row],[date]])</f>
        <v>2022</v>
      </c>
      <c r="C253">
        <v>1429</v>
      </c>
      <c r="D253">
        <v>5341</v>
      </c>
      <c r="E253">
        <v>1741</v>
      </c>
      <c r="F253">
        <v>61</v>
      </c>
      <c r="G253">
        <v>103</v>
      </c>
    </row>
    <row r="254" spans="1:7" x14ac:dyDescent="0.2">
      <c r="A254" s="1">
        <v>44845</v>
      </c>
      <c r="B254" s="2">
        <f>YEAR(TRA[[#This Row],[date]])</f>
        <v>2022</v>
      </c>
      <c r="C254">
        <v>3688</v>
      </c>
      <c r="D254">
        <v>12321</v>
      </c>
      <c r="E254">
        <v>4195</v>
      </c>
      <c r="F254">
        <v>95</v>
      </c>
      <c r="G254">
        <v>101</v>
      </c>
    </row>
    <row r="255" spans="1:7" x14ac:dyDescent="0.2">
      <c r="A255" s="1">
        <v>44846</v>
      </c>
      <c r="B255" s="2">
        <f>YEAR(TRA[[#This Row],[date]])</f>
        <v>2022</v>
      </c>
      <c r="C255">
        <v>3525</v>
      </c>
      <c r="D255">
        <v>13224</v>
      </c>
      <c r="E255">
        <v>4247</v>
      </c>
      <c r="F255">
        <v>110</v>
      </c>
      <c r="G255">
        <v>100</v>
      </c>
    </row>
    <row r="256" spans="1:7" x14ac:dyDescent="0.2">
      <c r="A256" s="1">
        <v>44847</v>
      </c>
      <c r="B256" s="2">
        <f>YEAR(TRA[[#This Row],[date]])</f>
        <v>2022</v>
      </c>
      <c r="C256">
        <v>11797</v>
      </c>
      <c r="D256">
        <v>44500</v>
      </c>
      <c r="E256">
        <v>13620</v>
      </c>
      <c r="F256">
        <v>243</v>
      </c>
      <c r="G256">
        <v>66</v>
      </c>
    </row>
    <row r="257" spans="1:7" x14ac:dyDescent="0.2">
      <c r="A257" s="1">
        <v>44848</v>
      </c>
      <c r="B257" s="2">
        <f>YEAR(TRA[[#This Row],[date]])</f>
        <v>2022</v>
      </c>
      <c r="C257">
        <v>9872</v>
      </c>
      <c r="D257">
        <v>36593</v>
      </c>
      <c r="E257">
        <v>11327</v>
      </c>
      <c r="F257">
        <v>228</v>
      </c>
      <c r="G257">
        <v>66</v>
      </c>
    </row>
    <row r="258" spans="1:7" x14ac:dyDescent="0.2">
      <c r="A258" s="1">
        <v>44849</v>
      </c>
      <c r="B258" s="2">
        <f>YEAR(TRA[[#This Row],[date]])</f>
        <v>2022</v>
      </c>
      <c r="C258">
        <v>4951</v>
      </c>
      <c r="D258">
        <v>18032</v>
      </c>
      <c r="E258">
        <v>5609</v>
      </c>
      <c r="F258">
        <v>105</v>
      </c>
      <c r="G258">
        <v>66</v>
      </c>
    </row>
    <row r="259" spans="1:7" x14ac:dyDescent="0.2">
      <c r="A259" s="1">
        <v>44850</v>
      </c>
      <c r="B259" s="2">
        <f>YEAR(TRA[[#This Row],[date]])</f>
        <v>2022</v>
      </c>
      <c r="C259">
        <v>4003</v>
      </c>
      <c r="D259">
        <v>14968</v>
      </c>
      <c r="E259">
        <v>4582</v>
      </c>
      <c r="F259">
        <v>103</v>
      </c>
      <c r="G259">
        <v>67</v>
      </c>
    </row>
    <row r="260" spans="1:7" x14ac:dyDescent="0.2">
      <c r="A260" s="1">
        <v>44851</v>
      </c>
      <c r="B260" s="2">
        <f>YEAR(TRA[[#This Row],[date]])</f>
        <v>2022</v>
      </c>
      <c r="C260">
        <v>5034</v>
      </c>
      <c r="D260">
        <v>18634</v>
      </c>
      <c r="E260">
        <v>5893</v>
      </c>
      <c r="F260">
        <v>144</v>
      </c>
      <c r="G260">
        <v>76</v>
      </c>
    </row>
    <row r="261" spans="1:7" x14ac:dyDescent="0.2">
      <c r="A261" s="1">
        <v>44852</v>
      </c>
      <c r="B261" s="2">
        <f>YEAR(TRA[[#This Row],[date]])</f>
        <v>2022</v>
      </c>
      <c r="C261">
        <v>5367</v>
      </c>
      <c r="D261">
        <v>20446</v>
      </c>
      <c r="E261">
        <v>6294</v>
      </c>
      <c r="F261">
        <v>140</v>
      </c>
      <c r="G261">
        <v>91</v>
      </c>
    </row>
    <row r="262" spans="1:7" x14ac:dyDescent="0.2">
      <c r="A262" s="1">
        <v>44853</v>
      </c>
      <c r="B262" s="2">
        <f>YEAR(TRA[[#This Row],[date]])</f>
        <v>2022</v>
      </c>
      <c r="C262">
        <v>5866</v>
      </c>
      <c r="D262">
        <v>20983</v>
      </c>
      <c r="E262">
        <v>6720</v>
      </c>
      <c r="F262">
        <v>109</v>
      </c>
      <c r="G262">
        <v>72</v>
      </c>
    </row>
    <row r="263" spans="1:7" x14ac:dyDescent="0.2">
      <c r="A263" s="1">
        <v>44854</v>
      </c>
      <c r="B263" s="2">
        <f>YEAR(TRA[[#This Row],[date]])</f>
        <v>2022</v>
      </c>
      <c r="C263">
        <v>4678</v>
      </c>
      <c r="D263">
        <v>16412</v>
      </c>
      <c r="E263">
        <v>5414</v>
      </c>
      <c r="F263">
        <v>93</v>
      </c>
      <c r="G263">
        <v>67</v>
      </c>
    </row>
    <row r="264" spans="1:7" x14ac:dyDescent="0.2">
      <c r="A264" s="1">
        <v>44855</v>
      </c>
      <c r="B264" s="2">
        <f>YEAR(TRA[[#This Row],[date]])</f>
        <v>2022</v>
      </c>
      <c r="C264">
        <v>4246</v>
      </c>
      <c r="D264">
        <v>16224</v>
      </c>
      <c r="E264">
        <v>4936</v>
      </c>
      <c r="F264">
        <v>102</v>
      </c>
      <c r="G264">
        <v>73</v>
      </c>
    </row>
    <row r="265" spans="1:7" x14ac:dyDescent="0.2">
      <c r="A265" s="1">
        <v>44856</v>
      </c>
      <c r="B265" s="2">
        <f>YEAR(TRA[[#This Row],[date]])</f>
        <v>2022</v>
      </c>
      <c r="C265">
        <v>3716</v>
      </c>
      <c r="D265">
        <v>14263</v>
      </c>
      <c r="E265">
        <v>4255</v>
      </c>
      <c r="F265">
        <v>100</v>
      </c>
      <c r="G265">
        <v>65</v>
      </c>
    </row>
    <row r="266" spans="1:7" x14ac:dyDescent="0.2">
      <c r="A266" s="1">
        <v>44857</v>
      </c>
      <c r="B266" s="2">
        <f>YEAR(TRA[[#This Row],[date]])</f>
        <v>2022</v>
      </c>
      <c r="C266">
        <v>6353</v>
      </c>
      <c r="D266">
        <v>24953</v>
      </c>
      <c r="E266">
        <v>7257</v>
      </c>
      <c r="F266">
        <v>78</v>
      </c>
      <c r="G266">
        <v>65</v>
      </c>
    </row>
    <row r="267" spans="1:7" x14ac:dyDescent="0.2">
      <c r="A267" s="1">
        <v>44858</v>
      </c>
      <c r="B267" s="2">
        <f>YEAR(TRA[[#This Row],[date]])</f>
        <v>2022</v>
      </c>
      <c r="C267">
        <v>3377</v>
      </c>
      <c r="D267">
        <v>12692</v>
      </c>
      <c r="E267">
        <v>3977</v>
      </c>
      <c r="F267">
        <v>82</v>
      </c>
      <c r="G267">
        <v>86</v>
      </c>
    </row>
    <row r="268" spans="1:7" x14ac:dyDescent="0.2">
      <c r="A268" s="1">
        <v>44859</v>
      </c>
      <c r="B268" s="2">
        <f>YEAR(TRA[[#This Row],[date]])</f>
        <v>2022</v>
      </c>
      <c r="C268">
        <v>2040</v>
      </c>
      <c r="D268">
        <v>7907</v>
      </c>
      <c r="E268">
        <v>2443</v>
      </c>
      <c r="F268">
        <v>54</v>
      </c>
      <c r="G268">
        <v>121</v>
      </c>
    </row>
    <row r="269" spans="1:7" x14ac:dyDescent="0.2">
      <c r="A269" s="1">
        <v>44860</v>
      </c>
      <c r="B269" s="2">
        <f>YEAR(TRA[[#This Row],[date]])</f>
        <v>2022</v>
      </c>
      <c r="C269">
        <v>1811</v>
      </c>
      <c r="D269">
        <v>7009</v>
      </c>
      <c r="E269">
        <v>2222</v>
      </c>
      <c r="F269">
        <v>64</v>
      </c>
      <c r="G269">
        <v>121</v>
      </c>
    </row>
    <row r="270" spans="1:7" x14ac:dyDescent="0.2">
      <c r="A270" s="1">
        <v>44861</v>
      </c>
      <c r="B270" s="2">
        <f>YEAR(TRA[[#This Row],[date]])</f>
        <v>2022</v>
      </c>
      <c r="C270">
        <v>1680</v>
      </c>
      <c r="D270">
        <v>6546</v>
      </c>
      <c r="E270">
        <v>2035</v>
      </c>
      <c r="F270">
        <v>74</v>
      </c>
      <c r="G270">
        <v>142</v>
      </c>
    </row>
    <row r="271" spans="1:7" x14ac:dyDescent="0.2">
      <c r="A271" s="1">
        <v>44862</v>
      </c>
      <c r="B271" s="2">
        <f>YEAR(TRA[[#This Row],[date]])</f>
        <v>2022</v>
      </c>
      <c r="C271">
        <v>1305</v>
      </c>
      <c r="D271">
        <v>4586</v>
      </c>
      <c r="E271">
        <v>1514</v>
      </c>
      <c r="F271">
        <v>47</v>
      </c>
      <c r="G271">
        <v>85</v>
      </c>
    </row>
    <row r="272" spans="1:7" x14ac:dyDescent="0.2">
      <c r="A272" s="1">
        <v>44863</v>
      </c>
      <c r="B272" s="2">
        <f>YEAR(TRA[[#This Row],[date]])</f>
        <v>2022</v>
      </c>
      <c r="C272">
        <v>897</v>
      </c>
      <c r="D272">
        <v>3156</v>
      </c>
      <c r="E272">
        <v>1037</v>
      </c>
      <c r="F272">
        <v>55</v>
      </c>
      <c r="G272">
        <v>86</v>
      </c>
    </row>
    <row r="273" spans="1:7" x14ac:dyDescent="0.2">
      <c r="A273" s="1">
        <v>44864</v>
      </c>
      <c r="B273" s="2">
        <f>YEAR(TRA[[#This Row],[date]])</f>
        <v>2022</v>
      </c>
      <c r="C273">
        <v>972</v>
      </c>
      <c r="D273">
        <v>3496</v>
      </c>
      <c r="E273">
        <v>1116</v>
      </c>
      <c r="F273">
        <v>17</v>
      </c>
      <c r="G273">
        <v>70</v>
      </c>
    </row>
    <row r="274" spans="1:7" x14ac:dyDescent="0.2">
      <c r="A274" s="1">
        <v>44865</v>
      </c>
      <c r="B274" s="2">
        <f>YEAR(TRA[[#This Row],[date]])</f>
        <v>2022</v>
      </c>
      <c r="C274">
        <v>1251</v>
      </c>
      <c r="D274">
        <v>4734</v>
      </c>
      <c r="E274">
        <v>1543</v>
      </c>
      <c r="F274">
        <v>34</v>
      </c>
      <c r="G274">
        <v>91</v>
      </c>
    </row>
    <row r="275" spans="1:7" x14ac:dyDescent="0.2">
      <c r="A275" s="1">
        <v>44866</v>
      </c>
      <c r="B275" s="2">
        <f>YEAR(TRA[[#This Row],[date]])</f>
        <v>2022</v>
      </c>
      <c r="C275">
        <v>1517</v>
      </c>
      <c r="D275">
        <v>6560</v>
      </c>
      <c r="E275">
        <v>1887</v>
      </c>
      <c r="F275">
        <v>38</v>
      </c>
      <c r="G275">
        <v>133</v>
      </c>
    </row>
    <row r="276" spans="1:7" x14ac:dyDescent="0.2">
      <c r="A276" s="1">
        <v>44867</v>
      </c>
      <c r="B276" s="2">
        <f>YEAR(TRA[[#This Row],[date]])</f>
        <v>2022</v>
      </c>
      <c r="C276">
        <v>1612</v>
      </c>
      <c r="D276">
        <v>6107</v>
      </c>
      <c r="E276">
        <v>1940</v>
      </c>
      <c r="F276">
        <v>40</v>
      </c>
      <c r="G276">
        <v>97</v>
      </c>
    </row>
    <row r="277" spans="1:7" x14ac:dyDescent="0.2">
      <c r="A277" s="1">
        <v>44868</v>
      </c>
      <c r="B277" s="2">
        <f>YEAR(TRA[[#This Row],[date]])</f>
        <v>2022</v>
      </c>
      <c r="C277">
        <v>1409</v>
      </c>
      <c r="D277">
        <v>5882</v>
      </c>
      <c r="E277">
        <v>1774</v>
      </c>
      <c r="F277">
        <v>51</v>
      </c>
      <c r="G277">
        <v>119</v>
      </c>
    </row>
    <row r="278" spans="1:7" x14ac:dyDescent="0.2">
      <c r="A278" s="1">
        <v>44869</v>
      </c>
      <c r="B278" s="2">
        <f>YEAR(TRA[[#This Row],[date]])</f>
        <v>2022</v>
      </c>
      <c r="C278">
        <v>1147</v>
      </c>
      <c r="D278">
        <v>4383</v>
      </c>
      <c r="E278">
        <v>1398</v>
      </c>
      <c r="F278">
        <v>38</v>
      </c>
      <c r="G278">
        <v>98</v>
      </c>
    </row>
    <row r="279" spans="1:7" x14ac:dyDescent="0.2">
      <c r="A279" s="1">
        <v>44870</v>
      </c>
      <c r="B279" s="2">
        <f>YEAR(TRA[[#This Row],[date]])</f>
        <v>2022</v>
      </c>
      <c r="C279">
        <v>883</v>
      </c>
      <c r="D279">
        <v>3151</v>
      </c>
      <c r="E279">
        <v>1029</v>
      </c>
      <c r="F279">
        <v>49</v>
      </c>
      <c r="G279">
        <v>111</v>
      </c>
    </row>
    <row r="280" spans="1:7" x14ac:dyDescent="0.2">
      <c r="A280" s="1">
        <v>44871</v>
      </c>
      <c r="B280" s="2">
        <f>YEAR(TRA[[#This Row],[date]])</f>
        <v>2022</v>
      </c>
      <c r="C280">
        <v>916</v>
      </c>
      <c r="D280">
        <v>3350</v>
      </c>
      <c r="E280">
        <v>1089</v>
      </c>
      <c r="F280">
        <v>41</v>
      </c>
      <c r="G280">
        <v>88</v>
      </c>
    </row>
    <row r="281" spans="1:7" x14ac:dyDescent="0.2">
      <c r="A281" s="1">
        <v>44872</v>
      </c>
      <c r="B281" s="2">
        <f>YEAR(TRA[[#This Row],[date]])</f>
        <v>2022</v>
      </c>
      <c r="C281">
        <v>1521</v>
      </c>
      <c r="D281">
        <v>5130</v>
      </c>
      <c r="E281">
        <v>1726</v>
      </c>
      <c r="F281">
        <v>41</v>
      </c>
      <c r="G281">
        <v>82</v>
      </c>
    </row>
    <row r="282" spans="1:7" x14ac:dyDescent="0.2">
      <c r="A282" s="1">
        <v>44873</v>
      </c>
      <c r="B282" s="2">
        <f>YEAR(TRA[[#This Row],[date]])</f>
        <v>2022</v>
      </c>
      <c r="C282">
        <v>1332</v>
      </c>
      <c r="D282">
        <v>4876</v>
      </c>
      <c r="E282">
        <v>1583</v>
      </c>
      <c r="F282">
        <v>38</v>
      </c>
      <c r="G282">
        <v>78</v>
      </c>
    </row>
    <row r="283" spans="1:7" x14ac:dyDescent="0.2">
      <c r="A283" s="1">
        <v>44874</v>
      </c>
      <c r="B283" s="2">
        <f>YEAR(TRA[[#This Row],[date]])</f>
        <v>2022</v>
      </c>
      <c r="C283">
        <v>1233</v>
      </c>
      <c r="D283">
        <v>4585</v>
      </c>
      <c r="E283">
        <v>1479</v>
      </c>
      <c r="F283">
        <v>36</v>
      </c>
      <c r="G283">
        <v>93</v>
      </c>
    </row>
    <row r="284" spans="1:7" x14ac:dyDescent="0.2">
      <c r="A284" s="1">
        <v>44875</v>
      </c>
      <c r="B284" s="2">
        <f>YEAR(TRA[[#This Row],[date]])</f>
        <v>2022</v>
      </c>
      <c r="C284">
        <v>1413</v>
      </c>
      <c r="D284">
        <v>5606</v>
      </c>
      <c r="E284">
        <v>1767</v>
      </c>
      <c r="F284">
        <v>48</v>
      </c>
      <c r="G284">
        <v>89</v>
      </c>
    </row>
    <row r="285" spans="1:7" x14ac:dyDescent="0.2">
      <c r="A285" s="1">
        <v>44876</v>
      </c>
      <c r="B285" s="2">
        <f>YEAR(TRA[[#This Row],[date]])</f>
        <v>2022</v>
      </c>
      <c r="C285">
        <v>1068</v>
      </c>
      <c r="D285">
        <v>4047</v>
      </c>
      <c r="E285">
        <v>1293</v>
      </c>
      <c r="F285">
        <v>40</v>
      </c>
      <c r="G285">
        <v>106</v>
      </c>
    </row>
    <row r="286" spans="1:7" x14ac:dyDescent="0.2">
      <c r="A286" s="1">
        <v>44877</v>
      </c>
      <c r="B286" s="2">
        <f>YEAR(TRA[[#This Row],[date]])</f>
        <v>2022</v>
      </c>
      <c r="C286">
        <v>898</v>
      </c>
      <c r="D286">
        <v>3404</v>
      </c>
      <c r="E286">
        <v>1051</v>
      </c>
      <c r="F286">
        <v>51</v>
      </c>
      <c r="G286">
        <v>70</v>
      </c>
    </row>
    <row r="287" spans="1:7" x14ac:dyDescent="0.2">
      <c r="A287" s="1">
        <v>44878</v>
      </c>
      <c r="B287" s="2">
        <f>YEAR(TRA[[#This Row],[date]])</f>
        <v>2022</v>
      </c>
      <c r="C287">
        <v>1077</v>
      </c>
      <c r="D287">
        <v>3706</v>
      </c>
      <c r="E287">
        <v>1238</v>
      </c>
      <c r="F287">
        <v>31</v>
      </c>
      <c r="G287">
        <v>71</v>
      </c>
    </row>
    <row r="288" spans="1:7" x14ac:dyDescent="0.2">
      <c r="A288" s="1">
        <v>44879</v>
      </c>
      <c r="B288" s="2">
        <f>YEAR(TRA[[#This Row],[date]])</f>
        <v>2022</v>
      </c>
      <c r="C288">
        <v>2383</v>
      </c>
      <c r="D288">
        <v>8805</v>
      </c>
      <c r="E288">
        <v>2791</v>
      </c>
      <c r="F288">
        <v>282</v>
      </c>
      <c r="G288">
        <v>108</v>
      </c>
    </row>
    <row r="289" spans="1:7" x14ac:dyDescent="0.2">
      <c r="A289" s="1">
        <v>44880</v>
      </c>
      <c r="B289" s="2">
        <f>YEAR(TRA[[#This Row],[date]])</f>
        <v>2022</v>
      </c>
      <c r="C289">
        <v>21558</v>
      </c>
      <c r="D289">
        <v>73647</v>
      </c>
      <c r="E289">
        <v>23876</v>
      </c>
      <c r="F289">
        <v>1968</v>
      </c>
      <c r="G289">
        <v>69</v>
      </c>
    </row>
    <row r="290" spans="1:7" x14ac:dyDescent="0.2">
      <c r="A290" s="1">
        <v>44881</v>
      </c>
      <c r="B290" s="2">
        <f>YEAR(TRA[[#This Row],[date]])</f>
        <v>2022</v>
      </c>
      <c r="C290">
        <v>9843</v>
      </c>
      <c r="D290">
        <v>34442</v>
      </c>
      <c r="E290">
        <v>11247</v>
      </c>
      <c r="F290">
        <v>1226</v>
      </c>
      <c r="G290">
        <v>79</v>
      </c>
    </row>
    <row r="291" spans="1:7" x14ac:dyDescent="0.2">
      <c r="A291" s="1">
        <v>44882</v>
      </c>
      <c r="B291" s="2">
        <f>YEAR(TRA[[#This Row],[date]])</f>
        <v>2022</v>
      </c>
      <c r="C291">
        <v>7315</v>
      </c>
      <c r="D291">
        <v>24683</v>
      </c>
      <c r="E291">
        <v>8304</v>
      </c>
      <c r="F291">
        <v>1797</v>
      </c>
      <c r="G291">
        <v>99</v>
      </c>
    </row>
    <row r="292" spans="1:7" x14ac:dyDescent="0.2">
      <c r="A292" s="1">
        <v>44883</v>
      </c>
      <c r="B292" s="2">
        <f>YEAR(TRA[[#This Row],[date]])</f>
        <v>2022</v>
      </c>
      <c r="C292">
        <v>3882</v>
      </c>
      <c r="D292">
        <v>13079</v>
      </c>
      <c r="E292">
        <v>4587</v>
      </c>
      <c r="F292">
        <v>954</v>
      </c>
      <c r="G292">
        <v>94</v>
      </c>
    </row>
    <row r="293" spans="1:7" x14ac:dyDescent="0.2">
      <c r="A293" s="1">
        <v>44884</v>
      </c>
      <c r="B293" s="2">
        <f>YEAR(TRA[[#This Row],[date]])</f>
        <v>2022</v>
      </c>
      <c r="C293">
        <v>2425</v>
      </c>
      <c r="D293">
        <v>8359</v>
      </c>
      <c r="E293">
        <v>2814</v>
      </c>
      <c r="F293">
        <v>510</v>
      </c>
      <c r="G293">
        <v>90</v>
      </c>
    </row>
    <row r="294" spans="1:7" x14ac:dyDescent="0.2">
      <c r="A294" s="1">
        <v>44885</v>
      </c>
      <c r="B294" s="2">
        <f>YEAR(TRA[[#This Row],[date]])</f>
        <v>2022</v>
      </c>
      <c r="C294">
        <v>2476</v>
      </c>
      <c r="D294">
        <v>8463</v>
      </c>
      <c r="E294">
        <v>2855</v>
      </c>
      <c r="F294">
        <v>414</v>
      </c>
      <c r="G294">
        <v>81</v>
      </c>
    </row>
    <row r="295" spans="1:7" x14ac:dyDescent="0.2">
      <c r="A295" s="1">
        <v>44886</v>
      </c>
      <c r="B295" s="2">
        <f>YEAR(TRA[[#This Row],[date]])</f>
        <v>2022</v>
      </c>
      <c r="C295">
        <v>2454</v>
      </c>
      <c r="D295">
        <v>9306</v>
      </c>
      <c r="E295">
        <v>3034</v>
      </c>
      <c r="F295">
        <v>477</v>
      </c>
      <c r="G295">
        <v>97</v>
      </c>
    </row>
    <row r="296" spans="1:7" x14ac:dyDescent="0.2">
      <c r="A296" s="1">
        <v>44887</v>
      </c>
      <c r="B296" s="2">
        <f>YEAR(TRA[[#This Row],[date]])</f>
        <v>2022</v>
      </c>
      <c r="C296">
        <v>1947</v>
      </c>
      <c r="D296">
        <v>7482</v>
      </c>
      <c r="E296">
        <v>2387</v>
      </c>
      <c r="F296">
        <v>388</v>
      </c>
      <c r="G296">
        <v>111</v>
      </c>
    </row>
    <row r="297" spans="1:7" x14ac:dyDescent="0.2">
      <c r="A297" s="1">
        <v>44888</v>
      </c>
      <c r="B297" s="2">
        <f>YEAR(TRA[[#This Row],[date]])</f>
        <v>2022</v>
      </c>
      <c r="C297">
        <v>1490</v>
      </c>
      <c r="D297">
        <v>5636</v>
      </c>
      <c r="E297">
        <v>1758</v>
      </c>
      <c r="F297">
        <v>278</v>
      </c>
      <c r="G297">
        <v>124</v>
      </c>
    </row>
    <row r="298" spans="1:7" x14ac:dyDescent="0.2">
      <c r="A298" s="1">
        <v>44889</v>
      </c>
      <c r="B298" s="2">
        <f>YEAR(TRA[[#This Row],[date]])</f>
        <v>2022</v>
      </c>
      <c r="C298">
        <v>1111</v>
      </c>
      <c r="D298">
        <v>4097</v>
      </c>
      <c r="E298">
        <v>1335</v>
      </c>
      <c r="F298">
        <v>198</v>
      </c>
      <c r="G298">
        <v>137</v>
      </c>
    </row>
    <row r="299" spans="1:7" x14ac:dyDescent="0.2">
      <c r="A299" s="1">
        <v>44890</v>
      </c>
      <c r="B299" s="2">
        <f>YEAR(TRA[[#This Row],[date]])</f>
        <v>2022</v>
      </c>
      <c r="C299">
        <v>1092</v>
      </c>
      <c r="D299">
        <v>4166</v>
      </c>
      <c r="E299">
        <v>1290</v>
      </c>
      <c r="F299">
        <v>228</v>
      </c>
      <c r="G299">
        <v>117</v>
      </c>
    </row>
    <row r="300" spans="1:7" x14ac:dyDescent="0.2">
      <c r="A300" s="1">
        <v>44891</v>
      </c>
      <c r="B300" s="2">
        <f>YEAR(TRA[[#This Row],[date]])</f>
        <v>2022</v>
      </c>
      <c r="C300">
        <v>1070</v>
      </c>
      <c r="D300">
        <v>3823</v>
      </c>
      <c r="E300">
        <v>1230</v>
      </c>
      <c r="F300">
        <v>215</v>
      </c>
      <c r="G300">
        <v>94</v>
      </c>
    </row>
    <row r="301" spans="1:7" x14ac:dyDescent="0.2">
      <c r="A301" s="1">
        <v>44892</v>
      </c>
      <c r="B301" s="2">
        <f>YEAR(TRA[[#This Row],[date]])</f>
        <v>2022</v>
      </c>
      <c r="C301">
        <v>1038</v>
      </c>
      <c r="D301">
        <v>3748</v>
      </c>
      <c r="E301">
        <v>1196</v>
      </c>
      <c r="F301">
        <v>183</v>
      </c>
      <c r="G301">
        <v>135</v>
      </c>
    </row>
    <row r="302" spans="1:7" x14ac:dyDescent="0.2">
      <c r="A302" s="1">
        <v>44893</v>
      </c>
      <c r="B302" s="2">
        <f>YEAR(TRA[[#This Row],[date]])</f>
        <v>2022</v>
      </c>
      <c r="C302">
        <v>2179</v>
      </c>
      <c r="D302">
        <v>9463</v>
      </c>
      <c r="E302">
        <v>2739</v>
      </c>
      <c r="F302">
        <v>578</v>
      </c>
      <c r="G302">
        <v>160</v>
      </c>
    </row>
    <row r="303" spans="1:7" x14ac:dyDescent="0.2">
      <c r="A303" s="1">
        <v>44894</v>
      </c>
      <c r="B303" s="2">
        <f>YEAR(TRA[[#This Row],[date]])</f>
        <v>2022</v>
      </c>
      <c r="C303">
        <v>2047</v>
      </c>
      <c r="D303">
        <v>8804</v>
      </c>
      <c r="E303">
        <v>2586</v>
      </c>
      <c r="F303">
        <v>561</v>
      </c>
      <c r="G303">
        <v>165</v>
      </c>
    </row>
    <row r="304" spans="1:7" x14ac:dyDescent="0.2">
      <c r="A304" s="1">
        <v>44895</v>
      </c>
      <c r="B304" s="2">
        <f>YEAR(TRA[[#This Row],[date]])</f>
        <v>2022</v>
      </c>
      <c r="C304">
        <v>1812</v>
      </c>
      <c r="D304">
        <v>7907</v>
      </c>
      <c r="E304">
        <v>2330</v>
      </c>
      <c r="F304">
        <v>408</v>
      </c>
      <c r="G304">
        <v>165</v>
      </c>
    </row>
    <row r="305" spans="1:7" x14ac:dyDescent="0.2">
      <c r="A305" s="1">
        <v>44896</v>
      </c>
      <c r="B305" s="2">
        <f>YEAR(TRA[[#This Row],[date]])</f>
        <v>2022</v>
      </c>
      <c r="C305">
        <v>1651</v>
      </c>
      <c r="D305">
        <v>6934</v>
      </c>
      <c r="E305">
        <v>2127</v>
      </c>
      <c r="F305">
        <v>404</v>
      </c>
      <c r="G305">
        <v>145</v>
      </c>
    </row>
    <row r="306" spans="1:7" x14ac:dyDescent="0.2">
      <c r="A306" s="1">
        <v>44897</v>
      </c>
      <c r="B306" s="2">
        <f>YEAR(TRA[[#This Row],[date]])</f>
        <v>2022</v>
      </c>
      <c r="C306">
        <v>1392</v>
      </c>
      <c r="D306">
        <v>6520</v>
      </c>
      <c r="E306">
        <v>1755</v>
      </c>
      <c r="F306">
        <v>327</v>
      </c>
      <c r="G306">
        <v>188</v>
      </c>
    </row>
    <row r="307" spans="1:7" x14ac:dyDescent="0.2">
      <c r="A307" s="1">
        <v>44898</v>
      </c>
      <c r="B307" s="2">
        <f>YEAR(TRA[[#This Row],[date]])</f>
        <v>2022</v>
      </c>
      <c r="C307">
        <v>989</v>
      </c>
      <c r="D307">
        <v>3685</v>
      </c>
      <c r="E307">
        <v>1160</v>
      </c>
      <c r="F307">
        <v>224</v>
      </c>
      <c r="G307">
        <v>129</v>
      </c>
    </row>
    <row r="308" spans="1:7" x14ac:dyDescent="0.2">
      <c r="A308" s="1">
        <v>44899</v>
      </c>
      <c r="B308" s="2">
        <f>YEAR(TRA[[#This Row],[date]])</f>
        <v>2022</v>
      </c>
      <c r="C308">
        <v>1236</v>
      </c>
      <c r="D308">
        <v>5126</v>
      </c>
      <c r="E308">
        <v>1442</v>
      </c>
      <c r="F308">
        <v>207</v>
      </c>
      <c r="G308">
        <v>117</v>
      </c>
    </row>
    <row r="309" spans="1:7" x14ac:dyDescent="0.2">
      <c r="A309" s="1">
        <v>44900</v>
      </c>
      <c r="B309" s="2">
        <f>YEAR(TRA[[#This Row],[date]])</f>
        <v>2022</v>
      </c>
      <c r="C309">
        <v>1714</v>
      </c>
      <c r="D309">
        <v>7819</v>
      </c>
      <c r="E309">
        <v>2256</v>
      </c>
      <c r="F309">
        <v>430</v>
      </c>
      <c r="G309">
        <v>163</v>
      </c>
    </row>
    <row r="310" spans="1:7" x14ac:dyDescent="0.2">
      <c r="A310" s="1">
        <v>44901</v>
      </c>
      <c r="B310" s="2">
        <f>YEAR(TRA[[#This Row],[date]])</f>
        <v>2022</v>
      </c>
      <c r="C310">
        <v>2140</v>
      </c>
      <c r="D310">
        <v>9894</v>
      </c>
      <c r="E310">
        <v>2734</v>
      </c>
      <c r="F310">
        <v>539</v>
      </c>
      <c r="G310">
        <v>176</v>
      </c>
    </row>
    <row r="311" spans="1:7" x14ac:dyDescent="0.2">
      <c r="A311" s="1">
        <v>44902</v>
      </c>
      <c r="B311" s="2">
        <f>YEAR(TRA[[#This Row],[date]])</f>
        <v>2022</v>
      </c>
      <c r="C311">
        <v>4256</v>
      </c>
      <c r="D311">
        <v>29158</v>
      </c>
      <c r="E311">
        <v>6458</v>
      </c>
      <c r="F311">
        <v>1647</v>
      </c>
      <c r="G311">
        <v>350</v>
      </c>
    </row>
    <row r="312" spans="1:7" x14ac:dyDescent="0.2">
      <c r="A312" s="1">
        <v>44903</v>
      </c>
      <c r="B312" s="2">
        <f>YEAR(TRA[[#This Row],[date]])</f>
        <v>2022</v>
      </c>
      <c r="C312">
        <v>2053</v>
      </c>
      <c r="D312">
        <v>8875</v>
      </c>
      <c r="E312">
        <v>2665</v>
      </c>
      <c r="F312">
        <v>628</v>
      </c>
      <c r="G312">
        <v>160</v>
      </c>
    </row>
    <row r="313" spans="1:7" x14ac:dyDescent="0.2">
      <c r="A313" s="1">
        <v>44904</v>
      </c>
      <c r="B313" s="2">
        <f>YEAR(TRA[[#This Row],[date]])</f>
        <v>2022</v>
      </c>
      <c r="C313">
        <v>1598</v>
      </c>
      <c r="D313">
        <v>6460</v>
      </c>
      <c r="E313">
        <v>1995</v>
      </c>
      <c r="F313">
        <v>449</v>
      </c>
      <c r="G313">
        <v>152</v>
      </c>
    </row>
    <row r="314" spans="1:7" x14ac:dyDescent="0.2">
      <c r="A314" s="1">
        <v>44905</v>
      </c>
      <c r="B314" s="2">
        <f>YEAR(TRA[[#This Row],[date]])</f>
        <v>2022</v>
      </c>
      <c r="C314">
        <v>1065</v>
      </c>
      <c r="D314">
        <v>4000</v>
      </c>
      <c r="E314">
        <v>1268</v>
      </c>
      <c r="F314">
        <v>297</v>
      </c>
      <c r="G314">
        <v>138</v>
      </c>
    </row>
    <row r="315" spans="1:7" x14ac:dyDescent="0.2">
      <c r="A315" s="1">
        <v>44906</v>
      </c>
      <c r="B315" s="2">
        <f>YEAR(TRA[[#This Row],[date]])</f>
        <v>2022</v>
      </c>
      <c r="C315">
        <v>1003</v>
      </c>
      <c r="D315">
        <v>4198</v>
      </c>
      <c r="E315">
        <v>1218</v>
      </c>
      <c r="F315">
        <v>223</v>
      </c>
      <c r="G315">
        <v>128</v>
      </c>
    </row>
    <row r="316" spans="1:7" x14ac:dyDescent="0.2">
      <c r="A316" s="1">
        <v>44907</v>
      </c>
      <c r="B316" s="2">
        <f>YEAR(TRA[[#This Row],[date]])</f>
        <v>2022</v>
      </c>
      <c r="C316">
        <v>1784</v>
      </c>
      <c r="D316">
        <v>7476</v>
      </c>
      <c r="E316">
        <v>2213</v>
      </c>
      <c r="F316">
        <v>490</v>
      </c>
      <c r="G316">
        <v>152</v>
      </c>
    </row>
    <row r="317" spans="1:7" x14ac:dyDescent="0.2">
      <c r="A317" s="1">
        <v>44908</v>
      </c>
      <c r="B317" s="2">
        <f>YEAR(TRA[[#This Row],[date]])</f>
        <v>2022</v>
      </c>
      <c r="C317">
        <v>1850</v>
      </c>
      <c r="D317">
        <v>8109</v>
      </c>
      <c r="E317">
        <v>2304</v>
      </c>
      <c r="F317">
        <v>450</v>
      </c>
      <c r="G317">
        <v>154</v>
      </c>
    </row>
    <row r="318" spans="1:7" x14ac:dyDescent="0.2">
      <c r="A318" s="1">
        <v>44909</v>
      </c>
      <c r="B318" s="2">
        <f>YEAR(TRA[[#This Row],[date]])</f>
        <v>2022</v>
      </c>
      <c r="C318">
        <v>3850</v>
      </c>
      <c r="D318">
        <v>15743</v>
      </c>
      <c r="E318">
        <v>4722</v>
      </c>
      <c r="F318">
        <v>848</v>
      </c>
      <c r="G318">
        <v>144</v>
      </c>
    </row>
    <row r="319" spans="1:7" x14ac:dyDescent="0.2">
      <c r="A319" s="1">
        <v>44910</v>
      </c>
      <c r="B319" s="2">
        <f>YEAR(TRA[[#This Row],[date]])</f>
        <v>2022</v>
      </c>
      <c r="C319">
        <v>2863</v>
      </c>
      <c r="D319">
        <v>11821</v>
      </c>
      <c r="E319">
        <v>3439</v>
      </c>
      <c r="F319">
        <v>549</v>
      </c>
      <c r="G319">
        <v>132</v>
      </c>
    </row>
    <row r="320" spans="1:7" x14ac:dyDescent="0.2">
      <c r="A320" s="1">
        <v>44911</v>
      </c>
      <c r="B320" s="2">
        <f>YEAR(TRA[[#This Row],[date]])</f>
        <v>2022</v>
      </c>
      <c r="C320">
        <v>2070</v>
      </c>
      <c r="D320">
        <v>8804</v>
      </c>
      <c r="E320">
        <v>2513</v>
      </c>
      <c r="F320">
        <v>440</v>
      </c>
      <c r="G320">
        <v>166</v>
      </c>
    </row>
    <row r="321" spans="1:7" x14ac:dyDescent="0.2">
      <c r="A321" s="1">
        <v>44912</v>
      </c>
      <c r="B321" s="2">
        <f>YEAR(TRA[[#This Row],[date]])</f>
        <v>2022</v>
      </c>
      <c r="C321">
        <v>1452</v>
      </c>
      <c r="D321">
        <v>5647</v>
      </c>
      <c r="E321">
        <v>1736</v>
      </c>
      <c r="F321">
        <v>310</v>
      </c>
      <c r="G321">
        <v>111</v>
      </c>
    </row>
    <row r="322" spans="1:7" x14ac:dyDescent="0.2">
      <c r="A322" s="1">
        <v>44913</v>
      </c>
      <c r="B322" s="2">
        <f>YEAR(TRA[[#This Row],[date]])</f>
        <v>2022</v>
      </c>
      <c r="C322">
        <v>1309</v>
      </c>
      <c r="D322">
        <v>4985</v>
      </c>
      <c r="E322">
        <v>1580</v>
      </c>
      <c r="F322">
        <v>292</v>
      </c>
      <c r="G322">
        <v>106</v>
      </c>
    </row>
    <row r="323" spans="1:7" x14ac:dyDescent="0.2">
      <c r="A323" s="1">
        <v>44914</v>
      </c>
      <c r="B323" s="2">
        <f>YEAR(TRA[[#This Row],[date]])</f>
        <v>2022</v>
      </c>
      <c r="C323">
        <v>1693</v>
      </c>
      <c r="D323">
        <v>6783</v>
      </c>
      <c r="E323">
        <v>2100</v>
      </c>
      <c r="F323">
        <v>431</v>
      </c>
      <c r="G323">
        <v>170</v>
      </c>
    </row>
    <row r="324" spans="1:7" x14ac:dyDescent="0.2">
      <c r="A324" s="1">
        <v>44915</v>
      </c>
      <c r="B324" s="2">
        <f>YEAR(TRA[[#This Row],[date]])</f>
        <v>2022</v>
      </c>
      <c r="C324">
        <v>1743</v>
      </c>
      <c r="D324">
        <v>7171</v>
      </c>
      <c r="E324">
        <v>2178</v>
      </c>
      <c r="F324">
        <v>452</v>
      </c>
      <c r="G324">
        <v>164</v>
      </c>
    </row>
    <row r="325" spans="1:7" x14ac:dyDescent="0.2">
      <c r="A325" s="1">
        <v>44916</v>
      </c>
      <c r="B325" s="2">
        <f>YEAR(TRA[[#This Row],[date]])</f>
        <v>2022</v>
      </c>
      <c r="C325">
        <v>1890</v>
      </c>
      <c r="D325">
        <v>7597</v>
      </c>
      <c r="E325">
        <v>2372</v>
      </c>
      <c r="F325">
        <v>519</v>
      </c>
      <c r="G325">
        <v>151</v>
      </c>
    </row>
    <row r="326" spans="1:7" x14ac:dyDescent="0.2">
      <c r="A326" s="1">
        <v>44917</v>
      </c>
      <c r="B326" s="2">
        <f>YEAR(TRA[[#This Row],[date]])</f>
        <v>2022</v>
      </c>
      <c r="C326">
        <v>1544</v>
      </c>
      <c r="D326">
        <v>6421</v>
      </c>
      <c r="E326">
        <v>1894</v>
      </c>
      <c r="F326">
        <v>368</v>
      </c>
      <c r="G326">
        <v>156</v>
      </c>
    </row>
    <row r="327" spans="1:7" x14ac:dyDescent="0.2">
      <c r="A327" s="1">
        <v>44918</v>
      </c>
      <c r="B327" s="2">
        <f>YEAR(TRA[[#This Row],[date]])</f>
        <v>2022</v>
      </c>
      <c r="C327">
        <v>1198</v>
      </c>
      <c r="D327">
        <v>4302</v>
      </c>
      <c r="E327">
        <v>1433</v>
      </c>
      <c r="F327">
        <v>271</v>
      </c>
      <c r="G327">
        <v>99</v>
      </c>
    </row>
    <row r="328" spans="1:7" x14ac:dyDescent="0.2">
      <c r="A328" s="1">
        <v>44919</v>
      </c>
      <c r="B328" s="2">
        <f>YEAR(TRA[[#This Row],[date]])</f>
        <v>2022</v>
      </c>
      <c r="C328">
        <v>820</v>
      </c>
      <c r="D328">
        <v>3003</v>
      </c>
      <c r="E328">
        <v>981</v>
      </c>
      <c r="F328">
        <v>202</v>
      </c>
      <c r="G328">
        <v>116</v>
      </c>
    </row>
    <row r="329" spans="1:7" x14ac:dyDescent="0.2">
      <c r="A329" s="1">
        <v>44920</v>
      </c>
      <c r="B329" s="2">
        <f>YEAR(TRA[[#This Row],[date]])</f>
        <v>2022</v>
      </c>
      <c r="C329">
        <v>735</v>
      </c>
      <c r="D329">
        <v>3053</v>
      </c>
      <c r="E329">
        <v>873</v>
      </c>
      <c r="F329">
        <v>181</v>
      </c>
      <c r="G329">
        <v>163</v>
      </c>
    </row>
    <row r="330" spans="1:7" x14ac:dyDescent="0.2">
      <c r="A330" s="1">
        <v>44921</v>
      </c>
      <c r="B330" s="2">
        <f>YEAR(TRA[[#This Row],[date]])</f>
        <v>2022</v>
      </c>
      <c r="C330">
        <v>1062</v>
      </c>
      <c r="D330">
        <v>4284</v>
      </c>
      <c r="E330">
        <v>1270</v>
      </c>
      <c r="F330">
        <v>261</v>
      </c>
      <c r="G330">
        <v>149</v>
      </c>
    </row>
    <row r="331" spans="1:7" x14ac:dyDescent="0.2">
      <c r="A331" s="1">
        <v>44922</v>
      </c>
      <c r="B331" s="2">
        <f>YEAR(TRA[[#This Row],[date]])</f>
        <v>2022</v>
      </c>
      <c r="C331">
        <v>1204</v>
      </c>
      <c r="D331">
        <v>4983</v>
      </c>
      <c r="E331">
        <v>1437</v>
      </c>
      <c r="F331">
        <v>266</v>
      </c>
      <c r="G331">
        <v>160</v>
      </c>
    </row>
    <row r="332" spans="1:7" x14ac:dyDescent="0.2">
      <c r="A332" s="1">
        <v>44923</v>
      </c>
      <c r="B332" s="2">
        <f>YEAR(TRA[[#This Row],[date]])</f>
        <v>2022</v>
      </c>
      <c r="C332">
        <v>1741</v>
      </c>
      <c r="D332">
        <v>7374</v>
      </c>
      <c r="E332">
        <v>2155</v>
      </c>
      <c r="F332">
        <v>456</v>
      </c>
      <c r="G332">
        <v>190</v>
      </c>
    </row>
    <row r="333" spans="1:7" x14ac:dyDescent="0.2">
      <c r="A333" s="1">
        <v>44924</v>
      </c>
      <c r="B333" s="2">
        <f>YEAR(TRA[[#This Row],[date]])</f>
        <v>2022</v>
      </c>
      <c r="C333">
        <v>1621</v>
      </c>
      <c r="D333">
        <v>7079</v>
      </c>
      <c r="E333">
        <v>1986</v>
      </c>
      <c r="F333">
        <v>418</v>
      </c>
      <c r="G333">
        <v>221</v>
      </c>
    </row>
    <row r="334" spans="1:7" x14ac:dyDescent="0.2">
      <c r="A334" s="1">
        <v>44925</v>
      </c>
      <c r="B334" s="2">
        <f>YEAR(TRA[[#This Row],[date]])</f>
        <v>2022</v>
      </c>
      <c r="C334">
        <v>1407</v>
      </c>
      <c r="D334">
        <v>5356</v>
      </c>
      <c r="E334">
        <v>1678</v>
      </c>
      <c r="F334">
        <v>308</v>
      </c>
      <c r="G334">
        <v>164</v>
      </c>
    </row>
    <row r="335" spans="1:7" x14ac:dyDescent="0.2">
      <c r="A335" s="1">
        <v>44926</v>
      </c>
      <c r="B335" s="2">
        <f>YEAR(TRA[[#This Row],[date]])</f>
        <v>2022</v>
      </c>
      <c r="C335">
        <v>1107</v>
      </c>
      <c r="D335">
        <v>4012</v>
      </c>
      <c r="E335">
        <v>1301</v>
      </c>
      <c r="F335">
        <v>253</v>
      </c>
      <c r="G335">
        <v>90</v>
      </c>
    </row>
    <row r="336" spans="1:7" x14ac:dyDescent="0.2">
      <c r="A336" s="1">
        <v>44927</v>
      </c>
      <c r="B336" s="2">
        <f>YEAR(TRA[[#This Row],[date]])</f>
        <v>2023</v>
      </c>
      <c r="C336">
        <v>1290</v>
      </c>
      <c r="D336">
        <v>4887</v>
      </c>
      <c r="E336">
        <v>1522</v>
      </c>
      <c r="F336">
        <v>278</v>
      </c>
      <c r="G336">
        <v>124</v>
      </c>
    </row>
    <row r="337" spans="1:7" x14ac:dyDescent="0.2">
      <c r="A337" s="1">
        <v>44928</v>
      </c>
      <c r="B337" s="2">
        <f>YEAR(TRA[[#This Row],[date]])</f>
        <v>2023</v>
      </c>
      <c r="C337">
        <v>3208</v>
      </c>
      <c r="D337">
        <v>12519</v>
      </c>
      <c r="E337">
        <v>3840</v>
      </c>
      <c r="F337">
        <v>552</v>
      </c>
      <c r="G337">
        <v>124</v>
      </c>
    </row>
    <row r="338" spans="1:7" x14ac:dyDescent="0.2">
      <c r="A338" s="1">
        <v>44929</v>
      </c>
      <c r="B338" s="2">
        <f>YEAR(TRA[[#This Row],[date]])</f>
        <v>2023</v>
      </c>
      <c r="C338">
        <v>4813</v>
      </c>
      <c r="D338">
        <v>19933</v>
      </c>
      <c r="E338">
        <v>5920</v>
      </c>
      <c r="F338">
        <v>1096</v>
      </c>
      <c r="G338">
        <v>173</v>
      </c>
    </row>
    <row r="339" spans="1:7" x14ac:dyDescent="0.2">
      <c r="A339" s="1">
        <v>44930</v>
      </c>
      <c r="B339" s="2">
        <f>YEAR(TRA[[#This Row],[date]])</f>
        <v>2023</v>
      </c>
      <c r="C339">
        <v>7721</v>
      </c>
      <c r="D339">
        <v>30001</v>
      </c>
      <c r="E339">
        <v>9344</v>
      </c>
      <c r="F339">
        <v>1820</v>
      </c>
      <c r="G339">
        <v>130</v>
      </c>
    </row>
    <row r="340" spans="1:7" x14ac:dyDescent="0.2">
      <c r="A340" s="1">
        <v>44931</v>
      </c>
      <c r="B340" s="2">
        <f>YEAR(TRA[[#This Row],[date]])</f>
        <v>2023</v>
      </c>
      <c r="C340">
        <v>2661</v>
      </c>
      <c r="D340">
        <v>10505</v>
      </c>
      <c r="E340">
        <v>3206</v>
      </c>
      <c r="F340">
        <v>712</v>
      </c>
      <c r="G340">
        <v>127</v>
      </c>
    </row>
    <row r="341" spans="1:7" x14ac:dyDescent="0.2">
      <c r="A341" s="1">
        <v>44932</v>
      </c>
      <c r="B341" s="2">
        <f>YEAR(TRA[[#This Row],[date]])</f>
        <v>2023</v>
      </c>
      <c r="C341">
        <v>1871</v>
      </c>
      <c r="D341">
        <v>7882</v>
      </c>
      <c r="E341">
        <v>2295</v>
      </c>
      <c r="F341">
        <v>432</v>
      </c>
      <c r="G341">
        <v>145</v>
      </c>
    </row>
    <row r="342" spans="1:7" x14ac:dyDescent="0.2">
      <c r="A342" s="1">
        <v>44933</v>
      </c>
      <c r="B342" s="2">
        <f>YEAR(TRA[[#This Row],[date]])</f>
        <v>2023</v>
      </c>
      <c r="C342">
        <v>1202</v>
      </c>
      <c r="D342">
        <v>4420</v>
      </c>
      <c r="E342">
        <v>1423</v>
      </c>
      <c r="F342">
        <v>275</v>
      </c>
      <c r="G342">
        <v>113</v>
      </c>
    </row>
    <row r="343" spans="1:7" x14ac:dyDescent="0.2">
      <c r="A343" s="1">
        <v>44934</v>
      </c>
      <c r="B343" s="2">
        <f>YEAR(TRA[[#This Row],[date]])</f>
        <v>2023</v>
      </c>
      <c r="C343">
        <v>1294</v>
      </c>
      <c r="D343">
        <v>5143</v>
      </c>
      <c r="E343">
        <v>1503</v>
      </c>
      <c r="F343">
        <v>276</v>
      </c>
      <c r="G343">
        <v>129</v>
      </c>
    </row>
    <row r="344" spans="1:7" x14ac:dyDescent="0.2">
      <c r="A344" s="1">
        <v>44935</v>
      </c>
      <c r="B344" s="2">
        <f>YEAR(TRA[[#This Row],[date]])</f>
        <v>2023</v>
      </c>
      <c r="C344">
        <v>2131</v>
      </c>
      <c r="D344">
        <v>8856</v>
      </c>
      <c r="E344">
        <v>2562</v>
      </c>
      <c r="F344">
        <v>438</v>
      </c>
      <c r="G344">
        <v>133</v>
      </c>
    </row>
    <row r="345" spans="1:7" x14ac:dyDescent="0.2">
      <c r="A345" s="1">
        <v>44936</v>
      </c>
      <c r="B345" s="2">
        <f>YEAR(TRA[[#This Row],[date]])</f>
        <v>2023</v>
      </c>
      <c r="C345">
        <v>2341</v>
      </c>
      <c r="D345">
        <v>10018</v>
      </c>
      <c r="E345">
        <v>2852</v>
      </c>
      <c r="F345">
        <v>520</v>
      </c>
      <c r="G345">
        <v>157</v>
      </c>
    </row>
    <row r="346" spans="1:7" x14ac:dyDescent="0.2">
      <c r="A346" s="1">
        <v>44937</v>
      </c>
      <c r="B346" s="2">
        <f>YEAR(TRA[[#This Row],[date]])</f>
        <v>2023</v>
      </c>
      <c r="C346">
        <v>2389</v>
      </c>
      <c r="D346">
        <v>10388</v>
      </c>
      <c r="E346">
        <v>3020</v>
      </c>
      <c r="F346">
        <v>524</v>
      </c>
      <c r="G346">
        <v>142</v>
      </c>
    </row>
    <row r="347" spans="1:7" x14ac:dyDescent="0.2">
      <c r="A347" s="1">
        <v>44938</v>
      </c>
      <c r="B347" s="2">
        <f>YEAR(TRA[[#This Row],[date]])</f>
        <v>2023</v>
      </c>
      <c r="C347">
        <v>2062</v>
      </c>
      <c r="D347">
        <v>8428</v>
      </c>
      <c r="E347">
        <v>2582</v>
      </c>
      <c r="F347">
        <v>490</v>
      </c>
      <c r="G347">
        <v>136</v>
      </c>
    </row>
    <row r="348" spans="1:7" x14ac:dyDescent="0.2">
      <c r="A348" s="1">
        <v>44939</v>
      </c>
      <c r="B348" s="2">
        <f>YEAR(TRA[[#This Row],[date]])</f>
        <v>2023</v>
      </c>
      <c r="C348">
        <v>1902</v>
      </c>
      <c r="D348">
        <v>7908</v>
      </c>
      <c r="E348">
        <v>2390</v>
      </c>
      <c r="F348">
        <v>520</v>
      </c>
      <c r="G348">
        <v>146</v>
      </c>
    </row>
    <row r="349" spans="1:7" x14ac:dyDescent="0.2">
      <c r="A349" s="1">
        <v>44940</v>
      </c>
      <c r="B349" s="2">
        <f>YEAR(TRA[[#This Row],[date]])</f>
        <v>2023</v>
      </c>
      <c r="C349">
        <v>1284</v>
      </c>
      <c r="D349">
        <v>4952</v>
      </c>
      <c r="E349">
        <v>1577</v>
      </c>
      <c r="F349">
        <v>326</v>
      </c>
      <c r="G349">
        <v>120</v>
      </c>
    </row>
    <row r="350" spans="1:7" x14ac:dyDescent="0.2">
      <c r="A350" s="1">
        <v>44941</v>
      </c>
      <c r="B350" s="2">
        <f>YEAR(TRA[[#This Row],[date]])</f>
        <v>2023</v>
      </c>
      <c r="C350">
        <v>1334</v>
      </c>
      <c r="D350">
        <v>5448</v>
      </c>
      <c r="E350">
        <v>1656</v>
      </c>
      <c r="F350">
        <v>316</v>
      </c>
      <c r="G350">
        <v>124</v>
      </c>
    </row>
    <row r="351" spans="1:7" x14ac:dyDescent="0.2">
      <c r="A351" s="1">
        <v>44942</v>
      </c>
      <c r="B351" s="2">
        <f>YEAR(TRA[[#This Row],[date]])</f>
        <v>2023</v>
      </c>
      <c r="C351">
        <v>1456</v>
      </c>
      <c r="D351">
        <v>6463</v>
      </c>
      <c r="E351">
        <v>1858</v>
      </c>
      <c r="F351">
        <v>304</v>
      </c>
      <c r="G351">
        <v>166</v>
      </c>
    </row>
    <row r="352" spans="1:7" x14ac:dyDescent="0.2">
      <c r="A352" s="1">
        <v>44943</v>
      </c>
      <c r="B352" s="2">
        <f>YEAR(TRA[[#This Row],[date]])</f>
        <v>2023</v>
      </c>
      <c r="C352">
        <v>2209</v>
      </c>
      <c r="D352">
        <v>9858</v>
      </c>
      <c r="E352">
        <v>2806</v>
      </c>
      <c r="F352">
        <v>538</v>
      </c>
      <c r="G352">
        <v>159</v>
      </c>
    </row>
    <row r="353" spans="1:7" x14ac:dyDescent="0.2">
      <c r="A353" s="1">
        <v>44944</v>
      </c>
      <c r="B353" s="2">
        <f>YEAR(TRA[[#This Row],[date]])</f>
        <v>2023</v>
      </c>
      <c r="C353">
        <v>2252</v>
      </c>
      <c r="D353">
        <v>9380</v>
      </c>
      <c r="E353">
        <v>2841</v>
      </c>
      <c r="F353">
        <v>589</v>
      </c>
      <c r="G353">
        <v>154</v>
      </c>
    </row>
    <row r="354" spans="1:7" x14ac:dyDescent="0.2">
      <c r="A354" s="1">
        <v>44945</v>
      </c>
      <c r="B354" s="2">
        <f>YEAR(TRA[[#This Row],[date]])</f>
        <v>2023</v>
      </c>
      <c r="C354">
        <v>2150</v>
      </c>
      <c r="D354">
        <v>9507</v>
      </c>
      <c r="E354">
        <v>2700</v>
      </c>
      <c r="F354">
        <v>543</v>
      </c>
      <c r="G354">
        <v>153</v>
      </c>
    </row>
    <row r="355" spans="1:7" x14ac:dyDescent="0.2">
      <c r="A355" s="1">
        <v>44946</v>
      </c>
      <c r="B355" s="2">
        <f>YEAR(TRA[[#This Row],[date]])</f>
        <v>2023</v>
      </c>
      <c r="C355">
        <v>1938</v>
      </c>
      <c r="D355">
        <v>8322</v>
      </c>
      <c r="E355">
        <v>2440</v>
      </c>
      <c r="F355">
        <v>421</v>
      </c>
      <c r="G355">
        <v>172</v>
      </c>
    </row>
    <row r="356" spans="1:7" x14ac:dyDescent="0.2">
      <c r="A356" s="1">
        <v>44947</v>
      </c>
      <c r="B356" s="2">
        <f>YEAR(TRA[[#This Row],[date]])</f>
        <v>2023</v>
      </c>
      <c r="C356">
        <v>1431</v>
      </c>
      <c r="D356">
        <v>5560</v>
      </c>
      <c r="E356">
        <v>1741</v>
      </c>
      <c r="F356">
        <v>365</v>
      </c>
      <c r="G356">
        <v>130</v>
      </c>
    </row>
    <row r="357" spans="1:7" x14ac:dyDescent="0.2">
      <c r="A357" s="1">
        <v>44948</v>
      </c>
      <c r="B357" s="2">
        <f>YEAR(TRA[[#This Row],[date]])</f>
        <v>2023</v>
      </c>
      <c r="C357">
        <v>2325</v>
      </c>
      <c r="D357">
        <v>8399</v>
      </c>
      <c r="E357">
        <v>2757</v>
      </c>
      <c r="F357">
        <v>398</v>
      </c>
      <c r="G357">
        <v>100</v>
      </c>
    </row>
    <row r="358" spans="1:7" x14ac:dyDescent="0.2">
      <c r="A358" s="1">
        <v>44949</v>
      </c>
      <c r="B358" s="2">
        <f>YEAR(TRA[[#This Row],[date]])</f>
        <v>2023</v>
      </c>
      <c r="C358">
        <v>2627</v>
      </c>
      <c r="D358">
        <v>11517</v>
      </c>
      <c r="E358">
        <v>3303</v>
      </c>
      <c r="F358">
        <v>571</v>
      </c>
      <c r="G358">
        <v>162</v>
      </c>
    </row>
    <row r="359" spans="1:7" x14ac:dyDescent="0.2">
      <c r="A359" s="1">
        <v>44950</v>
      </c>
      <c r="B359" s="2">
        <f>YEAR(TRA[[#This Row],[date]])</f>
        <v>2023</v>
      </c>
      <c r="C359">
        <v>2842</v>
      </c>
      <c r="D359">
        <v>12622</v>
      </c>
      <c r="E359">
        <v>3558</v>
      </c>
      <c r="F359">
        <v>621</v>
      </c>
      <c r="G359">
        <v>160</v>
      </c>
    </row>
    <row r="360" spans="1:7" x14ac:dyDescent="0.2">
      <c r="A360" s="1">
        <v>44951</v>
      </c>
      <c r="B360" s="2">
        <f>YEAR(TRA[[#This Row],[date]])</f>
        <v>2023</v>
      </c>
      <c r="C360">
        <v>2919</v>
      </c>
      <c r="D360">
        <v>12116</v>
      </c>
      <c r="E360">
        <v>3674</v>
      </c>
      <c r="F360">
        <v>668</v>
      </c>
      <c r="G360">
        <v>146</v>
      </c>
    </row>
    <row r="361" spans="1:7" x14ac:dyDescent="0.2">
      <c r="A361" s="1">
        <v>44952</v>
      </c>
      <c r="B361" s="2">
        <f>YEAR(TRA[[#This Row],[date]])</f>
        <v>2023</v>
      </c>
      <c r="C361">
        <v>2786</v>
      </c>
      <c r="D361">
        <v>11842</v>
      </c>
      <c r="E361">
        <v>3447</v>
      </c>
      <c r="F361">
        <v>537</v>
      </c>
      <c r="G361">
        <v>155</v>
      </c>
    </row>
    <row r="362" spans="1:7" x14ac:dyDescent="0.2">
      <c r="A362" s="1">
        <v>44953</v>
      </c>
      <c r="B362" s="2">
        <f>YEAR(TRA[[#This Row],[date]])</f>
        <v>2023</v>
      </c>
      <c r="C362">
        <v>2382</v>
      </c>
      <c r="D362">
        <v>10047</v>
      </c>
      <c r="E362">
        <v>2996</v>
      </c>
      <c r="F362">
        <v>533</v>
      </c>
      <c r="G362">
        <v>148</v>
      </c>
    </row>
    <row r="363" spans="1:7" x14ac:dyDescent="0.2">
      <c r="A363" s="1">
        <v>44954</v>
      </c>
      <c r="B363" s="2">
        <f>YEAR(TRA[[#This Row],[date]])</f>
        <v>2023</v>
      </c>
      <c r="C363">
        <v>1706</v>
      </c>
      <c r="D363">
        <v>6936</v>
      </c>
      <c r="E363">
        <v>2080</v>
      </c>
      <c r="F363">
        <v>310</v>
      </c>
      <c r="G363">
        <v>132</v>
      </c>
    </row>
    <row r="364" spans="1:7" x14ac:dyDescent="0.2">
      <c r="A364" s="1">
        <v>44955</v>
      </c>
      <c r="B364" s="2">
        <f>YEAR(TRA[[#This Row],[date]])</f>
        <v>2023</v>
      </c>
      <c r="C364">
        <v>3212</v>
      </c>
      <c r="D364">
        <v>11975</v>
      </c>
      <c r="E364">
        <v>3830</v>
      </c>
      <c r="F364">
        <v>444</v>
      </c>
      <c r="G364">
        <v>98</v>
      </c>
    </row>
    <row r="365" spans="1:7" x14ac:dyDescent="0.2">
      <c r="A365" s="1">
        <v>44956</v>
      </c>
      <c r="B365" s="2">
        <f>YEAR(TRA[[#This Row],[date]])</f>
        <v>2023</v>
      </c>
      <c r="C365">
        <v>3958</v>
      </c>
      <c r="D365">
        <v>16517</v>
      </c>
      <c r="E365">
        <v>4883</v>
      </c>
      <c r="F365">
        <v>763</v>
      </c>
      <c r="G365">
        <v>149</v>
      </c>
    </row>
    <row r="366" spans="1:7" x14ac:dyDescent="0.2">
      <c r="A366" s="1">
        <v>44957</v>
      </c>
      <c r="B366" s="2">
        <f>YEAR(TRA[[#This Row],[date]])</f>
        <v>2023</v>
      </c>
      <c r="C366">
        <v>4051</v>
      </c>
      <c r="D366">
        <v>17993</v>
      </c>
      <c r="E366">
        <v>5114</v>
      </c>
      <c r="F366">
        <v>814</v>
      </c>
      <c r="G366">
        <v>152</v>
      </c>
    </row>
    <row r="367" spans="1:7" x14ac:dyDescent="0.2">
      <c r="A367" s="1">
        <v>44958</v>
      </c>
      <c r="B367" s="2">
        <f>YEAR(TRA[[#This Row],[date]])</f>
        <v>2023</v>
      </c>
      <c r="C367">
        <v>4393</v>
      </c>
      <c r="D367">
        <v>18337</v>
      </c>
      <c r="E367">
        <v>5354</v>
      </c>
      <c r="F367">
        <v>798</v>
      </c>
      <c r="G367">
        <v>137</v>
      </c>
    </row>
    <row r="368" spans="1:7" x14ac:dyDescent="0.2">
      <c r="A368" s="1">
        <v>44959</v>
      </c>
      <c r="B368" s="2">
        <f>YEAR(TRA[[#This Row],[date]])</f>
        <v>2023</v>
      </c>
      <c r="C368">
        <v>4851</v>
      </c>
      <c r="D368">
        <v>19186</v>
      </c>
      <c r="E368">
        <v>5815</v>
      </c>
      <c r="F368">
        <v>741</v>
      </c>
      <c r="G368">
        <v>126</v>
      </c>
    </row>
    <row r="369" spans="1:7" x14ac:dyDescent="0.2">
      <c r="A369" s="1">
        <v>44960</v>
      </c>
      <c r="B369" s="2">
        <f>YEAR(TRA[[#This Row],[date]])</f>
        <v>2023</v>
      </c>
      <c r="C369">
        <v>6366</v>
      </c>
      <c r="D369">
        <v>23321</v>
      </c>
      <c r="E369">
        <v>7448</v>
      </c>
      <c r="F369">
        <v>902</v>
      </c>
      <c r="G369">
        <v>96</v>
      </c>
    </row>
    <row r="370" spans="1:7" x14ac:dyDescent="0.2">
      <c r="A370" s="1">
        <v>44961</v>
      </c>
      <c r="B370" s="2">
        <f>YEAR(TRA[[#This Row],[date]])</f>
        <v>2023</v>
      </c>
      <c r="C370">
        <v>7618</v>
      </c>
      <c r="D370">
        <v>27906</v>
      </c>
      <c r="E370">
        <v>8796</v>
      </c>
      <c r="F370">
        <v>1118</v>
      </c>
      <c r="G370">
        <v>79</v>
      </c>
    </row>
    <row r="371" spans="1:7" x14ac:dyDescent="0.2">
      <c r="A371" s="1">
        <v>44962</v>
      </c>
      <c r="B371" s="2">
        <f>YEAR(TRA[[#This Row],[date]])</f>
        <v>2023</v>
      </c>
      <c r="C371">
        <v>65106</v>
      </c>
      <c r="D371">
        <v>180432</v>
      </c>
      <c r="E371">
        <v>69413</v>
      </c>
      <c r="F371">
        <v>15202</v>
      </c>
      <c r="G371">
        <v>56</v>
      </c>
    </row>
    <row r="372" spans="1:7" x14ac:dyDescent="0.2">
      <c r="A372" s="1">
        <v>44963</v>
      </c>
      <c r="B372" s="2">
        <f>YEAR(TRA[[#This Row],[date]])</f>
        <v>2023</v>
      </c>
      <c r="C372">
        <v>21736</v>
      </c>
      <c r="D372">
        <v>66012</v>
      </c>
      <c r="E372">
        <v>24058</v>
      </c>
      <c r="F372">
        <v>3953</v>
      </c>
      <c r="G372">
        <v>72</v>
      </c>
    </row>
    <row r="373" spans="1:7" x14ac:dyDescent="0.2">
      <c r="A373" s="1">
        <v>44964</v>
      </c>
      <c r="B373" s="2">
        <f>YEAR(TRA[[#This Row],[date]])</f>
        <v>2023</v>
      </c>
      <c r="C373">
        <v>9349</v>
      </c>
      <c r="D373">
        <v>30780</v>
      </c>
      <c r="E373">
        <v>10672</v>
      </c>
      <c r="F373">
        <v>2000</v>
      </c>
      <c r="G373">
        <v>99</v>
      </c>
    </row>
    <row r="374" spans="1:7" x14ac:dyDescent="0.2">
      <c r="A374" s="1">
        <v>44965</v>
      </c>
      <c r="B374" s="2">
        <f>YEAR(TRA[[#This Row],[date]])</f>
        <v>2023</v>
      </c>
      <c r="C374">
        <v>5839</v>
      </c>
      <c r="D374">
        <v>21176</v>
      </c>
      <c r="E374">
        <v>6944</v>
      </c>
      <c r="F374">
        <v>1318</v>
      </c>
      <c r="G374">
        <v>114</v>
      </c>
    </row>
    <row r="375" spans="1:7" x14ac:dyDescent="0.2">
      <c r="A375" s="1">
        <v>44966</v>
      </c>
      <c r="B375" s="2">
        <f>YEAR(TRA[[#This Row],[date]])</f>
        <v>2023</v>
      </c>
      <c r="C375">
        <v>4395</v>
      </c>
      <c r="D375">
        <v>16272</v>
      </c>
      <c r="E375">
        <v>5240</v>
      </c>
      <c r="F375">
        <v>1106</v>
      </c>
      <c r="G375">
        <v>126</v>
      </c>
    </row>
    <row r="376" spans="1:7" x14ac:dyDescent="0.2">
      <c r="A376" s="1">
        <v>44967</v>
      </c>
      <c r="B376" s="2">
        <f>YEAR(TRA[[#This Row],[date]])</f>
        <v>2023</v>
      </c>
      <c r="C376">
        <v>3178</v>
      </c>
      <c r="D376">
        <v>11740</v>
      </c>
      <c r="E376">
        <v>3831</v>
      </c>
      <c r="F376">
        <v>844</v>
      </c>
      <c r="G376">
        <v>142</v>
      </c>
    </row>
    <row r="377" spans="1:7" x14ac:dyDescent="0.2">
      <c r="A377" s="1">
        <v>44968</v>
      </c>
      <c r="B377" s="2">
        <f>YEAR(TRA[[#This Row],[date]])</f>
        <v>2023</v>
      </c>
      <c r="C377">
        <v>2485</v>
      </c>
      <c r="D377">
        <v>8561</v>
      </c>
      <c r="E377">
        <v>2879</v>
      </c>
      <c r="F377">
        <v>683</v>
      </c>
      <c r="G377">
        <v>148</v>
      </c>
    </row>
    <row r="378" spans="1:7" x14ac:dyDescent="0.2">
      <c r="A378" s="1">
        <v>44969</v>
      </c>
      <c r="B378" s="2">
        <f>YEAR(TRA[[#This Row],[date]])</f>
        <v>2023</v>
      </c>
      <c r="C378">
        <v>2243</v>
      </c>
      <c r="D378">
        <v>7739</v>
      </c>
      <c r="E378">
        <v>2591</v>
      </c>
      <c r="F378">
        <v>554</v>
      </c>
      <c r="G378">
        <v>139</v>
      </c>
    </row>
    <row r="379" spans="1:7" x14ac:dyDescent="0.2">
      <c r="A379" s="1">
        <v>44970</v>
      </c>
      <c r="B379" s="2">
        <f>YEAR(TRA[[#This Row],[date]])</f>
        <v>2023</v>
      </c>
      <c r="C379">
        <v>2815</v>
      </c>
      <c r="D379">
        <v>11892</v>
      </c>
      <c r="E379">
        <v>3553</v>
      </c>
      <c r="F379">
        <v>891</v>
      </c>
      <c r="G379">
        <v>187</v>
      </c>
    </row>
    <row r="380" spans="1:7" x14ac:dyDescent="0.2">
      <c r="A380" s="1">
        <v>44971</v>
      </c>
      <c r="B380" s="2">
        <f>YEAR(TRA[[#This Row],[date]])</f>
        <v>2023</v>
      </c>
      <c r="C380">
        <v>2617</v>
      </c>
      <c r="D380">
        <v>12639</v>
      </c>
      <c r="E380">
        <v>3377</v>
      </c>
      <c r="F380">
        <v>872</v>
      </c>
      <c r="G380">
        <v>198</v>
      </c>
    </row>
    <row r="381" spans="1:7" x14ac:dyDescent="0.2">
      <c r="A381" s="1">
        <v>44972</v>
      </c>
      <c r="B381" s="2">
        <f>YEAR(TRA[[#This Row],[date]])</f>
        <v>2023</v>
      </c>
      <c r="C381">
        <v>2835</v>
      </c>
      <c r="D381">
        <v>12653</v>
      </c>
      <c r="E381">
        <v>3742</v>
      </c>
      <c r="F381">
        <v>988</v>
      </c>
      <c r="G381">
        <v>182</v>
      </c>
    </row>
    <row r="382" spans="1:7" x14ac:dyDescent="0.2">
      <c r="A382" s="1">
        <v>44973</v>
      </c>
      <c r="B382" s="2">
        <f>YEAR(TRA[[#This Row],[date]])</f>
        <v>2023</v>
      </c>
      <c r="C382">
        <v>2910</v>
      </c>
      <c r="D382">
        <v>12080</v>
      </c>
      <c r="E382">
        <v>3656</v>
      </c>
      <c r="F382">
        <v>1082</v>
      </c>
      <c r="G382">
        <v>191</v>
      </c>
    </row>
    <row r="383" spans="1:7" x14ac:dyDescent="0.2">
      <c r="A383" s="1">
        <v>44974</v>
      </c>
      <c r="B383" s="2">
        <f>YEAR(TRA[[#This Row],[date]])</f>
        <v>2023</v>
      </c>
      <c r="C383">
        <v>2142</v>
      </c>
      <c r="D383">
        <v>8522</v>
      </c>
      <c r="E383">
        <v>2631</v>
      </c>
      <c r="F383">
        <v>758</v>
      </c>
      <c r="G383">
        <v>179</v>
      </c>
    </row>
    <row r="384" spans="1:7" x14ac:dyDescent="0.2">
      <c r="A384" s="1">
        <v>44975</v>
      </c>
      <c r="B384" s="2">
        <f>YEAR(TRA[[#This Row],[date]])</f>
        <v>2023</v>
      </c>
      <c r="C384">
        <v>1359</v>
      </c>
      <c r="D384">
        <v>5421</v>
      </c>
      <c r="E384">
        <v>1655</v>
      </c>
      <c r="F384">
        <v>430</v>
      </c>
      <c r="G384">
        <v>192</v>
      </c>
    </row>
    <row r="385" spans="1:7" x14ac:dyDescent="0.2">
      <c r="A385" s="1">
        <v>44976</v>
      </c>
      <c r="B385" s="2">
        <f>YEAR(TRA[[#This Row],[date]])</f>
        <v>2023</v>
      </c>
      <c r="C385">
        <v>1705</v>
      </c>
      <c r="D385">
        <v>6358</v>
      </c>
      <c r="E385">
        <v>2029</v>
      </c>
      <c r="F385">
        <v>623</v>
      </c>
      <c r="G385">
        <v>170</v>
      </c>
    </row>
    <row r="386" spans="1:7" x14ac:dyDescent="0.2">
      <c r="A386" s="1">
        <v>44977</v>
      </c>
      <c r="B386" s="2">
        <f>YEAR(TRA[[#This Row],[date]])</f>
        <v>2023</v>
      </c>
      <c r="C386">
        <v>1876</v>
      </c>
      <c r="D386">
        <v>7863</v>
      </c>
      <c r="E386">
        <v>2390</v>
      </c>
      <c r="F386">
        <v>659</v>
      </c>
      <c r="G386">
        <v>170</v>
      </c>
    </row>
    <row r="387" spans="1:7" x14ac:dyDescent="0.2">
      <c r="A387" s="1">
        <v>44978</v>
      </c>
      <c r="B387" s="2">
        <f>YEAR(TRA[[#This Row],[date]])</f>
        <v>2023</v>
      </c>
      <c r="C387">
        <v>2378</v>
      </c>
      <c r="D387">
        <v>10328</v>
      </c>
      <c r="E387">
        <v>3124</v>
      </c>
      <c r="F387">
        <v>929</v>
      </c>
      <c r="G387">
        <v>174</v>
      </c>
    </row>
    <row r="388" spans="1:7" x14ac:dyDescent="0.2">
      <c r="A388" s="1">
        <v>44979</v>
      </c>
      <c r="B388" s="2">
        <f>YEAR(TRA[[#This Row],[date]])</f>
        <v>2023</v>
      </c>
      <c r="C388">
        <v>2715</v>
      </c>
      <c r="D388">
        <v>11646</v>
      </c>
      <c r="E388">
        <v>3483</v>
      </c>
      <c r="F388">
        <v>1070</v>
      </c>
      <c r="G388">
        <v>182</v>
      </c>
    </row>
    <row r="389" spans="1:7" x14ac:dyDescent="0.2">
      <c r="A389" s="1">
        <v>44980</v>
      </c>
      <c r="B389" s="2">
        <f>YEAR(TRA[[#This Row],[date]])</f>
        <v>2023</v>
      </c>
      <c r="C389">
        <v>2387</v>
      </c>
      <c r="D389">
        <v>11081</v>
      </c>
      <c r="E389">
        <v>3118</v>
      </c>
      <c r="F389">
        <v>858</v>
      </c>
      <c r="G389">
        <v>203</v>
      </c>
    </row>
    <row r="390" spans="1:7" x14ac:dyDescent="0.2">
      <c r="A390" s="1">
        <v>44981</v>
      </c>
      <c r="B390" s="2">
        <f>YEAR(TRA[[#This Row],[date]])</f>
        <v>2023</v>
      </c>
      <c r="C390">
        <v>2049</v>
      </c>
      <c r="D390">
        <v>9244</v>
      </c>
      <c r="E390">
        <v>2659</v>
      </c>
      <c r="F390">
        <v>723</v>
      </c>
      <c r="G390">
        <v>190</v>
      </c>
    </row>
    <row r="391" spans="1:7" x14ac:dyDescent="0.2">
      <c r="A391" s="1">
        <v>44982</v>
      </c>
      <c r="B391" s="2">
        <f>YEAR(TRA[[#This Row],[date]])</f>
        <v>2023</v>
      </c>
      <c r="C391">
        <v>1355</v>
      </c>
      <c r="D391">
        <v>5747</v>
      </c>
      <c r="E391">
        <v>1718</v>
      </c>
      <c r="F391">
        <v>446</v>
      </c>
      <c r="G391">
        <v>179</v>
      </c>
    </row>
    <row r="392" spans="1:7" x14ac:dyDescent="0.2">
      <c r="A392" s="1">
        <v>44983</v>
      </c>
      <c r="B392" s="2">
        <f>YEAR(TRA[[#This Row],[date]])</f>
        <v>2023</v>
      </c>
      <c r="C392">
        <v>1537</v>
      </c>
      <c r="D392">
        <v>7705</v>
      </c>
      <c r="E392">
        <v>1964</v>
      </c>
      <c r="F392">
        <v>526</v>
      </c>
      <c r="G392">
        <v>212</v>
      </c>
    </row>
    <row r="393" spans="1:7" x14ac:dyDescent="0.2">
      <c r="A393" s="1">
        <v>44984</v>
      </c>
      <c r="B393" s="2">
        <f>YEAR(TRA[[#This Row],[date]])</f>
        <v>2023</v>
      </c>
      <c r="C393">
        <v>2940</v>
      </c>
      <c r="D393">
        <v>17107</v>
      </c>
      <c r="E393">
        <v>4185</v>
      </c>
      <c r="F393">
        <v>1176</v>
      </c>
      <c r="G393">
        <v>287</v>
      </c>
    </row>
    <row r="394" spans="1:7" x14ac:dyDescent="0.2">
      <c r="A394" s="1">
        <v>44985</v>
      </c>
      <c r="B394" s="2">
        <f>YEAR(TRA[[#This Row],[date]])</f>
        <v>2023</v>
      </c>
      <c r="C394">
        <v>3627</v>
      </c>
      <c r="D394">
        <v>22170</v>
      </c>
      <c r="E394">
        <v>5350</v>
      </c>
      <c r="F394">
        <v>1548</v>
      </c>
      <c r="G394">
        <v>294</v>
      </c>
    </row>
    <row r="395" spans="1:7" x14ac:dyDescent="0.2">
      <c r="A395" s="1">
        <v>44986</v>
      </c>
      <c r="B395" s="2">
        <f>YEAR(TRA[[#This Row],[date]])</f>
        <v>2023</v>
      </c>
      <c r="C395">
        <v>3171</v>
      </c>
      <c r="D395">
        <v>18295</v>
      </c>
      <c r="E395">
        <v>4468</v>
      </c>
      <c r="F395">
        <v>1284</v>
      </c>
      <c r="G395">
        <v>261</v>
      </c>
    </row>
    <row r="396" spans="1:7" x14ac:dyDescent="0.2">
      <c r="A396" s="1">
        <v>44987</v>
      </c>
      <c r="B396" s="2">
        <f>YEAR(TRA[[#This Row],[date]])</f>
        <v>2023</v>
      </c>
      <c r="C396">
        <v>2612</v>
      </c>
      <c r="D396">
        <v>10955</v>
      </c>
      <c r="E396">
        <v>3245</v>
      </c>
      <c r="F396">
        <v>761</v>
      </c>
      <c r="G396">
        <v>161</v>
      </c>
    </row>
    <row r="397" spans="1:7" x14ac:dyDescent="0.2">
      <c r="A397" s="1">
        <v>44988</v>
      </c>
      <c r="B397" s="2">
        <f>YEAR(TRA[[#This Row],[date]])</f>
        <v>2023</v>
      </c>
      <c r="C397">
        <v>2364</v>
      </c>
      <c r="D397">
        <v>9465</v>
      </c>
      <c r="E397">
        <v>2898</v>
      </c>
      <c r="F397">
        <v>699</v>
      </c>
      <c r="G397">
        <v>157</v>
      </c>
    </row>
    <row r="398" spans="1:7" x14ac:dyDescent="0.2">
      <c r="A398" s="1">
        <v>44989</v>
      </c>
      <c r="B398" s="2">
        <f>YEAR(TRA[[#This Row],[date]])</f>
        <v>2023</v>
      </c>
      <c r="C398">
        <v>1644</v>
      </c>
      <c r="D398">
        <v>6164</v>
      </c>
      <c r="E398">
        <v>1942</v>
      </c>
      <c r="F398">
        <v>491</v>
      </c>
      <c r="G398">
        <v>148</v>
      </c>
    </row>
    <row r="399" spans="1:7" x14ac:dyDescent="0.2">
      <c r="A399" s="1">
        <v>44990</v>
      </c>
      <c r="B399" s="2">
        <f>YEAR(TRA[[#This Row],[date]])</f>
        <v>2023</v>
      </c>
      <c r="C399">
        <v>1160</v>
      </c>
      <c r="D399">
        <v>4484</v>
      </c>
      <c r="E399">
        <v>1390</v>
      </c>
      <c r="F399">
        <v>345</v>
      </c>
      <c r="G399">
        <v>132</v>
      </c>
    </row>
    <row r="400" spans="1:7" x14ac:dyDescent="0.2">
      <c r="A400" s="1">
        <v>44991</v>
      </c>
      <c r="B400" s="2">
        <f>YEAR(TRA[[#This Row],[date]])</f>
        <v>2023</v>
      </c>
      <c r="C400">
        <v>1835</v>
      </c>
      <c r="D400">
        <v>8505</v>
      </c>
      <c r="E400">
        <v>2386</v>
      </c>
      <c r="F400">
        <v>525</v>
      </c>
      <c r="G400">
        <v>188</v>
      </c>
    </row>
    <row r="401" spans="1:7" x14ac:dyDescent="0.2">
      <c r="A401" s="1">
        <v>44992</v>
      </c>
      <c r="B401" s="2">
        <f>YEAR(TRA[[#This Row],[date]])</f>
        <v>2023</v>
      </c>
      <c r="C401">
        <v>2104</v>
      </c>
      <c r="D401">
        <v>9600</v>
      </c>
      <c r="E401">
        <v>2649</v>
      </c>
      <c r="F401">
        <v>532</v>
      </c>
      <c r="G401">
        <v>192</v>
      </c>
    </row>
    <row r="402" spans="1:7" x14ac:dyDescent="0.2">
      <c r="A402" s="1">
        <v>44993</v>
      </c>
      <c r="B402" s="2">
        <f>YEAR(TRA[[#This Row],[date]])</f>
        <v>2023</v>
      </c>
      <c r="C402">
        <v>2020</v>
      </c>
      <c r="D402">
        <v>8962</v>
      </c>
      <c r="E402">
        <v>2642</v>
      </c>
      <c r="F402">
        <v>496</v>
      </c>
      <c r="G402">
        <v>167</v>
      </c>
    </row>
    <row r="403" spans="1:7" x14ac:dyDescent="0.2">
      <c r="A403" s="1">
        <v>44994</v>
      </c>
      <c r="B403" s="2">
        <f>YEAR(TRA[[#This Row],[date]])</f>
        <v>2023</v>
      </c>
      <c r="C403">
        <v>1859</v>
      </c>
      <c r="D403">
        <v>8820</v>
      </c>
      <c r="E403">
        <v>2432</v>
      </c>
      <c r="F403">
        <v>513</v>
      </c>
      <c r="G403">
        <v>205</v>
      </c>
    </row>
    <row r="404" spans="1:7" x14ac:dyDescent="0.2">
      <c r="A404" s="1">
        <v>44995</v>
      </c>
      <c r="B404" s="2">
        <f>YEAR(TRA[[#This Row],[date]])</f>
        <v>2023</v>
      </c>
      <c r="C404">
        <v>1807</v>
      </c>
      <c r="D404">
        <v>8612</v>
      </c>
      <c r="E404">
        <v>2319</v>
      </c>
      <c r="F404">
        <v>517</v>
      </c>
      <c r="G404">
        <v>198</v>
      </c>
    </row>
    <row r="405" spans="1:7" x14ac:dyDescent="0.2">
      <c r="A405" s="1">
        <v>44996</v>
      </c>
      <c r="B405" s="2">
        <f>YEAR(TRA[[#This Row],[date]])</f>
        <v>2023</v>
      </c>
      <c r="C405">
        <v>1063</v>
      </c>
      <c r="D405">
        <v>4907</v>
      </c>
      <c r="E405">
        <v>1335</v>
      </c>
      <c r="F405">
        <v>321</v>
      </c>
      <c r="G405">
        <v>162</v>
      </c>
    </row>
    <row r="406" spans="1:7" x14ac:dyDescent="0.2">
      <c r="A406" s="1">
        <v>44997</v>
      </c>
      <c r="B406" s="2">
        <f>YEAR(TRA[[#This Row],[date]])</f>
        <v>2023</v>
      </c>
      <c r="C406">
        <v>1509</v>
      </c>
      <c r="D406">
        <v>7113</v>
      </c>
      <c r="E406">
        <v>1824</v>
      </c>
      <c r="F406">
        <v>382</v>
      </c>
      <c r="G406">
        <v>171</v>
      </c>
    </row>
    <row r="407" spans="1:7" x14ac:dyDescent="0.2">
      <c r="A407" s="1">
        <v>44998</v>
      </c>
      <c r="B407" s="2">
        <f>YEAR(TRA[[#This Row],[date]])</f>
        <v>2023</v>
      </c>
      <c r="C407">
        <v>2238</v>
      </c>
      <c r="D407">
        <v>11259</v>
      </c>
      <c r="E407">
        <v>2916</v>
      </c>
      <c r="F407">
        <v>674</v>
      </c>
      <c r="G407">
        <v>235</v>
      </c>
    </row>
    <row r="408" spans="1:7" x14ac:dyDescent="0.2">
      <c r="A408" s="1">
        <v>44999</v>
      </c>
      <c r="B408" s="2">
        <f>YEAR(TRA[[#This Row],[date]])</f>
        <v>2023</v>
      </c>
      <c r="C408">
        <v>1694</v>
      </c>
      <c r="D408">
        <v>7278</v>
      </c>
      <c r="E408">
        <v>2158</v>
      </c>
      <c r="F408">
        <v>472</v>
      </c>
      <c r="G408">
        <v>158</v>
      </c>
    </row>
    <row r="409" spans="1:7" x14ac:dyDescent="0.2">
      <c r="A409" s="1">
        <v>45000</v>
      </c>
      <c r="B409" s="2">
        <f>YEAR(TRA[[#This Row],[date]])</f>
        <v>2023</v>
      </c>
      <c r="C409">
        <v>1780</v>
      </c>
      <c r="D409">
        <v>7599</v>
      </c>
      <c r="E409">
        <v>2258</v>
      </c>
      <c r="F409">
        <v>504</v>
      </c>
      <c r="G409">
        <v>189</v>
      </c>
    </row>
    <row r="410" spans="1:7" x14ac:dyDescent="0.2">
      <c r="A410" s="1">
        <v>45001</v>
      </c>
      <c r="B410" s="2">
        <f>YEAR(TRA[[#This Row],[date]])</f>
        <v>2023</v>
      </c>
      <c r="C410">
        <v>1599</v>
      </c>
      <c r="D410">
        <v>6712</v>
      </c>
      <c r="E410">
        <v>1981</v>
      </c>
      <c r="F410">
        <v>388</v>
      </c>
      <c r="G410">
        <v>164</v>
      </c>
    </row>
    <row r="411" spans="1:7" x14ac:dyDescent="0.2">
      <c r="A411" s="1">
        <v>45002</v>
      </c>
      <c r="B411" s="2">
        <f>YEAR(TRA[[#This Row],[date]])</f>
        <v>2023</v>
      </c>
      <c r="C411">
        <v>1279</v>
      </c>
      <c r="D411">
        <v>5255</v>
      </c>
      <c r="E411">
        <v>1603</v>
      </c>
      <c r="F411">
        <v>332</v>
      </c>
      <c r="G411">
        <v>145</v>
      </c>
    </row>
    <row r="412" spans="1:7" x14ac:dyDescent="0.2">
      <c r="A412" s="1">
        <v>45003</v>
      </c>
      <c r="B412" s="2">
        <f>YEAR(TRA[[#This Row],[date]])</f>
        <v>2023</v>
      </c>
      <c r="C412">
        <v>812</v>
      </c>
      <c r="D412">
        <v>3279</v>
      </c>
      <c r="E412">
        <v>982</v>
      </c>
      <c r="F412">
        <v>222</v>
      </c>
      <c r="G412">
        <v>152</v>
      </c>
    </row>
    <row r="413" spans="1:7" x14ac:dyDescent="0.2">
      <c r="A413" s="1">
        <v>45004</v>
      </c>
      <c r="B413" s="2">
        <f>YEAR(TRA[[#This Row],[date]])</f>
        <v>2023</v>
      </c>
      <c r="C413">
        <v>833</v>
      </c>
      <c r="D413">
        <v>3263</v>
      </c>
      <c r="E413">
        <v>1022</v>
      </c>
      <c r="F413">
        <v>212</v>
      </c>
      <c r="G413">
        <v>152</v>
      </c>
    </row>
    <row r="414" spans="1:7" x14ac:dyDescent="0.2">
      <c r="A414" s="1">
        <v>45005</v>
      </c>
      <c r="B414" s="2">
        <f>YEAR(TRA[[#This Row],[date]])</f>
        <v>2023</v>
      </c>
      <c r="C414">
        <v>1490</v>
      </c>
      <c r="D414">
        <v>6745</v>
      </c>
      <c r="E414">
        <v>1901</v>
      </c>
      <c r="F414">
        <v>358</v>
      </c>
      <c r="G414">
        <v>177</v>
      </c>
    </row>
    <row r="415" spans="1:7" x14ac:dyDescent="0.2">
      <c r="A415" s="1">
        <v>45006</v>
      </c>
      <c r="B415" s="2">
        <f>YEAR(TRA[[#This Row],[date]])</f>
        <v>2023</v>
      </c>
      <c r="C415">
        <v>1470</v>
      </c>
      <c r="D415">
        <v>6400</v>
      </c>
      <c r="E415">
        <v>1841</v>
      </c>
      <c r="F415">
        <v>382</v>
      </c>
      <c r="G415">
        <v>171</v>
      </c>
    </row>
    <row r="416" spans="1:7" x14ac:dyDescent="0.2">
      <c r="A416" s="1">
        <v>45007</v>
      </c>
      <c r="B416" s="2">
        <f>YEAR(TRA[[#This Row],[date]])</f>
        <v>2023</v>
      </c>
      <c r="C416">
        <v>1529</v>
      </c>
      <c r="D416">
        <v>6197</v>
      </c>
      <c r="E416">
        <v>1895</v>
      </c>
      <c r="F416">
        <v>390</v>
      </c>
      <c r="G416">
        <v>150</v>
      </c>
    </row>
    <row r="417" spans="1:7" x14ac:dyDescent="0.2">
      <c r="A417" s="1">
        <v>45008</v>
      </c>
      <c r="B417" s="2">
        <f>YEAR(TRA[[#This Row],[date]])</f>
        <v>2023</v>
      </c>
      <c r="C417">
        <v>1922</v>
      </c>
      <c r="D417">
        <v>9078</v>
      </c>
      <c r="E417">
        <v>2559</v>
      </c>
      <c r="F417">
        <v>625</v>
      </c>
      <c r="G417">
        <v>197</v>
      </c>
    </row>
    <row r="418" spans="1:7" x14ac:dyDescent="0.2">
      <c r="A418" s="1">
        <v>45009</v>
      </c>
      <c r="B418" s="2">
        <f>YEAR(TRA[[#This Row],[date]])</f>
        <v>2023</v>
      </c>
      <c r="C418">
        <v>1983</v>
      </c>
      <c r="D418">
        <v>9327</v>
      </c>
      <c r="E418">
        <v>2487</v>
      </c>
      <c r="F418">
        <v>523</v>
      </c>
      <c r="G418">
        <v>196</v>
      </c>
    </row>
    <row r="419" spans="1:7" x14ac:dyDescent="0.2">
      <c r="A419" s="1">
        <v>45010</v>
      </c>
      <c r="B419" s="2">
        <f>YEAR(TRA[[#This Row],[date]])</f>
        <v>2023</v>
      </c>
      <c r="C419">
        <v>1085</v>
      </c>
      <c r="D419">
        <v>4221</v>
      </c>
      <c r="E419">
        <v>1317</v>
      </c>
      <c r="F419">
        <v>314</v>
      </c>
      <c r="G419">
        <v>141</v>
      </c>
    </row>
    <row r="420" spans="1:7" x14ac:dyDescent="0.2">
      <c r="A420" s="1">
        <v>45011</v>
      </c>
      <c r="B420" s="2">
        <f>YEAR(TRA[[#This Row],[date]])</f>
        <v>2023</v>
      </c>
      <c r="C420">
        <v>957</v>
      </c>
      <c r="D420">
        <v>3684</v>
      </c>
      <c r="E420">
        <v>1152</v>
      </c>
      <c r="F420">
        <v>225</v>
      </c>
      <c r="G420">
        <v>129</v>
      </c>
    </row>
    <row r="421" spans="1:7" x14ac:dyDescent="0.2">
      <c r="A421" s="1">
        <v>45012</v>
      </c>
      <c r="B421" s="2">
        <f>YEAR(TRA[[#This Row],[date]])</f>
        <v>2023</v>
      </c>
      <c r="C421">
        <v>1897</v>
      </c>
      <c r="D421">
        <v>8613</v>
      </c>
      <c r="E421">
        <v>2388</v>
      </c>
      <c r="F421">
        <v>508</v>
      </c>
      <c r="G421">
        <v>174</v>
      </c>
    </row>
    <row r="422" spans="1:7" x14ac:dyDescent="0.2">
      <c r="A422" s="1">
        <v>45013</v>
      </c>
      <c r="B422" s="2">
        <f>YEAR(TRA[[#This Row],[date]])</f>
        <v>2023</v>
      </c>
      <c r="C422">
        <v>1859</v>
      </c>
      <c r="D422">
        <v>8552</v>
      </c>
      <c r="E422">
        <v>2370</v>
      </c>
      <c r="F422">
        <v>511</v>
      </c>
      <c r="G422">
        <v>180</v>
      </c>
    </row>
    <row r="423" spans="1:7" x14ac:dyDescent="0.2">
      <c r="A423" s="1">
        <v>45014</v>
      </c>
      <c r="B423" s="2">
        <f>YEAR(TRA[[#This Row],[date]])</f>
        <v>2023</v>
      </c>
      <c r="C423">
        <v>1747</v>
      </c>
      <c r="D423">
        <v>7756</v>
      </c>
      <c r="E423">
        <v>2249</v>
      </c>
      <c r="F423">
        <v>543</v>
      </c>
      <c r="G423">
        <v>178</v>
      </c>
    </row>
    <row r="424" spans="1:7" x14ac:dyDescent="0.2">
      <c r="A424" s="1">
        <v>45015</v>
      </c>
      <c r="B424" s="2">
        <f>YEAR(TRA[[#This Row],[date]])</f>
        <v>2023</v>
      </c>
      <c r="C424">
        <v>1912</v>
      </c>
      <c r="D424">
        <v>9086</v>
      </c>
      <c r="E424">
        <v>2426</v>
      </c>
      <c r="F424">
        <v>493</v>
      </c>
      <c r="G424">
        <v>157</v>
      </c>
    </row>
    <row r="425" spans="1:7" x14ac:dyDescent="0.2">
      <c r="A425" s="1">
        <v>45016</v>
      </c>
      <c r="B425" s="2">
        <f>YEAR(TRA[[#This Row],[date]])</f>
        <v>2023</v>
      </c>
      <c r="C425">
        <v>1644</v>
      </c>
      <c r="D425">
        <v>7025</v>
      </c>
      <c r="E425">
        <v>2066</v>
      </c>
      <c r="F425">
        <v>529</v>
      </c>
      <c r="G425">
        <v>177</v>
      </c>
    </row>
    <row r="426" spans="1:7" x14ac:dyDescent="0.2">
      <c r="A426" s="1">
        <v>45017</v>
      </c>
      <c r="B426" s="2">
        <f>YEAR(TRA[[#This Row],[date]])</f>
        <v>2023</v>
      </c>
      <c r="C426">
        <v>964</v>
      </c>
      <c r="D426">
        <v>3554</v>
      </c>
      <c r="E426">
        <v>1164</v>
      </c>
      <c r="F426">
        <v>303</v>
      </c>
      <c r="G426">
        <v>148</v>
      </c>
    </row>
    <row r="427" spans="1:7" x14ac:dyDescent="0.2">
      <c r="A427" s="1">
        <v>45018</v>
      </c>
      <c r="B427" s="2">
        <f>YEAR(TRA[[#This Row],[date]])</f>
        <v>2023</v>
      </c>
      <c r="C427">
        <v>878</v>
      </c>
      <c r="D427">
        <v>3389</v>
      </c>
      <c r="E427">
        <v>1069</v>
      </c>
      <c r="F427">
        <v>231</v>
      </c>
      <c r="G427">
        <v>117</v>
      </c>
    </row>
    <row r="428" spans="1:7" x14ac:dyDescent="0.2">
      <c r="A428" s="1">
        <v>45019</v>
      </c>
      <c r="B428" s="2">
        <f>YEAR(TRA[[#This Row],[date]])</f>
        <v>2023</v>
      </c>
      <c r="C428">
        <v>1822</v>
      </c>
      <c r="D428">
        <v>8136</v>
      </c>
      <c r="E428">
        <v>2319</v>
      </c>
      <c r="F428">
        <v>427</v>
      </c>
      <c r="G428">
        <v>185</v>
      </c>
    </row>
    <row r="429" spans="1:7" x14ac:dyDescent="0.2">
      <c r="A429" s="1">
        <v>45020</v>
      </c>
      <c r="B429" s="2">
        <f>YEAR(TRA[[#This Row],[date]])</f>
        <v>2023</v>
      </c>
      <c r="C429">
        <v>2065</v>
      </c>
      <c r="D429">
        <v>9065</v>
      </c>
      <c r="E429">
        <v>2716</v>
      </c>
      <c r="F429">
        <v>524</v>
      </c>
      <c r="G429">
        <v>148</v>
      </c>
    </row>
    <row r="430" spans="1:7" x14ac:dyDescent="0.2">
      <c r="A430" s="1">
        <v>45021</v>
      </c>
      <c r="B430" s="2">
        <f>YEAR(TRA[[#This Row],[date]])</f>
        <v>2023</v>
      </c>
      <c r="C430">
        <v>2083</v>
      </c>
      <c r="D430">
        <v>9051</v>
      </c>
      <c r="E430">
        <v>2728</v>
      </c>
      <c r="F430">
        <v>594</v>
      </c>
      <c r="G430">
        <v>168</v>
      </c>
    </row>
    <row r="431" spans="1:7" x14ac:dyDescent="0.2">
      <c r="A431" s="1">
        <v>45022</v>
      </c>
      <c r="B431" s="2">
        <f>YEAR(TRA[[#This Row],[date]])</f>
        <v>2023</v>
      </c>
      <c r="C431">
        <v>1797</v>
      </c>
      <c r="D431">
        <v>6842</v>
      </c>
      <c r="E431">
        <v>2369</v>
      </c>
      <c r="F431">
        <v>1036</v>
      </c>
      <c r="G431">
        <v>178</v>
      </c>
    </row>
    <row r="432" spans="1:7" x14ac:dyDescent="0.2">
      <c r="A432" s="1">
        <v>45023</v>
      </c>
      <c r="B432" s="2">
        <f>YEAR(TRA[[#This Row],[date]])</f>
        <v>2023</v>
      </c>
      <c r="C432">
        <v>1446</v>
      </c>
      <c r="D432">
        <v>4691</v>
      </c>
      <c r="E432">
        <v>1853</v>
      </c>
      <c r="F432">
        <v>984</v>
      </c>
      <c r="G432">
        <v>154</v>
      </c>
    </row>
    <row r="433" spans="1:7" x14ac:dyDescent="0.2">
      <c r="A433" s="1">
        <v>45024</v>
      </c>
      <c r="B433" s="2">
        <f>YEAR(TRA[[#This Row],[date]])</f>
        <v>2023</v>
      </c>
      <c r="C433">
        <v>985</v>
      </c>
      <c r="D433">
        <v>3053</v>
      </c>
      <c r="E433">
        <v>1277</v>
      </c>
      <c r="F433">
        <v>736</v>
      </c>
      <c r="G433">
        <v>141</v>
      </c>
    </row>
    <row r="434" spans="1:7" x14ac:dyDescent="0.2">
      <c r="A434" s="1">
        <v>45025</v>
      </c>
      <c r="B434" s="2">
        <f>YEAR(TRA[[#This Row],[date]])</f>
        <v>2023</v>
      </c>
      <c r="C434">
        <v>2132</v>
      </c>
      <c r="D434">
        <v>5241</v>
      </c>
      <c r="E434">
        <v>2503</v>
      </c>
      <c r="F434">
        <v>1689</v>
      </c>
      <c r="G434">
        <v>108</v>
      </c>
    </row>
    <row r="435" spans="1:7" x14ac:dyDescent="0.2">
      <c r="A435" s="1">
        <v>45026</v>
      </c>
      <c r="B435" s="2">
        <f>YEAR(TRA[[#This Row],[date]])</f>
        <v>2023</v>
      </c>
      <c r="C435">
        <v>2503</v>
      </c>
      <c r="D435">
        <v>9025</v>
      </c>
      <c r="E435">
        <v>3388</v>
      </c>
      <c r="F435">
        <v>1830</v>
      </c>
      <c r="G435">
        <v>174</v>
      </c>
    </row>
    <row r="436" spans="1:7" x14ac:dyDescent="0.2">
      <c r="A436" s="1">
        <v>45027</v>
      </c>
      <c r="B436" s="2">
        <f>YEAR(TRA[[#This Row],[date]])</f>
        <v>2023</v>
      </c>
      <c r="C436">
        <v>1879</v>
      </c>
      <c r="D436">
        <v>6037</v>
      </c>
      <c r="E436">
        <v>2341</v>
      </c>
      <c r="F436">
        <v>1330</v>
      </c>
      <c r="G436">
        <v>141</v>
      </c>
    </row>
    <row r="437" spans="1:7" x14ac:dyDescent="0.2">
      <c r="A437" s="1">
        <v>45028</v>
      </c>
      <c r="B437" s="2">
        <f>YEAR(TRA[[#This Row],[date]])</f>
        <v>2023</v>
      </c>
      <c r="C437">
        <v>1882</v>
      </c>
      <c r="D437">
        <v>6866</v>
      </c>
      <c r="E437">
        <v>2419</v>
      </c>
      <c r="F437">
        <v>1305</v>
      </c>
      <c r="G437">
        <v>171</v>
      </c>
    </row>
    <row r="438" spans="1:7" x14ac:dyDescent="0.2">
      <c r="A438" s="1">
        <v>45029</v>
      </c>
      <c r="B438" s="2">
        <f>YEAR(TRA[[#This Row],[date]])</f>
        <v>2023</v>
      </c>
      <c r="C438">
        <v>1667</v>
      </c>
      <c r="D438">
        <v>5400</v>
      </c>
      <c r="E438">
        <v>2165</v>
      </c>
      <c r="F438">
        <v>1201</v>
      </c>
      <c r="G438">
        <v>169</v>
      </c>
    </row>
    <row r="439" spans="1:7" x14ac:dyDescent="0.2">
      <c r="A439" s="1">
        <v>45030</v>
      </c>
      <c r="B439" s="2">
        <f>YEAR(TRA[[#This Row],[date]])</f>
        <v>2023</v>
      </c>
      <c r="C439">
        <v>1325</v>
      </c>
      <c r="D439">
        <v>4259</v>
      </c>
      <c r="E439">
        <v>1651</v>
      </c>
      <c r="F439">
        <v>941</v>
      </c>
      <c r="G439">
        <v>136</v>
      </c>
    </row>
    <row r="440" spans="1:7" x14ac:dyDescent="0.2">
      <c r="A440" s="1">
        <v>45031</v>
      </c>
      <c r="B440" s="2">
        <f>YEAR(TRA[[#This Row],[date]])</f>
        <v>2023</v>
      </c>
      <c r="C440">
        <v>905</v>
      </c>
      <c r="D440">
        <v>2313</v>
      </c>
      <c r="E440">
        <v>1093</v>
      </c>
      <c r="F440">
        <v>683</v>
      </c>
      <c r="G440">
        <v>91</v>
      </c>
    </row>
    <row r="441" spans="1:7" x14ac:dyDescent="0.2">
      <c r="A441" s="1">
        <v>45032</v>
      </c>
      <c r="B441" s="2">
        <f>YEAR(TRA[[#This Row],[date]])</f>
        <v>2023</v>
      </c>
      <c r="C441">
        <v>858</v>
      </c>
      <c r="D441">
        <v>2388</v>
      </c>
      <c r="E441">
        <v>1061</v>
      </c>
      <c r="F441">
        <v>659</v>
      </c>
      <c r="G441">
        <v>136</v>
      </c>
    </row>
    <row r="442" spans="1:7" x14ac:dyDescent="0.2">
      <c r="A442" s="1">
        <v>45033</v>
      </c>
      <c r="B442" s="2">
        <f>YEAR(TRA[[#This Row],[date]])</f>
        <v>2023</v>
      </c>
      <c r="C442">
        <v>1557</v>
      </c>
      <c r="D442">
        <v>4897</v>
      </c>
      <c r="E442">
        <v>1965</v>
      </c>
      <c r="F442">
        <v>1132</v>
      </c>
      <c r="G442">
        <v>166</v>
      </c>
    </row>
    <row r="443" spans="1:7" x14ac:dyDescent="0.2">
      <c r="A443" s="1">
        <v>45034</v>
      </c>
      <c r="B443" s="2">
        <f>YEAR(TRA[[#This Row],[date]])</f>
        <v>2023</v>
      </c>
      <c r="C443">
        <v>1423</v>
      </c>
      <c r="D443">
        <v>4779</v>
      </c>
      <c r="E443">
        <v>1910</v>
      </c>
      <c r="F443">
        <v>1114</v>
      </c>
      <c r="G443">
        <v>161</v>
      </c>
    </row>
    <row r="444" spans="1:7" x14ac:dyDescent="0.2">
      <c r="A444" s="1">
        <v>45035</v>
      </c>
      <c r="B444" s="2">
        <f>YEAR(TRA[[#This Row],[date]])</f>
        <v>2023</v>
      </c>
      <c r="C444">
        <v>1862</v>
      </c>
      <c r="D444">
        <v>7019</v>
      </c>
      <c r="E444">
        <v>2473</v>
      </c>
      <c r="F444">
        <v>1250</v>
      </c>
      <c r="G444">
        <v>188</v>
      </c>
    </row>
    <row r="445" spans="1:7" x14ac:dyDescent="0.2">
      <c r="A445" s="1">
        <v>45036</v>
      </c>
      <c r="B445" s="2">
        <f>YEAR(TRA[[#This Row],[date]])</f>
        <v>2023</v>
      </c>
      <c r="C445">
        <v>1423</v>
      </c>
      <c r="D445">
        <v>4816</v>
      </c>
      <c r="E445">
        <v>1920</v>
      </c>
      <c r="F445">
        <v>1103</v>
      </c>
      <c r="G445">
        <v>176</v>
      </c>
    </row>
    <row r="446" spans="1:7" x14ac:dyDescent="0.2">
      <c r="A446" s="1">
        <v>45037</v>
      </c>
      <c r="B446" s="2">
        <f>YEAR(TRA[[#This Row],[date]])</f>
        <v>2023</v>
      </c>
      <c r="C446">
        <v>1389</v>
      </c>
      <c r="D446">
        <v>3917</v>
      </c>
      <c r="E446">
        <v>1746</v>
      </c>
      <c r="F446">
        <v>1032</v>
      </c>
      <c r="G446">
        <v>127</v>
      </c>
    </row>
    <row r="447" spans="1:7" x14ac:dyDescent="0.2">
      <c r="A447" s="1">
        <v>45038</v>
      </c>
      <c r="B447" s="2">
        <f>YEAR(TRA[[#This Row],[date]])</f>
        <v>2023</v>
      </c>
      <c r="C447">
        <v>913</v>
      </c>
      <c r="D447">
        <v>2431</v>
      </c>
      <c r="E447">
        <v>1072</v>
      </c>
      <c r="F447">
        <v>640</v>
      </c>
      <c r="G447">
        <v>116</v>
      </c>
    </row>
    <row r="448" spans="1:7" x14ac:dyDescent="0.2">
      <c r="A448" s="1">
        <v>45039</v>
      </c>
      <c r="B448" s="2">
        <f>YEAR(TRA[[#This Row],[date]])</f>
        <v>2023</v>
      </c>
      <c r="C448">
        <v>857</v>
      </c>
      <c r="D448">
        <v>2121</v>
      </c>
      <c r="E448">
        <v>1002</v>
      </c>
      <c r="F448">
        <v>596</v>
      </c>
      <c r="G448">
        <v>111</v>
      </c>
    </row>
    <row r="449" spans="1:7" x14ac:dyDescent="0.2">
      <c r="A449" s="1">
        <v>45040</v>
      </c>
      <c r="B449" s="2">
        <f>YEAR(TRA[[#This Row],[date]])</f>
        <v>2023</v>
      </c>
      <c r="C449">
        <v>1580</v>
      </c>
      <c r="D449">
        <v>5194</v>
      </c>
      <c r="E449">
        <v>2013</v>
      </c>
      <c r="F449">
        <v>1122</v>
      </c>
      <c r="G449">
        <v>158</v>
      </c>
    </row>
    <row r="450" spans="1:7" x14ac:dyDescent="0.2">
      <c r="A450" s="1">
        <v>45041</v>
      </c>
      <c r="B450" s="2">
        <f>YEAR(TRA[[#This Row],[date]])</f>
        <v>2023</v>
      </c>
      <c r="C450">
        <v>2083</v>
      </c>
      <c r="D450">
        <v>6242</v>
      </c>
      <c r="E450">
        <v>2566</v>
      </c>
      <c r="F450">
        <v>1483</v>
      </c>
      <c r="G450">
        <v>144</v>
      </c>
    </row>
    <row r="451" spans="1:7" x14ac:dyDescent="0.2">
      <c r="A451" s="1">
        <v>45042</v>
      </c>
      <c r="B451" s="2">
        <f>YEAR(TRA[[#This Row],[date]])</f>
        <v>2023</v>
      </c>
      <c r="C451">
        <v>2082</v>
      </c>
      <c r="D451">
        <v>6760</v>
      </c>
      <c r="E451">
        <v>2722</v>
      </c>
      <c r="F451">
        <v>1491</v>
      </c>
      <c r="G451">
        <v>188</v>
      </c>
    </row>
    <row r="452" spans="1:7" x14ac:dyDescent="0.2">
      <c r="A452" s="1">
        <v>45043</v>
      </c>
      <c r="B452" s="2">
        <f>YEAR(TRA[[#This Row],[date]])</f>
        <v>2023</v>
      </c>
      <c r="C452">
        <v>2430</v>
      </c>
      <c r="D452">
        <v>7159</v>
      </c>
      <c r="E452">
        <v>3224</v>
      </c>
      <c r="F452">
        <v>1944</v>
      </c>
      <c r="G452">
        <v>122</v>
      </c>
    </row>
    <row r="453" spans="1:7" x14ac:dyDescent="0.2">
      <c r="A453" s="1">
        <v>45044</v>
      </c>
      <c r="B453" s="2">
        <f>YEAR(TRA[[#This Row],[date]])</f>
        <v>2023</v>
      </c>
      <c r="C453">
        <v>1661</v>
      </c>
      <c r="D453">
        <v>5093</v>
      </c>
      <c r="E453">
        <v>2177</v>
      </c>
      <c r="F453">
        <v>1249</v>
      </c>
      <c r="G453">
        <v>149</v>
      </c>
    </row>
    <row r="454" spans="1:7" x14ac:dyDescent="0.2">
      <c r="A454" s="1">
        <v>45045</v>
      </c>
      <c r="B454" s="2">
        <f>YEAR(TRA[[#This Row],[date]])</f>
        <v>2023</v>
      </c>
      <c r="C454">
        <v>995</v>
      </c>
      <c r="D454">
        <v>3018</v>
      </c>
      <c r="E454">
        <v>1380</v>
      </c>
      <c r="F454">
        <v>841</v>
      </c>
      <c r="G454">
        <v>124</v>
      </c>
    </row>
    <row r="455" spans="1:7" x14ac:dyDescent="0.2">
      <c r="A455" s="1">
        <v>45046</v>
      </c>
      <c r="B455" s="2">
        <f>YEAR(TRA[[#This Row],[date]])</f>
        <v>2023</v>
      </c>
      <c r="C455">
        <v>1267</v>
      </c>
      <c r="D455">
        <v>4566</v>
      </c>
      <c r="E455">
        <v>1734</v>
      </c>
      <c r="F455">
        <v>951</v>
      </c>
      <c r="G455">
        <v>188</v>
      </c>
    </row>
    <row r="456" spans="1:7" x14ac:dyDescent="0.2">
      <c r="A456" s="1">
        <v>45047</v>
      </c>
      <c r="B456" s="2">
        <f>YEAR(TRA[[#This Row],[date]])</f>
        <v>2023</v>
      </c>
      <c r="C456">
        <v>1896</v>
      </c>
      <c r="D456">
        <v>7063</v>
      </c>
      <c r="E456">
        <v>2663</v>
      </c>
      <c r="F456">
        <v>1398</v>
      </c>
      <c r="G456">
        <v>191</v>
      </c>
    </row>
    <row r="457" spans="1:7" x14ac:dyDescent="0.2">
      <c r="A457" s="1">
        <v>45048</v>
      </c>
      <c r="B457" s="2">
        <f>YEAR(TRA[[#This Row],[date]])</f>
        <v>2023</v>
      </c>
      <c r="C457">
        <v>1465</v>
      </c>
      <c r="D457">
        <v>5038</v>
      </c>
      <c r="E457">
        <v>1908</v>
      </c>
      <c r="F457">
        <v>1129</v>
      </c>
      <c r="G457">
        <v>188</v>
      </c>
    </row>
    <row r="458" spans="1:7" x14ac:dyDescent="0.2">
      <c r="A458" s="1">
        <v>45049</v>
      </c>
      <c r="B458" s="2">
        <f>YEAR(TRA[[#This Row],[date]])</f>
        <v>2023</v>
      </c>
      <c r="C458">
        <v>1481</v>
      </c>
      <c r="D458">
        <v>5189</v>
      </c>
      <c r="E458">
        <v>1886</v>
      </c>
      <c r="F458">
        <v>1055</v>
      </c>
      <c r="G458">
        <v>181</v>
      </c>
    </row>
    <row r="459" spans="1:7" x14ac:dyDescent="0.2">
      <c r="A459" s="1">
        <v>45050</v>
      </c>
      <c r="B459" s="2">
        <f>YEAR(TRA[[#This Row],[date]])</f>
        <v>2023</v>
      </c>
      <c r="C459">
        <v>1524</v>
      </c>
      <c r="D459">
        <v>4927</v>
      </c>
      <c r="E459">
        <v>1957</v>
      </c>
      <c r="F459">
        <v>1093</v>
      </c>
      <c r="G459">
        <v>162</v>
      </c>
    </row>
    <row r="460" spans="1:7" x14ac:dyDescent="0.2">
      <c r="A460" s="1">
        <v>45051</v>
      </c>
      <c r="B460" s="2">
        <f>YEAR(TRA[[#This Row],[date]])</f>
        <v>2023</v>
      </c>
      <c r="C460">
        <v>1145</v>
      </c>
      <c r="D460">
        <v>3603</v>
      </c>
      <c r="E460">
        <v>1470</v>
      </c>
      <c r="F460">
        <v>839</v>
      </c>
      <c r="G460">
        <v>194</v>
      </c>
    </row>
    <row r="461" spans="1:7" x14ac:dyDescent="0.2">
      <c r="A461" s="1">
        <v>45052</v>
      </c>
      <c r="B461" s="2">
        <f>YEAR(TRA[[#This Row],[date]])</f>
        <v>2023</v>
      </c>
      <c r="C461">
        <v>758</v>
      </c>
      <c r="D461">
        <v>2090</v>
      </c>
      <c r="E461">
        <v>951</v>
      </c>
      <c r="F461">
        <v>614</v>
      </c>
      <c r="G461">
        <v>101</v>
      </c>
    </row>
    <row r="462" spans="1:7" x14ac:dyDescent="0.2">
      <c r="A462" s="1">
        <v>45053</v>
      </c>
      <c r="B462" s="2">
        <f>YEAR(TRA[[#This Row],[date]])</f>
        <v>2023</v>
      </c>
      <c r="C462">
        <v>747</v>
      </c>
      <c r="D462">
        <v>1998</v>
      </c>
      <c r="E462">
        <v>926</v>
      </c>
      <c r="F462">
        <v>590</v>
      </c>
      <c r="G462">
        <v>107</v>
      </c>
    </row>
    <row r="463" spans="1:7" x14ac:dyDescent="0.2">
      <c r="A463" s="1">
        <v>45054</v>
      </c>
      <c r="B463" s="2">
        <f>YEAR(TRA[[#This Row],[date]])</f>
        <v>2023</v>
      </c>
      <c r="C463">
        <v>1258</v>
      </c>
      <c r="D463">
        <v>4032</v>
      </c>
      <c r="E463">
        <v>1610</v>
      </c>
      <c r="F463">
        <v>986</v>
      </c>
      <c r="G463">
        <v>140</v>
      </c>
    </row>
    <row r="464" spans="1:7" x14ac:dyDescent="0.2">
      <c r="A464" s="1">
        <v>45055</v>
      </c>
      <c r="B464" s="2">
        <f>YEAR(TRA[[#This Row],[date]])</f>
        <v>2023</v>
      </c>
      <c r="C464">
        <v>1309</v>
      </c>
      <c r="D464">
        <v>4439</v>
      </c>
      <c r="E464">
        <v>1639</v>
      </c>
      <c r="F464">
        <v>970</v>
      </c>
      <c r="G464">
        <v>151</v>
      </c>
    </row>
    <row r="465" spans="1:7" x14ac:dyDescent="0.2">
      <c r="A465" s="1">
        <v>45056</v>
      </c>
      <c r="B465" s="2">
        <f>YEAR(TRA[[#This Row],[date]])</f>
        <v>2023</v>
      </c>
      <c r="C465">
        <v>1397</v>
      </c>
      <c r="D465">
        <v>4308</v>
      </c>
      <c r="E465">
        <v>1725</v>
      </c>
      <c r="F465">
        <v>1061</v>
      </c>
      <c r="G465">
        <v>122</v>
      </c>
    </row>
    <row r="466" spans="1:7" x14ac:dyDescent="0.2">
      <c r="A466" s="1">
        <v>45057</v>
      </c>
      <c r="B466" s="2">
        <f>YEAR(TRA[[#This Row],[date]])</f>
        <v>2023</v>
      </c>
      <c r="C466">
        <v>1236</v>
      </c>
      <c r="D466">
        <v>4051</v>
      </c>
      <c r="E466">
        <v>1539</v>
      </c>
      <c r="F466">
        <v>905</v>
      </c>
      <c r="G466">
        <v>133</v>
      </c>
    </row>
    <row r="467" spans="1:7" x14ac:dyDescent="0.2">
      <c r="A467" s="1">
        <v>45058</v>
      </c>
      <c r="B467" s="2">
        <f>YEAR(TRA[[#This Row],[date]])</f>
        <v>2023</v>
      </c>
      <c r="C467">
        <v>1222</v>
      </c>
      <c r="D467">
        <v>3245</v>
      </c>
      <c r="E467">
        <v>1515</v>
      </c>
      <c r="F467">
        <v>953</v>
      </c>
      <c r="G467">
        <v>118</v>
      </c>
    </row>
    <row r="468" spans="1:7" x14ac:dyDescent="0.2">
      <c r="A468" s="1">
        <v>45059</v>
      </c>
      <c r="B468" s="2">
        <f>YEAR(TRA[[#This Row],[date]])</f>
        <v>2023</v>
      </c>
      <c r="C468">
        <v>774</v>
      </c>
      <c r="D468">
        <v>1995</v>
      </c>
      <c r="E468">
        <v>947</v>
      </c>
      <c r="F468">
        <v>633</v>
      </c>
      <c r="G468">
        <v>100</v>
      </c>
    </row>
    <row r="469" spans="1:7" x14ac:dyDescent="0.2">
      <c r="A469" s="1">
        <v>45060</v>
      </c>
      <c r="B469" s="2">
        <f>YEAR(TRA[[#This Row],[date]])</f>
        <v>2023</v>
      </c>
      <c r="C469">
        <v>650</v>
      </c>
      <c r="D469">
        <v>1724</v>
      </c>
      <c r="E469">
        <v>825</v>
      </c>
      <c r="F469">
        <v>545</v>
      </c>
      <c r="G469">
        <v>104</v>
      </c>
    </row>
    <row r="470" spans="1:7" x14ac:dyDescent="0.2">
      <c r="A470" s="1">
        <v>45061</v>
      </c>
      <c r="B470" s="2">
        <f>YEAR(TRA[[#This Row],[date]])</f>
        <v>2023</v>
      </c>
      <c r="C470">
        <v>1183</v>
      </c>
      <c r="D470">
        <v>3808</v>
      </c>
      <c r="E470">
        <v>1554</v>
      </c>
      <c r="F470">
        <v>902</v>
      </c>
      <c r="G470">
        <v>134</v>
      </c>
    </row>
    <row r="471" spans="1:7" x14ac:dyDescent="0.2">
      <c r="A471" s="1">
        <v>45062</v>
      </c>
      <c r="B471" s="2">
        <f>YEAR(TRA[[#This Row],[date]])</f>
        <v>2023</v>
      </c>
      <c r="C471">
        <v>1282</v>
      </c>
      <c r="D471">
        <v>4305</v>
      </c>
      <c r="E471">
        <v>1631</v>
      </c>
      <c r="F471">
        <v>885</v>
      </c>
      <c r="G471">
        <v>172</v>
      </c>
    </row>
    <row r="472" spans="1:7" x14ac:dyDescent="0.2">
      <c r="A472" s="1">
        <v>45063</v>
      </c>
      <c r="B472" s="2">
        <f>YEAR(TRA[[#This Row],[date]])</f>
        <v>2023</v>
      </c>
      <c r="C472">
        <v>1235</v>
      </c>
      <c r="D472">
        <v>4174</v>
      </c>
      <c r="E472">
        <v>1592</v>
      </c>
      <c r="F472">
        <v>875</v>
      </c>
      <c r="G472">
        <v>191</v>
      </c>
    </row>
    <row r="473" spans="1:7" x14ac:dyDescent="0.2">
      <c r="A473" s="1">
        <v>45064</v>
      </c>
      <c r="B473" s="2">
        <f>YEAR(TRA[[#This Row],[date]])</f>
        <v>2023</v>
      </c>
      <c r="C473">
        <v>1127</v>
      </c>
      <c r="D473">
        <v>3653</v>
      </c>
      <c r="E473">
        <v>1431</v>
      </c>
      <c r="F473">
        <v>826</v>
      </c>
      <c r="G473">
        <v>189</v>
      </c>
    </row>
    <row r="474" spans="1:7" x14ac:dyDescent="0.2">
      <c r="A474" s="1">
        <v>45065</v>
      </c>
      <c r="B474" s="2">
        <f>YEAR(TRA[[#This Row],[date]])</f>
        <v>2023</v>
      </c>
      <c r="C474">
        <v>1030</v>
      </c>
      <c r="D474">
        <v>3340</v>
      </c>
      <c r="E474">
        <v>1335</v>
      </c>
      <c r="F474">
        <v>767</v>
      </c>
      <c r="G474">
        <v>164</v>
      </c>
    </row>
    <row r="475" spans="1:7" x14ac:dyDescent="0.2">
      <c r="A475" s="1">
        <v>45066</v>
      </c>
      <c r="B475" s="2">
        <f>YEAR(TRA[[#This Row],[date]])</f>
        <v>2023</v>
      </c>
      <c r="C475">
        <v>700</v>
      </c>
      <c r="D475">
        <v>2241</v>
      </c>
      <c r="E475">
        <v>859</v>
      </c>
      <c r="F475">
        <v>526</v>
      </c>
      <c r="G475">
        <v>132</v>
      </c>
    </row>
    <row r="476" spans="1:7" x14ac:dyDescent="0.2">
      <c r="A476" s="1">
        <v>45067</v>
      </c>
      <c r="B476" s="2">
        <f>YEAR(TRA[[#This Row],[date]])</f>
        <v>2023</v>
      </c>
      <c r="C476">
        <v>773</v>
      </c>
      <c r="D476">
        <v>2315</v>
      </c>
      <c r="E476">
        <v>979</v>
      </c>
      <c r="F476">
        <v>580</v>
      </c>
      <c r="G476">
        <v>131</v>
      </c>
    </row>
    <row r="477" spans="1:7" x14ac:dyDescent="0.2">
      <c r="A477" s="1">
        <v>45068</v>
      </c>
      <c r="B477" s="2">
        <f>YEAR(TRA[[#This Row],[date]])</f>
        <v>2023</v>
      </c>
      <c r="C477">
        <v>1441</v>
      </c>
      <c r="D477">
        <v>5005</v>
      </c>
      <c r="E477">
        <v>1874</v>
      </c>
      <c r="F477">
        <v>1009</v>
      </c>
      <c r="G477">
        <v>171</v>
      </c>
    </row>
    <row r="478" spans="1:7" x14ac:dyDescent="0.2">
      <c r="A478" s="1">
        <v>45069</v>
      </c>
      <c r="B478" s="2">
        <f>YEAR(TRA[[#This Row],[date]])</f>
        <v>2023</v>
      </c>
      <c r="C478">
        <v>1342</v>
      </c>
      <c r="D478">
        <v>4223</v>
      </c>
      <c r="E478">
        <v>1733</v>
      </c>
      <c r="F478">
        <v>978</v>
      </c>
      <c r="G478">
        <v>156</v>
      </c>
    </row>
    <row r="479" spans="1:7" x14ac:dyDescent="0.2">
      <c r="A479" s="1">
        <v>45070</v>
      </c>
      <c r="B479" s="2">
        <f>YEAR(TRA[[#This Row],[date]])</f>
        <v>2023</v>
      </c>
      <c r="C479">
        <v>1239</v>
      </c>
      <c r="D479">
        <v>4107</v>
      </c>
      <c r="E479">
        <v>1608</v>
      </c>
      <c r="F479">
        <v>945</v>
      </c>
      <c r="G479">
        <v>170</v>
      </c>
    </row>
    <row r="480" spans="1:7" x14ac:dyDescent="0.2">
      <c r="A480" s="1">
        <v>45071</v>
      </c>
      <c r="B480" s="2">
        <f>YEAR(TRA[[#This Row],[date]])</f>
        <v>2023</v>
      </c>
      <c r="C480">
        <v>1693</v>
      </c>
      <c r="D480">
        <v>5585</v>
      </c>
      <c r="E480">
        <v>2139</v>
      </c>
      <c r="F480">
        <v>1187</v>
      </c>
      <c r="G480">
        <v>157</v>
      </c>
    </row>
    <row r="481" spans="1:7" x14ac:dyDescent="0.2">
      <c r="A481" s="1">
        <v>45072</v>
      </c>
      <c r="B481" s="2">
        <f>YEAR(TRA[[#This Row],[date]])</f>
        <v>2023</v>
      </c>
      <c r="C481">
        <v>1414</v>
      </c>
      <c r="D481">
        <v>4053</v>
      </c>
      <c r="E481">
        <v>1714</v>
      </c>
      <c r="F481">
        <v>1010</v>
      </c>
      <c r="G481">
        <v>145</v>
      </c>
    </row>
    <row r="482" spans="1:7" x14ac:dyDescent="0.2">
      <c r="A482" s="1">
        <v>45073</v>
      </c>
      <c r="B482" s="2">
        <f>YEAR(TRA[[#This Row],[date]])</f>
        <v>2023</v>
      </c>
      <c r="C482">
        <v>845</v>
      </c>
      <c r="D482">
        <v>2110</v>
      </c>
      <c r="E482">
        <v>1058</v>
      </c>
      <c r="F482">
        <v>702</v>
      </c>
      <c r="G482">
        <v>96</v>
      </c>
    </row>
    <row r="483" spans="1:7" x14ac:dyDescent="0.2">
      <c r="A483" s="1">
        <v>45074</v>
      </c>
      <c r="B483" s="2">
        <f>YEAR(TRA[[#This Row],[date]])</f>
        <v>2023</v>
      </c>
      <c r="C483">
        <v>702</v>
      </c>
      <c r="D483">
        <v>2100</v>
      </c>
      <c r="E483">
        <v>872</v>
      </c>
      <c r="F483">
        <v>537</v>
      </c>
      <c r="G483">
        <v>137</v>
      </c>
    </row>
    <row r="484" spans="1:7" x14ac:dyDescent="0.2">
      <c r="A484" s="1">
        <v>45075</v>
      </c>
      <c r="B484" s="2">
        <f>YEAR(TRA[[#This Row],[date]])</f>
        <v>2023</v>
      </c>
      <c r="C484">
        <v>1027</v>
      </c>
      <c r="D484">
        <v>2693</v>
      </c>
      <c r="E484">
        <v>1197</v>
      </c>
      <c r="F484">
        <v>777</v>
      </c>
      <c r="G484">
        <v>125</v>
      </c>
    </row>
    <row r="485" spans="1:7" x14ac:dyDescent="0.2">
      <c r="A485" s="1">
        <v>45076</v>
      </c>
      <c r="B485" s="2">
        <f>YEAR(TRA[[#This Row],[date]])</f>
        <v>2023</v>
      </c>
      <c r="C485">
        <v>1320</v>
      </c>
      <c r="D485">
        <v>4032</v>
      </c>
      <c r="E485">
        <v>1658</v>
      </c>
      <c r="F485">
        <v>992</v>
      </c>
      <c r="G485">
        <v>166</v>
      </c>
    </row>
    <row r="486" spans="1:7" x14ac:dyDescent="0.2">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M7897"/>
  <sheetViews>
    <sheetView tabSelected="1" topLeftCell="A10" zoomScaleNormal="100" workbookViewId="0">
      <selection activeCell="I28" sqref="I28"/>
    </sheetView>
  </sheetViews>
  <sheetFormatPr baseColWidth="10" defaultRowHeight="16" x14ac:dyDescent="0.2"/>
  <cols>
    <col min="1" max="1" width="23.6640625" style="6" bestFit="1" customWidth="1"/>
    <col min="2" max="2" width="15.6640625" style="6" bestFit="1" customWidth="1"/>
    <col min="3" max="3" width="15.5" style="6" bestFit="1" customWidth="1"/>
    <col min="4" max="4" width="17" style="6" bestFit="1" customWidth="1"/>
    <col min="5" max="5" width="14.6640625" style="6" bestFit="1" customWidth="1"/>
    <col min="6" max="6" width="15.5" style="6" bestFit="1" customWidth="1"/>
    <col min="7" max="8" width="15.5" style="6" customWidth="1"/>
    <col min="9" max="9" width="21.83203125" style="6" bestFit="1" customWidth="1"/>
    <col min="10" max="10" width="10.83203125" style="6"/>
    <col min="11" max="11" width="20.33203125" customWidth="1"/>
    <col min="12" max="12" width="13.33203125" customWidth="1"/>
    <col min="13" max="13" width="13" bestFit="1" customWidth="1"/>
    <col min="14" max="16384" width="10.83203125" style="6"/>
  </cols>
  <sheetData>
    <row r="1" spans="1:13" ht="23" x14ac:dyDescent="0.2">
      <c r="A1" s="53" t="s">
        <v>110</v>
      </c>
      <c r="B1" s="53"/>
      <c r="C1" s="53"/>
      <c r="D1" s="53"/>
      <c r="E1" s="53"/>
      <c r="F1" s="53"/>
      <c r="G1" s="53"/>
      <c r="K1" t="s">
        <v>39</v>
      </c>
      <c r="L1" t="s">
        <v>36</v>
      </c>
      <c r="M1" t="s">
        <v>40</v>
      </c>
    </row>
    <row r="2" spans="1:13" x14ac:dyDescent="0.2">
      <c r="A2" s="54" t="s">
        <v>93</v>
      </c>
      <c r="B2" s="54"/>
      <c r="C2" s="54"/>
      <c r="D2" s="54"/>
      <c r="E2" s="54"/>
      <c r="F2" s="54"/>
      <c r="G2" s="54"/>
      <c r="K2" t="s">
        <v>41</v>
      </c>
      <c r="L2" t="s">
        <v>37</v>
      </c>
      <c r="M2">
        <v>0</v>
      </c>
    </row>
    <row r="3" spans="1:13" x14ac:dyDescent="0.2">
      <c r="A3"/>
      <c r="B3"/>
      <c r="C3"/>
      <c r="D3"/>
      <c r="E3"/>
      <c r="F3"/>
      <c r="G3"/>
      <c r="K3" t="s">
        <v>41</v>
      </c>
      <c r="L3" t="s">
        <v>37</v>
      </c>
      <c r="M3">
        <v>0</v>
      </c>
    </row>
    <row r="4" spans="1:13" ht="15" customHeight="1" x14ac:dyDescent="0.2">
      <c r="A4" s="51" t="s">
        <v>94</v>
      </c>
      <c r="B4" s="51"/>
      <c r="C4" s="51"/>
      <c r="D4" s="51"/>
      <c r="E4" s="51"/>
      <c r="F4" s="51"/>
      <c r="G4" s="51"/>
      <c r="K4" t="s">
        <v>42</v>
      </c>
      <c r="L4" t="s">
        <v>38</v>
      </c>
      <c r="M4">
        <v>0</v>
      </c>
    </row>
    <row r="5" spans="1:13" ht="15" customHeight="1" x14ac:dyDescent="0.2">
      <c r="A5"/>
      <c r="B5"/>
      <c r="C5"/>
      <c r="D5"/>
      <c r="E5"/>
      <c r="F5"/>
      <c r="G5"/>
      <c r="K5" t="s">
        <v>41</v>
      </c>
      <c r="L5" t="s">
        <v>37</v>
      </c>
      <c r="M5">
        <v>0</v>
      </c>
    </row>
    <row r="6" spans="1:13" ht="15" customHeight="1" x14ac:dyDescent="0.2">
      <c r="A6" s="63" t="s">
        <v>95</v>
      </c>
      <c r="B6" s="63"/>
      <c r="C6" s="63"/>
      <c r="D6" s="63"/>
      <c r="E6" s="63"/>
      <c r="F6" s="63"/>
      <c r="G6" s="63"/>
      <c r="K6" t="s">
        <v>41</v>
      </c>
      <c r="L6" t="s">
        <v>37</v>
      </c>
      <c r="M6">
        <v>0</v>
      </c>
    </row>
    <row r="7" spans="1:13" ht="15" customHeight="1" x14ac:dyDescent="0.2">
      <c r="A7" s="63"/>
      <c r="B7" s="63"/>
      <c r="C7" s="63"/>
      <c r="D7" s="63"/>
      <c r="E7" s="63"/>
      <c r="F7" s="63"/>
      <c r="G7" s="63"/>
      <c r="K7" t="s">
        <v>41</v>
      </c>
      <c r="L7" t="s">
        <v>37</v>
      </c>
      <c r="M7">
        <v>0</v>
      </c>
    </row>
    <row r="8" spans="1:13" ht="15" customHeight="1" x14ac:dyDescent="0.2">
      <c r="A8" s="63"/>
      <c r="B8" s="63"/>
      <c r="C8" s="63"/>
      <c r="D8" s="63"/>
      <c r="E8" s="63"/>
      <c r="F8" s="63"/>
      <c r="G8" s="63"/>
      <c r="K8" t="s">
        <v>41</v>
      </c>
      <c r="L8" t="s">
        <v>37</v>
      </c>
      <c r="M8">
        <v>0</v>
      </c>
    </row>
    <row r="9" spans="1:13" ht="15" customHeight="1" x14ac:dyDescent="0.2">
      <c r="A9" s="63"/>
      <c r="B9" s="63"/>
      <c r="C9" s="63"/>
      <c r="D9" s="63"/>
      <c r="E9" s="63"/>
      <c r="F9" s="63"/>
      <c r="G9" s="63"/>
      <c r="K9" t="s">
        <v>42</v>
      </c>
      <c r="L9" t="s">
        <v>38</v>
      </c>
      <c r="M9">
        <v>0</v>
      </c>
    </row>
    <row r="10" spans="1:13" ht="15" customHeight="1" x14ac:dyDescent="0.2">
      <c r="A10"/>
      <c r="B10"/>
      <c r="C10"/>
      <c r="D10"/>
      <c r="E10"/>
      <c r="F10"/>
      <c r="G10"/>
      <c r="K10" t="s">
        <v>41</v>
      </c>
      <c r="L10" t="s">
        <v>37</v>
      </c>
      <c r="M10">
        <v>0</v>
      </c>
    </row>
    <row r="11" spans="1:13" ht="15" customHeight="1" x14ac:dyDescent="0.2">
      <c r="A11" s="51" t="s">
        <v>96</v>
      </c>
      <c r="B11" s="51"/>
      <c r="C11" s="51"/>
      <c r="D11" s="51"/>
      <c r="E11" s="51"/>
      <c r="F11" s="51"/>
      <c r="G11" s="51"/>
      <c r="K11" t="s">
        <v>41</v>
      </c>
      <c r="L11" t="s">
        <v>37</v>
      </c>
      <c r="M11">
        <v>0</v>
      </c>
    </row>
    <row r="12" spans="1:13" ht="15" customHeight="1" x14ac:dyDescent="0.2">
      <c r="A12"/>
      <c r="B12"/>
      <c r="C12"/>
      <c r="D12"/>
      <c r="E12"/>
      <c r="F12"/>
      <c r="G12"/>
      <c r="K12" t="s">
        <v>41</v>
      </c>
      <c r="L12" t="s">
        <v>37</v>
      </c>
      <c r="M12">
        <v>0</v>
      </c>
    </row>
    <row r="13" spans="1:13" ht="16" customHeight="1" x14ac:dyDescent="0.2">
      <c r="A13" s="62" t="s">
        <v>97</v>
      </c>
      <c r="B13" s="62"/>
      <c r="C13" s="63" t="s">
        <v>98</v>
      </c>
      <c r="D13" s="63"/>
      <c r="E13" s="63"/>
      <c r="F13" s="63"/>
      <c r="G13" s="63"/>
      <c r="K13" t="s">
        <v>42</v>
      </c>
      <c r="L13" t="s">
        <v>38</v>
      </c>
      <c r="M13">
        <v>0</v>
      </c>
    </row>
    <row r="14" spans="1:13" ht="16" customHeight="1" x14ac:dyDescent="0.2">
      <c r="A14" s="40"/>
      <c r="B14" s="40"/>
      <c r="C14" s="63"/>
      <c r="D14" s="63"/>
      <c r="E14" s="63"/>
      <c r="F14" s="63"/>
      <c r="G14" s="63"/>
      <c r="K14" t="s">
        <v>42</v>
      </c>
      <c r="L14" t="s">
        <v>38</v>
      </c>
      <c r="M14">
        <v>0</v>
      </c>
    </row>
    <row r="15" spans="1:13" ht="16" customHeight="1" x14ac:dyDescent="0.2">
      <c r="A15" s="60" t="s">
        <v>99</v>
      </c>
      <c r="B15" s="60"/>
      <c r="C15" s="49" t="s">
        <v>100</v>
      </c>
      <c r="D15" s="49"/>
      <c r="E15" s="49"/>
      <c r="F15" s="49"/>
      <c r="G15" s="49"/>
      <c r="K15" t="s">
        <v>42</v>
      </c>
      <c r="L15" t="s">
        <v>38</v>
      </c>
      <c r="M15">
        <v>0</v>
      </c>
    </row>
    <row r="16" spans="1:13" x14ac:dyDescent="0.2">
      <c r="A16" s="41"/>
      <c r="B16" s="41"/>
      <c r="C16" s="49"/>
      <c r="D16" s="49"/>
      <c r="E16" s="49"/>
      <c r="F16" s="49"/>
      <c r="G16" s="49"/>
      <c r="K16" t="s">
        <v>41</v>
      </c>
      <c r="L16" t="s">
        <v>37</v>
      </c>
      <c r="M16">
        <v>0</v>
      </c>
    </row>
    <row r="17" spans="1:13" x14ac:dyDescent="0.2">
      <c r="A17"/>
      <c r="B17"/>
      <c r="C17"/>
      <c r="D17"/>
      <c r="E17"/>
      <c r="F17"/>
      <c r="G17"/>
      <c r="K17" t="s">
        <v>41</v>
      </c>
      <c r="L17" t="s">
        <v>37</v>
      </c>
      <c r="M17">
        <v>0</v>
      </c>
    </row>
    <row r="18" spans="1:13" x14ac:dyDescent="0.2">
      <c r="A18" s="51" t="s">
        <v>101</v>
      </c>
      <c r="B18" s="51"/>
      <c r="C18" s="51"/>
      <c r="D18" s="51"/>
      <c r="E18" s="51"/>
      <c r="F18" s="51"/>
      <c r="G18" s="51"/>
      <c r="K18" t="s">
        <v>42</v>
      </c>
      <c r="L18" t="s">
        <v>38</v>
      </c>
      <c r="M18">
        <v>0</v>
      </c>
    </row>
    <row r="19" spans="1:13" x14ac:dyDescent="0.2">
      <c r="A19"/>
      <c r="B19"/>
      <c r="C19"/>
      <c r="D19"/>
      <c r="E19"/>
      <c r="F19"/>
      <c r="G19"/>
      <c r="K19" t="s">
        <v>41</v>
      </c>
      <c r="L19" t="s">
        <v>37</v>
      </c>
      <c r="M19">
        <v>0</v>
      </c>
    </row>
    <row r="20" spans="1:13" x14ac:dyDescent="0.2">
      <c r="A20" s="59" t="s">
        <v>102</v>
      </c>
      <c r="B20" s="59"/>
      <c r="C20" s="59" t="s">
        <v>103</v>
      </c>
      <c r="D20" s="59"/>
      <c r="E20" s="59"/>
      <c r="F20"/>
      <c r="G20"/>
      <c r="K20" t="s">
        <v>42</v>
      </c>
      <c r="L20" t="s">
        <v>38</v>
      </c>
      <c r="M20">
        <v>0</v>
      </c>
    </row>
    <row r="21" spans="1:13" ht="16" customHeight="1" x14ac:dyDescent="0.2">
      <c r="A21" s="63" t="s">
        <v>104</v>
      </c>
      <c r="B21" s="63"/>
      <c r="C21" s="50" t="s">
        <v>105</v>
      </c>
      <c r="D21" s="50"/>
      <c r="E21" s="50"/>
      <c r="F21"/>
      <c r="G21"/>
      <c r="K21" t="s">
        <v>42</v>
      </c>
      <c r="L21" t="s">
        <v>38</v>
      </c>
      <c r="M21">
        <v>0</v>
      </c>
    </row>
    <row r="22" spans="1:13" ht="16" customHeight="1" x14ac:dyDescent="0.2">
      <c r="A22" s="63"/>
      <c r="B22" s="63"/>
      <c r="C22" s="50"/>
      <c r="D22" s="50"/>
      <c r="E22" s="50"/>
      <c r="F22"/>
      <c r="G22"/>
      <c r="K22" t="s">
        <v>41</v>
      </c>
      <c r="L22" t="s">
        <v>37</v>
      </c>
      <c r="M22">
        <v>1</v>
      </c>
    </row>
    <row r="23" spans="1:13" ht="16" customHeight="1" x14ac:dyDescent="0.2">
      <c r="A23" s="63"/>
      <c r="B23" s="63"/>
      <c r="C23" s="50"/>
      <c r="D23" s="50"/>
      <c r="E23" s="50"/>
      <c r="F23"/>
      <c r="G23"/>
      <c r="K23" t="s">
        <v>41</v>
      </c>
      <c r="L23" t="s">
        <v>37</v>
      </c>
      <c r="M23">
        <v>0</v>
      </c>
    </row>
    <row r="24" spans="1:13" x14ac:dyDescent="0.2">
      <c r="A24"/>
      <c r="B24"/>
      <c r="C24"/>
      <c r="D24"/>
      <c r="E24"/>
      <c r="F24"/>
      <c r="G24"/>
      <c r="I24"/>
      <c r="K24" t="s">
        <v>41</v>
      </c>
      <c r="L24" t="s">
        <v>37</v>
      </c>
      <c r="M24">
        <v>0</v>
      </c>
    </row>
    <row r="25" spans="1:13" x14ac:dyDescent="0.2">
      <c r="A25" s="51" t="s">
        <v>106</v>
      </c>
      <c r="B25" s="51"/>
      <c r="C25" s="51"/>
      <c r="D25" s="51"/>
      <c r="E25" s="51"/>
      <c r="F25" s="51"/>
      <c r="G25" s="51"/>
      <c r="I25"/>
      <c r="K25" t="s">
        <v>42</v>
      </c>
      <c r="L25" t="s">
        <v>38</v>
      </c>
      <c r="M25">
        <v>0</v>
      </c>
    </row>
    <row r="26" spans="1:13" x14ac:dyDescent="0.2">
      <c r="A26"/>
      <c r="B26"/>
      <c r="C26"/>
      <c r="D26"/>
      <c r="E26"/>
      <c r="F26"/>
      <c r="G26"/>
      <c r="I26"/>
      <c r="K26" t="s">
        <v>41</v>
      </c>
      <c r="L26" t="s">
        <v>37</v>
      </c>
      <c r="M26">
        <v>0</v>
      </c>
    </row>
    <row r="27" spans="1:13" x14ac:dyDescent="0.2">
      <c r="A27" s="42" t="s">
        <v>108</v>
      </c>
      <c r="B27" s="42" t="s">
        <v>65</v>
      </c>
      <c r="C27" s="43"/>
      <c r="D27" s="45"/>
      <c r="E27"/>
      <c r="F27"/>
      <c r="G27"/>
      <c r="I27"/>
      <c r="K27" t="s">
        <v>41</v>
      </c>
      <c r="L27" t="s">
        <v>37</v>
      </c>
      <c r="M27">
        <v>0</v>
      </c>
    </row>
    <row r="28" spans="1:13" x14ac:dyDescent="0.2">
      <c r="A28" s="42" t="s">
        <v>62</v>
      </c>
      <c r="B28" s="43">
        <v>0</v>
      </c>
      <c r="C28" s="43">
        <v>1</v>
      </c>
      <c r="D28" s="46" t="s">
        <v>109</v>
      </c>
      <c r="E28"/>
      <c r="F28"/>
      <c r="G28"/>
      <c r="I28"/>
      <c r="K28" t="s">
        <v>42</v>
      </c>
      <c r="L28" t="s">
        <v>38</v>
      </c>
      <c r="M28">
        <v>0</v>
      </c>
    </row>
    <row r="29" spans="1:13" x14ac:dyDescent="0.2">
      <c r="A29" s="44" t="s">
        <v>37</v>
      </c>
      <c r="B29" s="43">
        <v>3678</v>
      </c>
      <c r="C29" s="43">
        <v>119</v>
      </c>
      <c r="D29" s="47">
        <f>GETPIVOTDATA("website version",$A$27,"group","control","CTA clicked",1) / (GETPIVOTDATA("website version",$A$27,"group","control","CTA clicked",0) + GETPIVOTDATA("website version",$A$27,"group","control","CTA clicked",1))</f>
        <v>3.1340531998946534E-2</v>
      </c>
      <c r="E29"/>
      <c r="F29"/>
      <c r="G29"/>
      <c r="I29"/>
      <c r="K29" t="s">
        <v>42</v>
      </c>
      <c r="L29" t="s">
        <v>38</v>
      </c>
      <c r="M29">
        <v>0</v>
      </c>
    </row>
    <row r="30" spans="1:13" x14ac:dyDescent="0.2">
      <c r="A30" s="44" t="s">
        <v>38</v>
      </c>
      <c r="B30" s="43">
        <v>3941</v>
      </c>
      <c r="C30" s="43">
        <v>158</v>
      </c>
      <c r="D30" s="47">
        <f>GETPIVOTDATA("website version",$A$27,"group","test","CTA clicked",1) / (GETPIVOTDATA("website version",$A$27,"group","test","CTA clicked",0) + GETPIVOTDATA("website version",$A$27,"group","test","CTA clicked",1))</f>
        <v>3.8545986826055138E-2</v>
      </c>
      <c r="E30"/>
      <c r="F30"/>
      <c r="G30"/>
      <c r="I30"/>
      <c r="K30" t="s">
        <v>41</v>
      </c>
      <c r="L30" t="s">
        <v>37</v>
      </c>
      <c r="M30">
        <v>0</v>
      </c>
    </row>
    <row r="31" spans="1:13" ht="16" customHeight="1" x14ac:dyDescent="0.2">
      <c r="A31"/>
      <c r="B31"/>
      <c r="C31"/>
      <c r="D31"/>
      <c r="E31"/>
      <c r="F31"/>
      <c r="G31"/>
      <c r="I31"/>
      <c r="K31" t="s">
        <v>41</v>
      </c>
      <c r="L31" t="s">
        <v>37</v>
      </c>
      <c r="M31">
        <v>0</v>
      </c>
    </row>
    <row r="32" spans="1:13" ht="16" customHeight="1" x14ac:dyDescent="0.2">
      <c r="A32" s="52" t="s">
        <v>111</v>
      </c>
      <c r="B32" s="52"/>
      <c r="C32" s="52"/>
      <c r="D32" s="52"/>
      <c r="E32" s="52"/>
      <c r="F32" s="52"/>
      <c r="G32" s="52"/>
      <c r="I32"/>
      <c r="K32" t="s">
        <v>41</v>
      </c>
      <c r="L32" t="s">
        <v>37</v>
      </c>
      <c r="M32">
        <v>0</v>
      </c>
    </row>
    <row r="33" spans="1:13" ht="16" customHeight="1" x14ac:dyDescent="0.2">
      <c r="A33" s="52"/>
      <c r="B33" s="52"/>
      <c r="C33" s="52"/>
      <c r="D33" s="52"/>
      <c r="E33" s="52"/>
      <c r="F33" s="52"/>
      <c r="G33" s="52"/>
      <c r="I33"/>
      <c r="K33" t="s">
        <v>41</v>
      </c>
      <c r="L33" t="s">
        <v>37</v>
      </c>
      <c r="M33">
        <v>0</v>
      </c>
    </row>
    <row r="34" spans="1:13" x14ac:dyDescent="0.2">
      <c r="A34" s="52"/>
      <c r="B34" s="52"/>
      <c r="C34" s="52"/>
      <c r="D34" s="52"/>
      <c r="E34" s="52"/>
      <c r="F34" s="52"/>
      <c r="G34" s="52"/>
      <c r="H34"/>
      <c r="I34"/>
      <c r="K34" t="s">
        <v>41</v>
      </c>
      <c r="L34" t="s">
        <v>37</v>
      </c>
      <c r="M34">
        <v>0</v>
      </c>
    </row>
    <row r="35" spans="1:13" x14ac:dyDescent="0.2">
      <c r="A35" s="52"/>
      <c r="B35" s="52"/>
      <c r="C35" s="52"/>
      <c r="D35" s="52"/>
      <c r="E35" s="52"/>
      <c r="F35" s="52"/>
      <c r="G35" s="52"/>
      <c r="H35"/>
      <c r="I35"/>
      <c r="K35" t="s">
        <v>42</v>
      </c>
      <c r="L35" t="s">
        <v>38</v>
      </c>
      <c r="M35">
        <v>0</v>
      </c>
    </row>
    <row r="36" spans="1:13" x14ac:dyDescent="0.2">
      <c r="A36" s="52"/>
      <c r="B36" s="52"/>
      <c r="C36" s="52"/>
      <c r="D36" s="52"/>
      <c r="E36" s="52"/>
      <c r="F36" s="52"/>
      <c r="G36" s="52"/>
      <c r="H36"/>
      <c r="I36"/>
      <c r="K36" t="s">
        <v>42</v>
      </c>
      <c r="L36" t="s">
        <v>38</v>
      </c>
      <c r="M36">
        <v>0</v>
      </c>
    </row>
    <row r="37" spans="1:13" x14ac:dyDescent="0.2">
      <c r="A37" s="52"/>
      <c r="B37" s="52"/>
      <c r="C37" s="52"/>
      <c r="D37" s="52"/>
      <c r="E37" s="52"/>
      <c r="F37" s="52"/>
      <c r="G37" s="52"/>
      <c r="I37"/>
      <c r="K37" t="s">
        <v>41</v>
      </c>
      <c r="L37" t="s">
        <v>37</v>
      </c>
      <c r="M37">
        <v>0</v>
      </c>
    </row>
    <row r="38" spans="1:13" x14ac:dyDescent="0.2">
      <c r="A38"/>
      <c r="B38"/>
      <c r="C38"/>
      <c r="D38"/>
      <c r="E38"/>
      <c r="F38"/>
      <c r="G38"/>
      <c r="I38"/>
      <c r="K38" t="s">
        <v>41</v>
      </c>
      <c r="L38" t="s">
        <v>37</v>
      </c>
      <c r="M38">
        <v>0</v>
      </c>
    </row>
    <row r="39" spans="1:13" x14ac:dyDescent="0.2">
      <c r="A39" s="51" t="s">
        <v>107</v>
      </c>
      <c r="B39" s="51"/>
      <c r="C39" s="51"/>
      <c r="D39" s="51"/>
      <c r="E39" s="51"/>
      <c r="F39" s="51"/>
      <c r="G39" s="51"/>
      <c r="I39"/>
      <c r="K39" t="s">
        <v>41</v>
      </c>
      <c r="L39" t="s">
        <v>37</v>
      </c>
      <c r="M39">
        <v>0</v>
      </c>
    </row>
    <row r="40" spans="1:13" x14ac:dyDescent="0.2">
      <c r="A40"/>
      <c r="B40"/>
      <c r="C40"/>
      <c r="D40"/>
      <c r="E40"/>
      <c r="F40"/>
      <c r="G40"/>
      <c r="I40"/>
      <c r="K40" t="s">
        <v>41</v>
      </c>
      <c r="L40" t="s">
        <v>37</v>
      </c>
      <c r="M40">
        <v>0</v>
      </c>
    </row>
    <row r="41" spans="1:13" ht="16" customHeight="1" x14ac:dyDescent="0.2">
      <c r="A41" s="61" t="s">
        <v>112</v>
      </c>
      <c r="B41" s="61"/>
      <c r="C41" s="61"/>
      <c r="D41" s="61"/>
      <c r="E41" s="61"/>
      <c r="F41" s="61"/>
      <c r="G41" s="61"/>
      <c r="H41"/>
      <c r="I41"/>
      <c r="J41"/>
      <c r="K41" t="s">
        <v>41</v>
      </c>
      <c r="L41" t="s">
        <v>37</v>
      </c>
      <c r="M41">
        <v>0</v>
      </c>
    </row>
    <row r="42" spans="1:13" x14ac:dyDescent="0.2">
      <c r="A42" s="61"/>
      <c r="B42" s="61"/>
      <c r="C42" s="61"/>
      <c r="D42" s="61"/>
      <c r="E42" s="61"/>
      <c r="F42" s="61"/>
      <c r="G42" s="61"/>
      <c r="H42"/>
      <c r="I42"/>
      <c r="J42"/>
      <c r="K42" t="s">
        <v>42</v>
      </c>
      <c r="L42" t="s">
        <v>38</v>
      </c>
      <c r="M42">
        <v>0</v>
      </c>
    </row>
    <row r="43" spans="1:13" ht="16" customHeight="1" x14ac:dyDescent="0.2">
      <c r="A43" s="61"/>
      <c r="B43" s="61"/>
      <c r="C43" s="61"/>
      <c r="D43" s="61"/>
      <c r="E43" s="61"/>
      <c r="F43" s="61"/>
      <c r="G43" s="61"/>
      <c r="H43"/>
      <c r="I43"/>
      <c r="J43"/>
      <c r="K43" t="s">
        <v>42</v>
      </c>
      <c r="L43" t="s">
        <v>38</v>
      </c>
      <c r="M43">
        <v>0</v>
      </c>
    </row>
    <row r="44" spans="1:13" x14ac:dyDescent="0.2">
      <c r="A44" s="61"/>
      <c r="B44" s="61"/>
      <c r="C44" s="61"/>
      <c r="D44" s="61"/>
      <c r="E44" s="61"/>
      <c r="F44" s="61"/>
      <c r="G44" s="61"/>
      <c r="H44"/>
      <c r="I44"/>
      <c r="J44"/>
      <c r="K44" t="s">
        <v>42</v>
      </c>
      <c r="L44" t="s">
        <v>38</v>
      </c>
      <c r="M44">
        <v>0</v>
      </c>
    </row>
    <row r="45" spans="1:13" x14ac:dyDescent="0.2">
      <c r="A45" s="61"/>
      <c r="B45" s="61"/>
      <c r="C45" s="61"/>
      <c r="D45" s="61"/>
      <c r="E45" s="61"/>
      <c r="F45" s="61"/>
      <c r="G45" s="61"/>
      <c r="H45"/>
      <c r="I45"/>
      <c r="J45"/>
      <c r="K45" t="s">
        <v>41</v>
      </c>
      <c r="L45" t="s">
        <v>37</v>
      </c>
      <c r="M45">
        <v>0</v>
      </c>
    </row>
    <row r="46" spans="1:13" x14ac:dyDescent="0.2">
      <c r="A46" s="61"/>
      <c r="B46" s="61"/>
      <c r="C46" s="61"/>
      <c r="D46" s="61"/>
      <c r="E46" s="61"/>
      <c r="F46" s="61"/>
      <c r="G46" s="61"/>
      <c r="H46"/>
      <c r="I46"/>
      <c r="J46"/>
      <c r="K46" t="s">
        <v>41</v>
      </c>
      <c r="L46" t="s">
        <v>37</v>
      </c>
      <c r="M46">
        <v>0</v>
      </c>
    </row>
    <row r="47" spans="1:13" x14ac:dyDescent="0.2">
      <c r="A47"/>
      <c r="B47"/>
      <c r="C47"/>
      <c r="E47"/>
      <c r="F47"/>
      <c r="G47"/>
      <c r="H47"/>
      <c r="I47"/>
      <c r="K47" t="s">
        <v>41</v>
      </c>
      <c r="L47" t="s">
        <v>37</v>
      </c>
      <c r="M47">
        <v>0</v>
      </c>
    </row>
    <row r="48" spans="1:13" x14ac:dyDescent="0.2">
      <c r="A48"/>
      <c r="B48"/>
      <c r="C48"/>
      <c r="E48"/>
      <c r="F48"/>
      <c r="G48"/>
      <c r="H48"/>
      <c r="I48"/>
      <c r="K48" t="s">
        <v>42</v>
      </c>
      <c r="L48" t="s">
        <v>38</v>
      </c>
      <c r="M48">
        <v>0</v>
      </c>
    </row>
    <row r="49" spans="1:13" x14ac:dyDescent="0.2">
      <c r="A49"/>
      <c r="B49"/>
      <c r="C49"/>
      <c r="E49"/>
      <c r="F49"/>
      <c r="G49"/>
      <c r="H49"/>
      <c r="I49"/>
      <c r="K49" t="s">
        <v>42</v>
      </c>
      <c r="L49" t="s">
        <v>38</v>
      </c>
      <c r="M49">
        <v>0</v>
      </c>
    </row>
    <row r="50" spans="1:13" x14ac:dyDescent="0.2">
      <c r="A50"/>
      <c r="B50"/>
      <c r="C50"/>
      <c r="E50"/>
      <c r="F50"/>
      <c r="G50"/>
      <c r="H50"/>
      <c r="I50"/>
      <c r="K50" t="s">
        <v>41</v>
      </c>
      <c r="L50" t="s">
        <v>37</v>
      </c>
      <c r="M50">
        <v>0</v>
      </c>
    </row>
    <row r="51" spans="1:13" x14ac:dyDescent="0.2">
      <c r="A51"/>
      <c r="B51"/>
      <c r="C51"/>
      <c r="E51"/>
      <c r="F51"/>
      <c r="G51"/>
      <c r="H51"/>
      <c r="I51"/>
      <c r="K51" t="s">
        <v>42</v>
      </c>
      <c r="L51" t="s">
        <v>38</v>
      </c>
      <c r="M51">
        <v>0</v>
      </c>
    </row>
    <row r="52" spans="1:13" x14ac:dyDescent="0.2">
      <c r="A52"/>
      <c r="B52"/>
      <c r="C52"/>
      <c r="E52"/>
      <c r="F52"/>
      <c r="G52"/>
      <c r="H52"/>
      <c r="I52"/>
      <c r="K52" t="s">
        <v>42</v>
      </c>
      <c r="L52" t="s">
        <v>38</v>
      </c>
      <c r="M52">
        <v>0</v>
      </c>
    </row>
    <row r="53" spans="1:13" ht="17" customHeight="1" x14ac:dyDescent="0.2">
      <c r="A53"/>
      <c r="B53"/>
      <c r="C53"/>
      <c r="E53"/>
      <c r="F53"/>
      <c r="G53"/>
      <c r="H53"/>
      <c r="I53"/>
      <c r="K53" t="s">
        <v>42</v>
      </c>
      <c r="L53" t="s">
        <v>38</v>
      </c>
      <c r="M53">
        <v>0</v>
      </c>
    </row>
    <row r="54" spans="1:13" x14ac:dyDescent="0.2">
      <c r="A54"/>
      <c r="B54"/>
      <c r="C54"/>
      <c r="E54"/>
      <c r="F54"/>
      <c r="G54"/>
      <c r="H54"/>
      <c r="I54"/>
      <c r="K54" t="s">
        <v>41</v>
      </c>
      <c r="L54" t="s">
        <v>37</v>
      </c>
      <c r="M54">
        <v>0</v>
      </c>
    </row>
    <row r="55" spans="1:13" x14ac:dyDescent="0.2">
      <c r="A55"/>
      <c r="B55"/>
      <c r="C55"/>
      <c r="E55"/>
      <c r="F55"/>
      <c r="G55"/>
      <c r="H55"/>
      <c r="I55"/>
      <c r="K55" t="s">
        <v>42</v>
      </c>
      <c r="L55" t="s">
        <v>38</v>
      </c>
      <c r="M55">
        <v>0</v>
      </c>
    </row>
    <row r="56" spans="1:13" ht="16" customHeight="1" x14ac:dyDescent="0.2">
      <c r="A56"/>
      <c r="B56"/>
      <c r="C56"/>
      <c r="E56"/>
      <c r="F56"/>
      <c r="G56"/>
      <c r="H56"/>
      <c r="I56"/>
      <c r="K56" t="s">
        <v>41</v>
      </c>
      <c r="L56" t="s">
        <v>37</v>
      </c>
      <c r="M56">
        <v>0</v>
      </c>
    </row>
    <row r="57" spans="1:13" ht="15" customHeight="1" x14ac:dyDescent="0.2">
      <c r="A57"/>
      <c r="B57"/>
      <c r="C57"/>
      <c r="E57"/>
      <c r="F57"/>
      <c r="G57"/>
      <c r="H57"/>
      <c r="I57"/>
      <c r="K57" t="s">
        <v>42</v>
      </c>
      <c r="L57" t="s">
        <v>38</v>
      </c>
      <c r="M57">
        <v>0</v>
      </c>
    </row>
    <row r="58" spans="1:13" x14ac:dyDescent="0.2">
      <c r="A58"/>
      <c r="B58"/>
      <c r="C58"/>
      <c r="H58"/>
      <c r="I58"/>
      <c r="K58" t="s">
        <v>41</v>
      </c>
      <c r="L58" t="s">
        <v>37</v>
      </c>
      <c r="M58">
        <v>0</v>
      </c>
    </row>
    <row r="59" spans="1:13" x14ac:dyDescent="0.2">
      <c r="A59"/>
      <c r="B59"/>
      <c r="C59"/>
      <c r="H59"/>
      <c r="I59"/>
      <c r="K59" t="s">
        <v>42</v>
      </c>
      <c r="L59" t="s">
        <v>38</v>
      </c>
      <c r="M59">
        <v>0</v>
      </c>
    </row>
    <row r="60" spans="1:13" x14ac:dyDescent="0.2">
      <c r="A60"/>
      <c r="B60"/>
      <c r="C60"/>
      <c r="K60" t="s">
        <v>42</v>
      </c>
      <c r="L60" t="s">
        <v>38</v>
      </c>
      <c r="M60">
        <v>0</v>
      </c>
    </row>
    <row r="61" spans="1:13" x14ac:dyDescent="0.2">
      <c r="A61"/>
      <c r="B61"/>
      <c r="C61"/>
      <c r="K61" t="s">
        <v>41</v>
      </c>
      <c r="L61" t="s">
        <v>37</v>
      </c>
      <c r="M61">
        <v>0</v>
      </c>
    </row>
    <row r="62" spans="1:13" x14ac:dyDescent="0.2">
      <c r="A62"/>
      <c r="B62"/>
      <c r="C62"/>
      <c r="K62" t="s">
        <v>42</v>
      </c>
      <c r="L62" t="s">
        <v>38</v>
      </c>
      <c r="M62">
        <v>0</v>
      </c>
    </row>
    <row r="63" spans="1:13" x14ac:dyDescent="0.2">
      <c r="K63" t="s">
        <v>42</v>
      </c>
      <c r="L63" t="s">
        <v>38</v>
      </c>
      <c r="M63">
        <v>0</v>
      </c>
    </row>
    <row r="64" spans="1:13" x14ac:dyDescent="0.2">
      <c r="E64"/>
      <c r="F64"/>
      <c r="G64"/>
      <c r="K64" t="s">
        <v>41</v>
      </c>
      <c r="L64" t="s">
        <v>37</v>
      </c>
      <c r="M64">
        <v>0</v>
      </c>
    </row>
    <row r="65" spans="5:13" ht="17" customHeight="1" x14ac:dyDescent="0.2">
      <c r="E65"/>
      <c r="F65"/>
      <c r="G65"/>
      <c r="K65" t="s">
        <v>42</v>
      </c>
      <c r="L65" t="s">
        <v>38</v>
      </c>
      <c r="M65">
        <v>0</v>
      </c>
    </row>
    <row r="66" spans="5:13" x14ac:dyDescent="0.2">
      <c r="E66"/>
      <c r="F66"/>
      <c r="G66"/>
      <c r="H66"/>
      <c r="I66"/>
      <c r="J66"/>
      <c r="K66" t="s">
        <v>41</v>
      </c>
      <c r="L66" t="s">
        <v>37</v>
      </c>
      <c r="M66">
        <v>0</v>
      </c>
    </row>
    <row r="67" spans="5:13" x14ac:dyDescent="0.2">
      <c r="E67"/>
      <c r="F67"/>
      <c r="G67"/>
      <c r="H67"/>
      <c r="I67"/>
      <c r="J67"/>
      <c r="K67" t="s">
        <v>41</v>
      </c>
      <c r="L67" t="s">
        <v>37</v>
      </c>
      <c r="M67">
        <v>0</v>
      </c>
    </row>
    <row r="68" spans="5:13" x14ac:dyDescent="0.2">
      <c r="E68"/>
      <c r="F68"/>
      <c r="G68"/>
      <c r="H68"/>
      <c r="I68"/>
      <c r="J68"/>
      <c r="K68" t="s">
        <v>42</v>
      </c>
      <c r="L68" t="s">
        <v>38</v>
      </c>
      <c r="M68">
        <v>0</v>
      </c>
    </row>
    <row r="69" spans="5:13" x14ac:dyDescent="0.2">
      <c r="H69"/>
      <c r="I69"/>
      <c r="J69"/>
      <c r="K69" t="s">
        <v>42</v>
      </c>
      <c r="L69" t="s">
        <v>38</v>
      </c>
      <c r="M69">
        <v>0</v>
      </c>
    </row>
    <row r="70" spans="5:13" x14ac:dyDescent="0.2">
      <c r="H70"/>
      <c r="I70"/>
      <c r="J70"/>
      <c r="K70" t="s">
        <v>41</v>
      </c>
      <c r="L70" t="s">
        <v>37</v>
      </c>
      <c r="M70">
        <v>0</v>
      </c>
    </row>
    <row r="71" spans="5:13" x14ac:dyDescent="0.2">
      <c r="K71" t="s">
        <v>42</v>
      </c>
      <c r="L71" t="s">
        <v>38</v>
      </c>
      <c r="M71">
        <v>0</v>
      </c>
    </row>
    <row r="72" spans="5:13" x14ac:dyDescent="0.2">
      <c r="K72" t="s">
        <v>42</v>
      </c>
      <c r="L72" t="s">
        <v>38</v>
      </c>
      <c r="M72">
        <v>0</v>
      </c>
    </row>
    <row r="73" spans="5:13" x14ac:dyDescent="0.2">
      <c r="K73" t="s">
        <v>42</v>
      </c>
      <c r="L73" t="s">
        <v>38</v>
      </c>
      <c r="M73">
        <v>0</v>
      </c>
    </row>
    <row r="74" spans="5:13" x14ac:dyDescent="0.2">
      <c r="K74" t="s">
        <v>42</v>
      </c>
      <c r="L74" t="s">
        <v>38</v>
      </c>
      <c r="M74">
        <v>0</v>
      </c>
    </row>
    <row r="75" spans="5:13" x14ac:dyDescent="0.2">
      <c r="K75" t="s">
        <v>41</v>
      </c>
      <c r="L75" t="s">
        <v>37</v>
      </c>
      <c r="M75">
        <v>0</v>
      </c>
    </row>
    <row r="76" spans="5:13" x14ac:dyDescent="0.2">
      <c r="K76" t="s">
        <v>41</v>
      </c>
      <c r="L76" t="s">
        <v>37</v>
      </c>
      <c r="M76">
        <v>0</v>
      </c>
    </row>
    <row r="77" spans="5:13" x14ac:dyDescent="0.2">
      <c r="K77" t="s">
        <v>41</v>
      </c>
      <c r="L77" t="s">
        <v>37</v>
      </c>
      <c r="M77">
        <v>0</v>
      </c>
    </row>
    <row r="78" spans="5:13" x14ac:dyDescent="0.2">
      <c r="K78" t="s">
        <v>41</v>
      </c>
      <c r="L78" t="s">
        <v>37</v>
      </c>
      <c r="M78">
        <v>0</v>
      </c>
    </row>
    <row r="79" spans="5:13" x14ac:dyDescent="0.2">
      <c r="K79" t="s">
        <v>42</v>
      </c>
      <c r="L79" t="s">
        <v>38</v>
      </c>
      <c r="M79">
        <v>0</v>
      </c>
    </row>
    <row r="80" spans="5:13" x14ac:dyDescent="0.2">
      <c r="K80" t="s">
        <v>41</v>
      </c>
      <c r="L80" t="s">
        <v>37</v>
      </c>
      <c r="M80">
        <v>0</v>
      </c>
    </row>
    <row r="81" spans="1:13" x14ac:dyDescent="0.2">
      <c r="K81" t="s">
        <v>42</v>
      </c>
      <c r="L81" t="s">
        <v>38</v>
      </c>
      <c r="M81">
        <v>0</v>
      </c>
    </row>
    <row r="82" spans="1:13" x14ac:dyDescent="0.2">
      <c r="K82" t="s">
        <v>41</v>
      </c>
      <c r="L82" t="s">
        <v>37</v>
      </c>
      <c r="M82">
        <v>0</v>
      </c>
    </row>
    <row r="83" spans="1:13" x14ac:dyDescent="0.2">
      <c r="K83" t="s">
        <v>42</v>
      </c>
      <c r="L83" t="s">
        <v>38</v>
      </c>
      <c r="M83">
        <v>0</v>
      </c>
    </row>
    <row r="84" spans="1:13" x14ac:dyDescent="0.2">
      <c r="A84" s="9"/>
      <c r="B84" s="9"/>
      <c r="C84" s="9"/>
      <c r="D84" s="9"/>
      <c r="E84" s="9"/>
      <c r="F84" s="9"/>
      <c r="G84" s="9"/>
      <c r="K84" t="s">
        <v>41</v>
      </c>
      <c r="L84" t="s">
        <v>37</v>
      </c>
      <c r="M84">
        <v>0</v>
      </c>
    </row>
    <row r="85" spans="1:13" x14ac:dyDescent="0.2">
      <c r="A85" s="9"/>
      <c r="B85" s="9"/>
      <c r="C85" s="9"/>
      <c r="D85" s="9"/>
      <c r="E85" s="9"/>
      <c r="F85" s="9"/>
      <c r="G85" s="9"/>
      <c r="K85" t="s">
        <v>42</v>
      </c>
      <c r="L85" t="s">
        <v>38</v>
      </c>
      <c r="M85">
        <v>0</v>
      </c>
    </row>
    <row r="86" spans="1:13" x14ac:dyDescent="0.2">
      <c r="A86" s="9"/>
      <c r="B86" s="9"/>
      <c r="C86" s="9"/>
      <c r="D86" s="9"/>
      <c r="E86" s="9"/>
      <c r="F86" s="9"/>
      <c r="G86" s="9"/>
      <c r="H86" s="9"/>
      <c r="I86" s="9"/>
      <c r="J86" s="9"/>
      <c r="K86" t="s">
        <v>41</v>
      </c>
      <c r="L86" t="s">
        <v>37</v>
      </c>
      <c r="M86">
        <v>0</v>
      </c>
    </row>
    <row r="87" spans="1:13" x14ac:dyDescent="0.2">
      <c r="A87" s="9"/>
      <c r="B87" s="16" t="s">
        <v>66</v>
      </c>
      <c r="C87" s="16" t="s">
        <v>65</v>
      </c>
      <c r="D87"/>
      <c r="E87"/>
      <c r="F87" s="9"/>
      <c r="G87" s="9"/>
      <c r="H87" s="9"/>
      <c r="I87" s="9"/>
      <c r="J87" s="9"/>
      <c r="K87" t="s">
        <v>42</v>
      </c>
      <c r="L87" t="s">
        <v>38</v>
      </c>
      <c r="M87">
        <v>0</v>
      </c>
    </row>
    <row r="88" spans="1:13" x14ac:dyDescent="0.2">
      <c r="A88" s="9"/>
      <c r="B88" s="16" t="s">
        <v>62</v>
      </c>
      <c r="C88">
        <v>0</v>
      </c>
      <c r="D88">
        <v>1</v>
      </c>
      <c r="E88" t="s">
        <v>63</v>
      </c>
      <c r="F88" s="9"/>
      <c r="G88" s="9"/>
      <c r="H88" s="9"/>
      <c r="I88" s="9"/>
      <c r="J88" s="9"/>
      <c r="K88" t="s">
        <v>41</v>
      </c>
      <c r="L88" t="s">
        <v>37</v>
      </c>
      <c r="M88">
        <v>0</v>
      </c>
    </row>
    <row r="89" spans="1:13" x14ac:dyDescent="0.2">
      <c r="A89" s="9"/>
      <c r="B89" s="17" t="s">
        <v>37</v>
      </c>
      <c r="C89">
        <v>3678</v>
      </c>
      <c r="D89">
        <v>119</v>
      </c>
      <c r="E89">
        <v>3797</v>
      </c>
      <c r="F89" s="9"/>
      <c r="G89" s="9"/>
      <c r="H89" s="9"/>
      <c r="I89" s="9"/>
      <c r="J89" s="9"/>
      <c r="K89" t="s">
        <v>41</v>
      </c>
      <c r="L89" t="s">
        <v>37</v>
      </c>
      <c r="M89">
        <v>0</v>
      </c>
    </row>
    <row r="90" spans="1:13" x14ac:dyDescent="0.2">
      <c r="A90" s="9"/>
      <c r="B90" s="17" t="s">
        <v>38</v>
      </c>
      <c r="C90">
        <v>3941</v>
      </c>
      <c r="D90">
        <v>158</v>
      </c>
      <c r="E90">
        <v>4099</v>
      </c>
      <c r="F90" s="9"/>
      <c r="G90" s="9"/>
      <c r="H90" s="9"/>
      <c r="I90" s="9"/>
      <c r="J90" s="9"/>
      <c r="K90" t="s">
        <v>41</v>
      </c>
      <c r="L90" t="s">
        <v>37</v>
      </c>
      <c r="M90">
        <v>0</v>
      </c>
    </row>
    <row r="91" spans="1:13" x14ac:dyDescent="0.2">
      <c r="A91" s="9"/>
      <c r="B91" s="17" t="s">
        <v>63</v>
      </c>
      <c r="C91">
        <v>7619</v>
      </c>
      <c r="D91">
        <v>277</v>
      </c>
      <c r="E91">
        <v>7896</v>
      </c>
      <c r="F91" s="9"/>
      <c r="G91" s="9"/>
      <c r="H91" s="9"/>
      <c r="I91" s="9"/>
      <c r="J91" s="9"/>
      <c r="K91" t="s">
        <v>42</v>
      </c>
      <c r="L91" t="s">
        <v>38</v>
      </c>
      <c r="M91">
        <v>0</v>
      </c>
    </row>
    <row r="92" spans="1:13" x14ac:dyDescent="0.2">
      <c r="A92" s="9"/>
      <c r="B92" s="9"/>
      <c r="C92" s="9"/>
      <c r="D92" s="9"/>
      <c r="E92" s="9"/>
      <c r="F92" s="9"/>
      <c r="G92" s="9"/>
      <c r="H92" s="9"/>
      <c r="I92" s="9"/>
      <c r="J92" s="9"/>
      <c r="K92" t="s">
        <v>41</v>
      </c>
      <c r="L92" t="s">
        <v>37</v>
      </c>
      <c r="M92">
        <v>0</v>
      </c>
    </row>
    <row r="93" spans="1:13" x14ac:dyDescent="0.2">
      <c r="A93" s="9"/>
      <c r="B93" s="9"/>
      <c r="C93" s="9"/>
      <c r="D93" s="9"/>
      <c r="E93" s="9"/>
      <c r="F93" s="9"/>
      <c r="G93" s="9"/>
      <c r="H93" s="9"/>
      <c r="I93" s="9"/>
      <c r="J93" s="9"/>
      <c r="K93" t="s">
        <v>41</v>
      </c>
      <c r="L93" t="s">
        <v>37</v>
      </c>
      <c r="M93">
        <v>0</v>
      </c>
    </row>
    <row r="94" spans="1:13" x14ac:dyDescent="0.2">
      <c r="A94" s="9"/>
      <c r="B94" s="9"/>
      <c r="C94" s="9"/>
      <c r="D94" s="9"/>
      <c r="E94" s="9"/>
      <c r="F94" s="9"/>
      <c r="G94" s="9"/>
      <c r="H94" s="9"/>
      <c r="I94" s="9"/>
      <c r="J94" s="9"/>
      <c r="K94" t="s">
        <v>41</v>
      </c>
      <c r="L94" t="s">
        <v>37</v>
      </c>
      <c r="M94">
        <v>0</v>
      </c>
    </row>
    <row r="95" spans="1:13" x14ac:dyDescent="0.2">
      <c r="A95" s="9"/>
      <c r="B95" s="9"/>
      <c r="C95" s="9"/>
      <c r="D95" s="9"/>
      <c r="E95" s="9"/>
      <c r="F95" s="9"/>
      <c r="G95" s="9"/>
      <c r="H95" s="9"/>
      <c r="I95" s="9"/>
      <c r="J95" s="9"/>
      <c r="K95" t="s">
        <v>42</v>
      </c>
      <c r="L95" t="s">
        <v>38</v>
      </c>
      <c r="M95">
        <v>0</v>
      </c>
    </row>
    <row r="96" spans="1:13" x14ac:dyDescent="0.2">
      <c r="A96" s="9"/>
      <c r="B96" s="9"/>
      <c r="C96" s="9"/>
      <c r="D96" s="9"/>
      <c r="E96" s="9"/>
      <c r="F96" s="9"/>
      <c r="G96" s="9"/>
      <c r="H96" s="9"/>
      <c r="I96" s="9"/>
      <c r="J96" s="9"/>
      <c r="K96" t="s">
        <v>41</v>
      </c>
      <c r="L96" t="s">
        <v>37</v>
      </c>
      <c r="M96">
        <v>0</v>
      </c>
    </row>
    <row r="97" spans="1:13" x14ac:dyDescent="0.2">
      <c r="A97" s="9"/>
      <c r="B97" s="9"/>
      <c r="C97" s="9"/>
      <c r="D97" s="9"/>
      <c r="E97" s="9"/>
      <c r="F97" s="9"/>
      <c r="G97" s="9"/>
      <c r="H97" s="9"/>
      <c r="I97" s="9"/>
      <c r="J97" s="9"/>
      <c r="K97" t="s">
        <v>42</v>
      </c>
      <c r="L97" t="s">
        <v>38</v>
      </c>
      <c r="M97">
        <v>0</v>
      </c>
    </row>
    <row r="98" spans="1:13" x14ac:dyDescent="0.2">
      <c r="A98" s="9"/>
      <c r="B98" s="9"/>
      <c r="C98" s="9"/>
      <c r="D98" s="9"/>
      <c r="E98" s="9"/>
      <c r="F98" s="9"/>
      <c r="G98" s="9"/>
      <c r="H98" s="9"/>
      <c r="I98" s="9"/>
      <c r="J98" s="9"/>
      <c r="K98" t="s">
        <v>42</v>
      </c>
      <c r="L98" t="s">
        <v>38</v>
      </c>
      <c r="M98">
        <v>1</v>
      </c>
    </row>
    <row r="99" spans="1:13" x14ac:dyDescent="0.2">
      <c r="A99" s="9"/>
      <c r="B99" s="9"/>
      <c r="C99" s="9"/>
      <c r="D99" s="9"/>
      <c r="E99" s="9"/>
      <c r="F99" s="9"/>
      <c r="G99" s="9"/>
      <c r="H99" s="9"/>
      <c r="I99" s="9"/>
      <c r="J99" s="9"/>
      <c r="K99" t="s">
        <v>42</v>
      </c>
      <c r="L99" t="s">
        <v>38</v>
      </c>
      <c r="M99">
        <v>0</v>
      </c>
    </row>
    <row r="100" spans="1:13" x14ac:dyDescent="0.2">
      <c r="A100" s="9"/>
      <c r="B100" s="9"/>
      <c r="C100" s="9"/>
      <c r="D100" s="9"/>
      <c r="E100" s="9"/>
      <c r="F100" s="9"/>
      <c r="G100" s="9"/>
      <c r="H100" s="9"/>
      <c r="I100" s="9"/>
      <c r="J100" s="9"/>
      <c r="K100" t="s">
        <v>42</v>
      </c>
      <c r="L100" t="s">
        <v>38</v>
      </c>
      <c r="M100">
        <v>0</v>
      </c>
    </row>
    <row r="101" spans="1:13" x14ac:dyDescent="0.2">
      <c r="A101" s="9"/>
      <c r="B101" s="9"/>
      <c r="C101" s="9"/>
      <c r="D101" s="9"/>
      <c r="E101" s="9"/>
      <c r="F101" s="9"/>
      <c r="G101" s="9"/>
      <c r="H101" s="9"/>
      <c r="I101" s="9"/>
      <c r="J101" s="9"/>
      <c r="K101" t="s">
        <v>42</v>
      </c>
      <c r="L101" t="s">
        <v>38</v>
      </c>
      <c r="M101">
        <v>0</v>
      </c>
    </row>
    <row r="102" spans="1:13" x14ac:dyDescent="0.2">
      <c r="A102" s="9"/>
      <c r="B102" s="9"/>
      <c r="C102" s="9"/>
      <c r="D102" s="9"/>
      <c r="E102" s="9"/>
      <c r="F102" s="9"/>
      <c r="G102" s="9"/>
      <c r="H102" s="9"/>
      <c r="I102" s="9"/>
      <c r="J102" s="9"/>
      <c r="K102" t="s">
        <v>41</v>
      </c>
      <c r="L102" t="s">
        <v>37</v>
      </c>
      <c r="M102">
        <v>0</v>
      </c>
    </row>
    <row r="103" spans="1:13" x14ac:dyDescent="0.2">
      <c r="A103" s="9"/>
      <c r="B103" s="9"/>
      <c r="C103" s="9"/>
      <c r="D103" s="9"/>
      <c r="E103" s="9"/>
      <c r="F103" s="9"/>
      <c r="G103" s="9"/>
      <c r="H103" s="9"/>
      <c r="I103" s="9"/>
      <c r="J103" s="9"/>
      <c r="K103" t="s">
        <v>41</v>
      </c>
      <c r="L103" t="s">
        <v>37</v>
      </c>
      <c r="M103">
        <v>0</v>
      </c>
    </row>
    <row r="104" spans="1:13" x14ac:dyDescent="0.2">
      <c r="A104" s="9"/>
      <c r="B104" s="9"/>
      <c r="C104" s="9"/>
      <c r="D104" s="9"/>
      <c r="E104" s="9"/>
      <c r="F104" s="9"/>
      <c r="G104" s="9"/>
      <c r="H104" s="9"/>
      <c r="I104" s="9"/>
      <c r="J104" s="9"/>
      <c r="K104" t="s">
        <v>42</v>
      </c>
      <c r="L104" t="s">
        <v>38</v>
      </c>
      <c r="M104">
        <v>0</v>
      </c>
    </row>
    <row r="105" spans="1:13" x14ac:dyDescent="0.2">
      <c r="A105" s="9"/>
      <c r="B105" s="9"/>
      <c r="C105" s="9"/>
      <c r="D105" s="9"/>
      <c r="E105" s="9"/>
      <c r="F105" s="9"/>
      <c r="G105" s="9"/>
      <c r="H105" s="9"/>
      <c r="I105" s="9"/>
      <c r="J105" s="9"/>
      <c r="K105" t="s">
        <v>41</v>
      </c>
      <c r="L105" t="s">
        <v>37</v>
      </c>
      <c r="M105">
        <v>0</v>
      </c>
    </row>
    <row r="106" spans="1:13" x14ac:dyDescent="0.2">
      <c r="A106" s="9"/>
      <c r="B106" s="9"/>
      <c r="C106" s="9"/>
      <c r="D106" s="9"/>
      <c r="E106" s="9"/>
      <c r="F106" s="9"/>
      <c r="G106" s="9"/>
      <c r="H106" s="9"/>
      <c r="I106" s="9"/>
      <c r="J106" s="9"/>
      <c r="K106" t="s">
        <v>42</v>
      </c>
      <c r="L106" t="s">
        <v>38</v>
      </c>
      <c r="M106">
        <v>0</v>
      </c>
    </row>
    <row r="107" spans="1:13" x14ac:dyDescent="0.2">
      <c r="A107" s="9"/>
      <c r="B107" s="9"/>
      <c r="C107" s="9"/>
      <c r="D107" s="9"/>
      <c r="E107" s="9"/>
      <c r="F107" s="9"/>
      <c r="G107" s="9"/>
      <c r="H107" s="9"/>
      <c r="I107" s="9"/>
      <c r="J107" s="9"/>
      <c r="K107" t="s">
        <v>42</v>
      </c>
      <c r="L107" t="s">
        <v>38</v>
      </c>
      <c r="M107">
        <v>0</v>
      </c>
    </row>
    <row r="108" spans="1:13" x14ac:dyDescent="0.2">
      <c r="A108" s="9"/>
      <c r="B108" s="9"/>
      <c r="C108" s="9"/>
      <c r="D108" s="9"/>
      <c r="E108" s="9"/>
      <c r="F108" s="9"/>
      <c r="G108" s="9"/>
      <c r="H108" s="9"/>
      <c r="I108" s="9"/>
      <c r="J108" s="9"/>
      <c r="K108" t="s">
        <v>42</v>
      </c>
      <c r="L108" t="s">
        <v>38</v>
      </c>
      <c r="M108">
        <v>0</v>
      </c>
    </row>
    <row r="109" spans="1:13" x14ac:dyDescent="0.2">
      <c r="A109" s="9"/>
      <c r="B109" s="9"/>
      <c r="C109" s="9"/>
      <c r="D109" s="9"/>
      <c r="E109" s="9"/>
      <c r="F109" s="9"/>
      <c r="G109" s="9"/>
      <c r="H109" s="9"/>
      <c r="I109" s="9"/>
      <c r="J109" s="9"/>
      <c r="K109" t="s">
        <v>41</v>
      </c>
      <c r="L109" t="s">
        <v>37</v>
      </c>
      <c r="M109">
        <v>0</v>
      </c>
    </row>
    <row r="110" spans="1:13" x14ac:dyDescent="0.2">
      <c r="A110" s="9"/>
      <c r="B110" s="9"/>
      <c r="C110" s="9"/>
      <c r="D110" s="9"/>
      <c r="E110" s="9"/>
      <c r="F110" s="9"/>
      <c r="G110" s="9"/>
      <c r="H110" s="9"/>
      <c r="I110" s="9"/>
      <c r="J110" s="9"/>
      <c r="K110" t="s">
        <v>42</v>
      </c>
      <c r="L110" t="s">
        <v>38</v>
      </c>
      <c r="M110">
        <v>0</v>
      </c>
    </row>
    <row r="111" spans="1:13" ht="16" customHeight="1" x14ac:dyDescent="0.2">
      <c r="A111" s="9"/>
      <c r="B111" s="9"/>
      <c r="C111" s="9"/>
      <c r="D111" s="9"/>
      <c r="E111" s="9"/>
      <c r="F111" s="9"/>
      <c r="G111" s="9"/>
      <c r="H111" s="9"/>
      <c r="I111" s="9"/>
      <c r="J111" s="9"/>
      <c r="K111" t="s">
        <v>42</v>
      </c>
      <c r="L111" t="s">
        <v>38</v>
      </c>
      <c r="M111">
        <v>0</v>
      </c>
    </row>
    <row r="112" spans="1:13" ht="16" customHeight="1" x14ac:dyDescent="0.2">
      <c r="A112" s="9"/>
      <c r="B112" s="9"/>
      <c r="C112" s="9"/>
      <c r="D112" s="9"/>
      <c r="E112" s="9"/>
      <c r="F112" s="9"/>
      <c r="G112" s="9"/>
      <c r="H112" s="9"/>
      <c r="I112" s="9"/>
      <c r="J112" s="9"/>
      <c r="K112" t="s">
        <v>42</v>
      </c>
      <c r="L112" t="s">
        <v>38</v>
      </c>
      <c r="M112">
        <v>0</v>
      </c>
    </row>
    <row r="113" spans="1:13" x14ac:dyDescent="0.2">
      <c r="A113" s="9"/>
      <c r="B113" s="9"/>
      <c r="C113" s="9"/>
      <c r="D113" s="9"/>
      <c r="E113" s="9"/>
      <c r="F113" s="9"/>
      <c r="G113" s="9"/>
      <c r="H113" s="9"/>
      <c r="I113" s="9"/>
      <c r="J113" s="9"/>
      <c r="K113" t="s">
        <v>41</v>
      </c>
      <c r="L113" t="s">
        <v>37</v>
      </c>
      <c r="M113">
        <v>0</v>
      </c>
    </row>
    <row r="114" spans="1:13" x14ac:dyDescent="0.2">
      <c r="A114" s="9"/>
      <c r="B114" s="9"/>
      <c r="C114" s="9"/>
      <c r="D114" s="9"/>
      <c r="E114" s="9"/>
      <c r="F114" s="9"/>
      <c r="G114" s="9"/>
      <c r="H114" s="9"/>
      <c r="I114" s="9"/>
      <c r="J114" s="9"/>
      <c r="K114" t="s">
        <v>41</v>
      </c>
      <c r="L114" t="s">
        <v>37</v>
      </c>
      <c r="M114">
        <v>0</v>
      </c>
    </row>
    <row r="115" spans="1:13" x14ac:dyDescent="0.2">
      <c r="A115" s="9"/>
      <c r="B115" s="9"/>
      <c r="C115" s="9"/>
      <c r="D115" s="9"/>
      <c r="E115" s="9"/>
      <c r="F115" s="9"/>
      <c r="G115" s="9"/>
      <c r="H115" s="9"/>
      <c r="I115" s="9"/>
      <c r="J115" s="9"/>
      <c r="K115" t="s">
        <v>41</v>
      </c>
      <c r="L115" t="s">
        <v>37</v>
      </c>
      <c r="M115">
        <v>0</v>
      </c>
    </row>
    <row r="116" spans="1:13" x14ac:dyDescent="0.2">
      <c r="A116" s="9"/>
      <c r="B116" s="9"/>
      <c r="C116" s="9"/>
      <c r="D116" s="9"/>
      <c r="E116" s="9"/>
      <c r="F116" s="9"/>
      <c r="G116" s="9"/>
      <c r="H116" s="9"/>
      <c r="I116" s="9"/>
      <c r="J116" s="9"/>
      <c r="K116" t="s">
        <v>42</v>
      </c>
      <c r="L116" t="s">
        <v>38</v>
      </c>
      <c r="M116">
        <v>0</v>
      </c>
    </row>
    <row r="117" spans="1:13" x14ac:dyDescent="0.2">
      <c r="A117" s="9"/>
      <c r="B117" s="9"/>
      <c r="C117" s="9"/>
      <c r="D117" s="9"/>
      <c r="E117" s="9"/>
      <c r="F117" s="9"/>
      <c r="G117" s="9"/>
      <c r="H117" s="9"/>
      <c r="I117" s="9"/>
      <c r="J117" s="9"/>
      <c r="K117" t="s">
        <v>42</v>
      </c>
      <c r="L117" t="s">
        <v>38</v>
      </c>
      <c r="M117">
        <v>0</v>
      </c>
    </row>
    <row r="118" spans="1:13" x14ac:dyDescent="0.2">
      <c r="A118" s="9"/>
      <c r="B118" s="9"/>
      <c r="C118" s="9"/>
      <c r="D118" s="9"/>
      <c r="E118" s="9"/>
      <c r="F118" s="9"/>
      <c r="G118" s="9"/>
      <c r="H118" s="9"/>
      <c r="I118" s="9"/>
      <c r="J118" s="9"/>
      <c r="K118" t="s">
        <v>42</v>
      </c>
      <c r="L118" t="s">
        <v>38</v>
      </c>
      <c r="M118">
        <v>0</v>
      </c>
    </row>
    <row r="119" spans="1:13" x14ac:dyDescent="0.2">
      <c r="A119" s="9"/>
      <c r="B119" s="9"/>
      <c r="C119" s="9"/>
      <c r="D119" s="9"/>
      <c r="E119" s="9"/>
      <c r="F119" s="9"/>
      <c r="G119" s="9"/>
      <c r="H119" s="9"/>
      <c r="I119" s="9"/>
      <c r="J119" s="9"/>
      <c r="K119" t="s">
        <v>41</v>
      </c>
      <c r="L119" t="s">
        <v>37</v>
      </c>
      <c r="M119">
        <v>0</v>
      </c>
    </row>
    <row r="120" spans="1:13" x14ac:dyDescent="0.2">
      <c r="A120" s="9"/>
      <c r="B120" s="9"/>
      <c r="C120" s="9"/>
      <c r="D120" s="9"/>
      <c r="E120" s="9"/>
      <c r="F120" s="9"/>
      <c r="G120" s="9"/>
      <c r="H120" s="9"/>
      <c r="I120" s="9"/>
      <c r="J120" s="9"/>
      <c r="K120" t="s">
        <v>42</v>
      </c>
      <c r="L120" t="s">
        <v>38</v>
      </c>
      <c r="M120">
        <v>0</v>
      </c>
    </row>
    <row r="121" spans="1:13" x14ac:dyDescent="0.2">
      <c r="A121" s="9"/>
      <c r="B121" s="9"/>
      <c r="C121" s="9"/>
      <c r="D121" s="9"/>
      <c r="E121" s="9"/>
      <c r="F121" s="9"/>
      <c r="G121" s="9"/>
      <c r="H121" s="9"/>
      <c r="I121" s="9"/>
      <c r="J121" s="9"/>
      <c r="K121" t="s">
        <v>41</v>
      </c>
      <c r="L121" t="s">
        <v>37</v>
      </c>
      <c r="M121">
        <v>0</v>
      </c>
    </row>
    <row r="122" spans="1:13" x14ac:dyDescent="0.2">
      <c r="A122" s="9"/>
      <c r="B122" s="9"/>
      <c r="C122" s="9"/>
      <c r="D122" s="9"/>
      <c r="E122" s="9"/>
      <c r="F122" s="9"/>
      <c r="G122" s="9"/>
      <c r="H122" s="9"/>
      <c r="I122" s="9"/>
      <c r="J122" s="9"/>
      <c r="K122" t="s">
        <v>41</v>
      </c>
      <c r="L122" t="s">
        <v>37</v>
      </c>
      <c r="M122">
        <v>0</v>
      </c>
    </row>
    <row r="123" spans="1:13" x14ac:dyDescent="0.2">
      <c r="A123" s="9"/>
      <c r="B123" s="9"/>
      <c r="C123" s="9"/>
      <c r="D123" s="9"/>
      <c r="E123" s="9"/>
      <c r="F123" s="9"/>
      <c r="G123" s="9"/>
      <c r="H123" s="9"/>
      <c r="I123" s="9"/>
      <c r="J123" s="9"/>
      <c r="K123" t="s">
        <v>41</v>
      </c>
      <c r="L123" t="s">
        <v>37</v>
      </c>
      <c r="M123">
        <v>0</v>
      </c>
    </row>
    <row r="124" spans="1:13" x14ac:dyDescent="0.2">
      <c r="A124" s="9"/>
      <c r="B124" s="9"/>
      <c r="C124" s="9"/>
      <c r="D124" s="9"/>
      <c r="E124" s="9"/>
      <c r="F124" s="9"/>
      <c r="G124" s="9"/>
      <c r="H124" s="9"/>
      <c r="I124" s="9"/>
      <c r="J124" s="9"/>
      <c r="K124" t="s">
        <v>42</v>
      </c>
      <c r="L124" t="s">
        <v>38</v>
      </c>
      <c r="M124">
        <v>0</v>
      </c>
    </row>
    <row r="125" spans="1:13" x14ac:dyDescent="0.2">
      <c r="A125" s="9"/>
      <c r="B125" s="9"/>
      <c r="C125" s="9"/>
      <c r="D125" s="9"/>
      <c r="E125" s="9"/>
      <c r="F125" s="9"/>
      <c r="G125" s="9"/>
      <c r="H125" s="9"/>
      <c r="I125" s="9"/>
      <c r="J125" s="9"/>
      <c r="K125" t="s">
        <v>41</v>
      </c>
      <c r="L125" t="s">
        <v>37</v>
      </c>
      <c r="M125">
        <v>0</v>
      </c>
    </row>
    <row r="126" spans="1:13" x14ac:dyDescent="0.2">
      <c r="A126" s="9"/>
      <c r="B126" s="9"/>
      <c r="C126" s="9"/>
      <c r="D126" s="9"/>
      <c r="E126" s="9"/>
      <c r="F126" s="9"/>
      <c r="G126" s="9"/>
      <c r="H126" s="9"/>
      <c r="I126" s="9"/>
      <c r="J126" s="9"/>
      <c r="K126" t="s">
        <v>42</v>
      </c>
      <c r="L126" t="s">
        <v>38</v>
      </c>
      <c r="M126">
        <v>0</v>
      </c>
    </row>
    <row r="127" spans="1:13" x14ac:dyDescent="0.2">
      <c r="A127" s="9"/>
      <c r="B127" s="9"/>
      <c r="C127" s="9"/>
      <c r="D127" s="9"/>
      <c r="E127" s="9"/>
      <c r="F127" s="9"/>
      <c r="G127" s="9"/>
      <c r="H127" s="9"/>
      <c r="I127" s="9"/>
      <c r="J127" s="9"/>
      <c r="K127" t="s">
        <v>41</v>
      </c>
      <c r="L127" t="s">
        <v>37</v>
      </c>
      <c r="M127">
        <v>0</v>
      </c>
    </row>
    <row r="128" spans="1:13" x14ac:dyDescent="0.2">
      <c r="A128" s="9"/>
      <c r="B128" s="9"/>
      <c r="C128" s="9"/>
      <c r="D128" s="9"/>
      <c r="E128" s="9"/>
      <c r="F128" s="9"/>
      <c r="G128" s="9"/>
      <c r="H128" s="9"/>
      <c r="I128" s="9"/>
      <c r="J128" s="9"/>
      <c r="K128" t="s">
        <v>41</v>
      </c>
      <c r="L128" t="s">
        <v>37</v>
      </c>
      <c r="M128">
        <v>0</v>
      </c>
    </row>
    <row r="129" spans="1:13" x14ac:dyDescent="0.2">
      <c r="A129" s="9"/>
      <c r="B129" s="9"/>
      <c r="C129" s="9"/>
      <c r="D129" s="9"/>
      <c r="E129" s="9"/>
      <c r="F129" s="9"/>
      <c r="G129" s="9"/>
      <c r="H129" s="9"/>
      <c r="I129" s="9"/>
      <c r="J129" s="9"/>
      <c r="K129" t="s">
        <v>42</v>
      </c>
      <c r="L129" t="s">
        <v>38</v>
      </c>
      <c r="M129">
        <v>0</v>
      </c>
    </row>
    <row r="130" spans="1:13" x14ac:dyDescent="0.2">
      <c r="A130" s="9"/>
      <c r="B130" s="9"/>
      <c r="C130" s="9"/>
      <c r="D130" s="9"/>
      <c r="E130" s="9"/>
      <c r="F130" s="9"/>
      <c r="G130" s="9"/>
      <c r="H130" s="9"/>
      <c r="I130" s="9"/>
      <c r="J130" s="9"/>
      <c r="K130" t="s">
        <v>42</v>
      </c>
      <c r="L130" t="s">
        <v>38</v>
      </c>
      <c r="M130">
        <v>0</v>
      </c>
    </row>
    <row r="131" spans="1:13" x14ac:dyDescent="0.2">
      <c r="A131" s="9"/>
      <c r="B131" s="9"/>
      <c r="C131" s="9"/>
      <c r="D131" s="9"/>
      <c r="E131" s="9"/>
      <c r="F131" s="9"/>
      <c r="G131" s="9"/>
      <c r="H131" s="9"/>
      <c r="I131" s="9"/>
      <c r="J131" s="9"/>
      <c r="K131" t="s">
        <v>42</v>
      </c>
      <c r="L131" t="s">
        <v>38</v>
      </c>
      <c r="M131">
        <v>0</v>
      </c>
    </row>
    <row r="132" spans="1:13" x14ac:dyDescent="0.2">
      <c r="H132" s="9"/>
      <c r="I132" s="9"/>
      <c r="J132" s="9"/>
      <c r="K132" t="s">
        <v>42</v>
      </c>
      <c r="L132" t="s">
        <v>38</v>
      </c>
      <c r="M132">
        <v>0</v>
      </c>
    </row>
    <row r="133" spans="1:13" x14ac:dyDescent="0.2">
      <c r="H133" s="9"/>
      <c r="I133" s="9"/>
      <c r="J133" s="9"/>
      <c r="K133" t="s">
        <v>42</v>
      </c>
      <c r="L133" t="s">
        <v>38</v>
      </c>
      <c r="M133">
        <v>0</v>
      </c>
    </row>
    <row r="134" spans="1:13" x14ac:dyDescent="0.2">
      <c r="K134" t="s">
        <v>42</v>
      </c>
      <c r="L134" t="s">
        <v>38</v>
      </c>
      <c r="M134">
        <v>0</v>
      </c>
    </row>
    <row r="135" spans="1:13" x14ac:dyDescent="0.2">
      <c r="K135" t="s">
        <v>42</v>
      </c>
      <c r="L135" t="s">
        <v>38</v>
      </c>
      <c r="M135">
        <v>0</v>
      </c>
    </row>
    <row r="136" spans="1:13" x14ac:dyDescent="0.2">
      <c r="K136" t="s">
        <v>41</v>
      </c>
      <c r="L136" t="s">
        <v>37</v>
      </c>
      <c r="M136">
        <v>0</v>
      </c>
    </row>
    <row r="137" spans="1:13" x14ac:dyDescent="0.2">
      <c r="K137" t="s">
        <v>42</v>
      </c>
      <c r="L137" t="s">
        <v>38</v>
      </c>
      <c r="M137">
        <v>0</v>
      </c>
    </row>
    <row r="138" spans="1:13" x14ac:dyDescent="0.2">
      <c r="K138" t="s">
        <v>42</v>
      </c>
      <c r="L138" t="s">
        <v>38</v>
      </c>
      <c r="M138">
        <v>0</v>
      </c>
    </row>
    <row r="139" spans="1:13" x14ac:dyDescent="0.2">
      <c r="K139" t="s">
        <v>42</v>
      </c>
      <c r="L139" t="s">
        <v>38</v>
      </c>
      <c r="M139">
        <v>0</v>
      </c>
    </row>
    <row r="140" spans="1:13" x14ac:dyDescent="0.2">
      <c r="K140" t="s">
        <v>41</v>
      </c>
      <c r="L140" t="s">
        <v>37</v>
      </c>
      <c r="M140">
        <v>0</v>
      </c>
    </row>
    <row r="141" spans="1:13" x14ac:dyDescent="0.2">
      <c r="K141" t="s">
        <v>41</v>
      </c>
      <c r="L141" t="s">
        <v>37</v>
      </c>
      <c r="M141">
        <v>0</v>
      </c>
    </row>
    <row r="142" spans="1:13" x14ac:dyDescent="0.2">
      <c r="K142" t="s">
        <v>41</v>
      </c>
      <c r="L142" t="s">
        <v>37</v>
      </c>
      <c r="M142">
        <v>1</v>
      </c>
    </row>
    <row r="143" spans="1:13" x14ac:dyDescent="0.2">
      <c r="K143" t="s">
        <v>41</v>
      </c>
      <c r="L143" t="s">
        <v>37</v>
      </c>
      <c r="M143">
        <v>0</v>
      </c>
    </row>
    <row r="144" spans="1:13" x14ac:dyDescent="0.2">
      <c r="K144" t="s">
        <v>41</v>
      </c>
      <c r="L144" t="s">
        <v>37</v>
      </c>
      <c r="M144">
        <v>0</v>
      </c>
    </row>
    <row r="145" spans="11:13" x14ac:dyDescent="0.2">
      <c r="K145" t="s">
        <v>42</v>
      </c>
      <c r="L145" t="s">
        <v>38</v>
      </c>
      <c r="M145">
        <v>0</v>
      </c>
    </row>
    <row r="146" spans="11:13" x14ac:dyDescent="0.2">
      <c r="K146" t="s">
        <v>41</v>
      </c>
      <c r="L146" t="s">
        <v>37</v>
      </c>
      <c r="M146">
        <v>0</v>
      </c>
    </row>
    <row r="147" spans="11:13" x14ac:dyDescent="0.2">
      <c r="K147" t="s">
        <v>41</v>
      </c>
      <c r="L147" t="s">
        <v>37</v>
      </c>
      <c r="M147">
        <v>1</v>
      </c>
    </row>
    <row r="148" spans="11:13" x14ac:dyDescent="0.2">
      <c r="K148" t="s">
        <v>42</v>
      </c>
      <c r="L148" t="s">
        <v>38</v>
      </c>
      <c r="M148">
        <v>0</v>
      </c>
    </row>
    <row r="149" spans="11:13" x14ac:dyDescent="0.2">
      <c r="K149" t="s">
        <v>41</v>
      </c>
      <c r="L149" t="s">
        <v>37</v>
      </c>
      <c r="M149">
        <v>0</v>
      </c>
    </row>
    <row r="150" spans="11:13" x14ac:dyDescent="0.2">
      <c r="K150" t="s">
        <v>41</v>
      </c>
      <c r="L150" t="s">
        <v>37</v>
      </c>
      <c r="M150">
        <v>0</v>
      </c>
    </row>
    <row r="151" spans="11:13" x14ac:dyDescent="0.2">
      <c r="K151" t="s">
        <v>42</v>
      </c>
      <c r="L151" t="s">
        <v>38</v>
      </c>
      <c r="M151">
        <v>0</v>
      </c>
    </row>
    <row r="152" spans="11:13" x14ac:dyDescent="0.2">
      <c r="K152" t="s">
        <v>42</v>
      </c>
      <c r="L152" t="s">
        <v>38</v>
      </c>
      <c r="M152">
        <v>0</v>
      </c>
    </row>
    <row r="153" spans="11:13" x14ac:dyDescent="0.2">
      <c r="K153" t="s">
        <v>41</v>
      </c>
      <c r="L153" t="s">
        <v>37</v>
      </c>
      <c r="M153">
        <v>0</v>
      </c>
    </row>
    <row r="154" spans="11:13" x14ac:dyDescent="0.2">
      <c r="K154" t="s">
        <v>41</v>
      </c>
      <c r="L154" t="s">
        <v>37</v>
      </c>
      <c r="M154">
        <v>0</v>
      </c>
    </row>
    <row r="155" spans="11:13" x14ac:dyDescent="0.2">
      <c r="K155" t="s">
        <v>41</v>
      </c>
      <c r="L155" t="s">
        <v>37</v>
      </c>
      <c r="M155">
        <v>0</v>
      </c>
    </row>
    <row r="156" spans="11:13" x14ac:dyDescent="0.2">
      <c r="K156" t="s">
        <v>41</v>
      </c>
      <c r="L156" t="s">
        <v>37</v>
      </c>
      <c r="M156">
        <v>0</v>
      </c>
    </row>
    <row r="157" spans="11:13" x14ac:dyDescent="0.2">
      <c r="K157" t="s">
        <v>42</v>
      </c>
      <c r="L157" t="s">
        <v>38</v>
      </c>
      <c r="M157">
        <v>0</v>
      </c>
    </row>
    <row r="158" spans="11:13" x14ac:dyDescent="0.2">
      <c r="K158" t="s">
        <v>41</v>
      </c>
      <c r="L158" t="s">
        <v>37</v>
      </c>
      <c r="M158">
        <v>0</v>
      </c>
    </row>
    <row r="159" spans="11:13" x14ac:dyDescent="0.2">
      <c r="K159" t="s">
        <v>42</v>
      </c>
      <c r="L159" t="s">
        <v>38</v>
      </c>
      <c r="M159">
        <v>0</v>
      </c>
    </row>
    <row r="160" spans="11:13" x14ac:dyDescent="0.2">
      <c r="K160" t="s">
        <v>42</v>
      </c>
      <c r="L160" t="s">
        <v>38</v>
      </c>
      <c r="M160">
        <v>0</v>
      </c>
    </row>
    <row r="161" spans="11:13" x14ac:dyDescent="0.2">
      <c r="K161" t="s">
        <v>41</v>
      </c>
      <c r="L161" t="s">
        <v>37</v>
      </c>
      <c r="M161">
        <v>0</v>
      </c>
    </row>
    <row r="162" spans="11:13" x14ac:dyDescent="0.2">
      <c r="K162" t="s">
        <v>42</v>
      </c>
      <c r="L162" t="s">
        <v>38</v>
      </c>
      <c r="M162">
        <v>0</v>
      </c>
    </row>
    <row r="163" spans="11:13" x14ac:dyDescent="0.2">
      <c r="K163" t="s">
        <v>41</v>
      </c>
      <c r="L163" t="s">
        <v>37</v>
      </c>
      <c r="M163">
        <v>0</v>
      </c>
    </row>
    <row r="164" spans="11:13" x14ac:dyDescent="0.2">
      <c r="K164" t="s">
        <v>42</v>
      </c>
      <c r="L164" t="s">
        <v>38</v>
      </c>
      <c r="M164">
        <v>0</v>
      </c>
    </row>
    <row r="165" spans="11:13" x14ac:dyDescent="0.2">
      <c r="K165" t="s">
        <v>42</v>
      </c>
      <c r="L165" t="s">
        <v>38</v>
      </c>
      <c r="M165">
        <v>0</v>
      </c>
    </row>
    <row r="166" spans="11:13" x14ac:dyDescent="0.2">
      <c r="K166" t="s">
        <v>41</v>
      </c>
      <c r="L166" t="s">
        <v>37</v>
      </c>
      <c r="M166">
        <v>0</v>
      </c>
    </row>
    <row r="167" spans="11:13" x14ac:dyDescent="0.2">
      <c r="K167" t="s">
        <v>42</v>
      </c>
      <c r="L167" t="s">
        <v>38</v>
      </c>
      <c r="M167">
        <v>0</v>
      </c>
    </row>
    <row r="168" spans="11:13" x14ac:dyDescent="0.2">
      <c r="K168" t="s">
        <v>41</v>
      </c>
      <c r="L168" t="s">
        <v>37</v>
      </c>
      <c r="M168">
        <v>0</v>
      </c>
    </row>
    <row r="169" spans="11:13" x14ac:dyDescent="0.2">
      <c r="K169" t="s">
        <v>42</v>
      </c>
      <c r="L169" t="s">
        <v>38</v>
      </c>
      <c r="M169">
        <v>0</v>
      </c>
    </row>
    <row r="170" spans="11:13" x14ac:dyDescent="0.2">
      <c r="K170" t="s">
        <v>41</v>
      </c>
      <c r="L170" t="s">
        <v>37</v>
      </c>
      <c r="M170">
        <v>0</v>
      </c>
    </row>
    <row r="171" spans="11:13" x14ac:dyDescent="0.2">
      <c r="K171" t="s">
        <v>42</v>
      </c>
      <c r="L171" t="s">
        <v>38</v>
      </c>
      <c r="M171">
        <v>0</v>
      </c>
    </row>
    <row r="172" spans="11:13" x14ac:dyDescent="0.2">
      <c r="K172" t="s">
        <v>42</v>
      </c>
      <c r="L172" t="s">
        <v>38</v>
      </c>
      <c r="M172">
        <v>0</v>
      </c>
    </row>
    <row r="173" spans="11:13" x14ac:dyDescent="0.2">
      <c r="K173" t="s">
        <v>42</v>
      </c>
      <c r="L173" t="s">
        <v>38</v>
      </c>
      <c r="M173">
        <v>0</v>
      </c>
    </row>
    <row r="174" spans="11:13" x14ac:dyDescent="0.2">
      <c r="K174" t="s">
        <v>42</v>
      </c>
      <c r="L174" t="s">
        <v>38</v>
      </c>
      <c r="M174">
        <v>0</v>
      </c>
    </row>
    <row r="175" spans="11:13" x14ac:dyDescent="0.2">
      <c r="K175" t="s">
        <v>41</v>
      </c>
      <c r="L175" t="s">
        <v>37</v>
      </c>
      <c r="M175">
        <v>0</v>
      </c>
    </row>
    <row r="176" spans="11:13" x14ac:dyDescent="0.2">
      <c r="K176" t="s">
        <v>41</v>
      </c>
      <c r="L176" t="s">
        <v>37</v>
      </c>
      <c r="M176">
        <v>0</v>
      </c>
    </row>
    <row r="177" spans="11:13" x14ac:dyDescent="0.2">
      <c r="K177" t="s">
        <v>41</v>
      </c>
      <c r="L177" t="s">
        <v>37</v>
      </c>
      <c r="M177">
        <v>0</v>
      </c>
    </row>
    <row r="178" spans="11:13" x14ac:dyDescent="0.2">
      <c r="K178" t="s">
        <v>42</v>
      </c>
      <c r="L178" t="s">
        <v>38</v>
      </c>
      <c r="M178">
        <v>0</v>
      </c>
    </row>
    <row r="179" spans="11:13" x14ac:dyDescent="0.2">
      <c r="K179" t="s">
        <v>41</v>
      </c>
      <c r="L179" t="s">
        <v>37</v>
      </c>
      <c r="M179">
        <v>0</v>
      </c>
    </row>
    <row r="180" spans="11:13" x14ac:dyDescent="0.2">
      <c r="K180" t="s">
        <v>41</v>
      </c>
      <c r="L180" t="s">
        <v>37</v>
      </c>
      <c r="M180">
        <v>0</v>
      </c>
    </row>
    <row r="181" spans="11:13" x14ac:dyDescent="0.2">
      <c r="K181" t="s">
        <v>42</v>
      </c>
      <c r="L181" t="s">
        <v>38</v>
      </c>
      <c r="M181">
        <v>0</v>
      </c>
    </row>
    <row r="182" spans="11:13" x14ac:dyDescent="0.2">
      <c r="K182" t="s">
        <v>42</v>
      </c>
      <c r="L182" t="s">
        <v>38</v>
      </c>
      <c r="M182">
        <v>0</v>
      </c>
    </row>
    <row r="183" spans="11:13" x14ac:dyDescent="0.2">
      <c r="K183" t="s">
        <v>42</v>
      </c>
      <c r="L183" t="s">
        <v>38</v>
      </c>
      <c r="M183">
        <v>0</v>
      </c>
    </row>
    <row r="184" spans="11:13" x14ac:dyDescent="0.2">
      <c r="K184" t="s">
        <v>41</v>
      </c>
      <c r="L184" t="s">
        <v>37</v>
      </c>
      <c r="M184">
        <v>0</v>
      </c>
    </row>
    <row r="185" spans="11:13" x14ac:dyDescent="0.2">
      <c r="K185" t="s">
        <v>41</v>
      </c>
      <c r="L185" t="s">
        <v>37</v>
      </c>
      <c r="M185">
        <v>0</v>
      </c>
    </row>
    <row r="186" spans="11:13" x14ac:dyDescent="0.2">
      <c r="K186" t="s">
        <v>42</v>
      </c>
      <c r="L186" t="s">
        <v>38</v>
      </c>
      <c r="M186">
        <v>0</v>
      </c>
    </row>
    <row r="187" spans="11:13" x14ac:dyDescent="0.2">
      <c r="K187" t="s">
        <v>41</v>
      </c>
      <c r="L187" t="s">
        <v>37</v>
      </c>
      <c r="M187">
        <v>0</v>
      </c>
    </row>
    <row r="188" spans="11:13" x14ac:dyDescent="0.2">
      <c r="K188" t="s">
        <v>41</v>
      </c>
      <c r="L188" t="s">
        <v>37</v>
      </c>
      <c r="M188">
        <v>0</v>
      </c>
    </row>
    <row r="189" spans="11:13" x14ac:dyDescent="0.2">
      <c r="K189" t="s">
        <v>42</v>
      </c>
      <c r="L189" t="s">
        <v>38</v>
      </c>
      <c r="M189">
        <v>0</v>
      </c>
    </row>
    <row r="190" spans="11:13" x14ac:dyDescent="0.2">
      <c r="K190" t="s">
        <v>42</v>
      </c>
      <c r="L190" t="s">
        <v>38</v>
      </c>
      <c r="M190">
        <v>0</v>
      </c>
    </row>
    <row r="191" spans="11:13" x14ac:dyDescent="0.2">
      <c r="K191" t="s">
        <v>41</v>
      </c>
      <c r="L191" t="s">
        <v>37</v>
      </c>
      <c r="M191">
        <v>0</v>
      </c>
    </row>
    <row r="192" spans="11:13" x14ac:dyDescent="0.2">
      <c r="K192" t="s">
        <v>41</v>
      </c>
      <c r="L192" t="s">
        <v>37</v>
      </c>
      <c r="M192">
        <v>0</v>
      </c>
    </row>
    <row r="193" spans="11:13" x14ac:dyDescent="0.2">
      <c r="K193" t="s">
        <v>41</v>
      </c>
      <c r="L193" t="s">
        <v>37</v>
      </c>
      <c r="M193">
        <v>0</v>
      </c>
    </row>
    <row r="194" spans="11:13" x14ac:dyDescent="0.2">
      <c r="K194" t="s">
        <v>41</v>
      </c>
      <c r="L194" t="s">
        <v>37</v>
      </c>
      <c r="M194">
        <v>0</v>
      </c>
    </row>
    <row r="195" spans="11:13" x14ac:dyDescent="0.2">
      <c r="K195" t="s">
        <v>41</v>
      </c>
      <c r="L195" t="s">
        <v>37</v>
      </c>
      <c r="M195">
        <v>0</v>
      </c>
    </row>
    <row r="196" spans="11:13" x14ac:dyDescent="0.2">
      <c r="K196" t="s">
        <v>42</v>
      </c>
      <c r="L196" t="s">
        <v>38</v>
      </c>
      <c r="M196">
        <v>0</v>
      </c>
    </row>
    <row r="197" spans="11:13" x14ac:dyDescent="0.2">
      <c r="K197" t="s">
        <v>42</v>
      </c>
      <c r="L197" t="s">
        <v>38</v>
      </c>
      <c r="M197">
        <v>0</v>
      </c>
    </row>
    <row r="198" spans="11:13" x14ac:dyDescent="0.2">
      <c r="K198" t="s">
        <v>41</v>
      </c>
      <c r="L198" t="s">
        <v>37</v>
      </c>
      <c r="M198">
        <v>0</v>
      </c>
    </row>
    <row r="199" spans="11:13" x14ac:dyDescent="0.2">
      <c r="K199" t="s">
        <v>42</v>
      </c>
      <c r="L199" t="s">
        <v>38</v>
      </c>
      <c r="M199">
        <v>0</v>
      </c>
    </row>
    <row r="200" spans="11:13" x14ac:dyDescent="0.2">
      <c r="K200" t="s">
        <v>42</v>
      </c>
      <c r="L200" t="s">
        <v>38</v>
      </c>
      <c r="M200">
        <v>0</v>
      </c>
    </row>
    <row r="201" spans="11:13" x14ac:dyDescent="0.2">
      <c r="K201" t="s">
        <v>42</v>
      </c>
      <c r="L201" t="s">
        <v>38</v>
      </c>
      <c r="M201">
        <v>0</v>
      </c>
    </row>
    <row r="202" spans="11:13" x14ac:dyDescent="0.2">
      <c r="K202" t="s">
        <v>42</v>
      </c>
      <c r="L202" t="s">
        <v>38</v>
      </c>
      <c r="M202">
        <v>0</v>
      </c>
    </row>
    <row r="203" spans="11:13" x14ac:dyDescent="0.2">
      <c r="K203" t="s">
        <v>42</v>
      </c>
      <c r="L203" t="s">
        <v>38</v>
      </c>
      <c r="M203">
        <v>0</v>
      </c>
    </row>
    <row r="204" spans="11:13" x14ac:dyDescent="0.2">
      <c r="K204" t="s">
        <v>41</v>
      </c>
      <c r="L204" t="s">
        <v>37</v>
      </c>
      <c r="M204">
        <v>0</v>
      </c>
    </row>
    <row r="205" spans="11:13" x14ac:dyDescent="0.2">
      <c r="K205" t="s">
        <v>42</v>
      </c>
      <c r="L205" t="s">
        <v>38</v>
      </c>
      <c r="M205">
        <v>0</v>
      </c>
    </row>
    <row r="206" spans="11:13" x14ac:dyDescent="0.2">
      <c r="K206" t="s">
        <v>42</v>
      </c>
      <c r="L206" t="s">
        <v>38</v>
      </c>
      <c r="M206">
        <v>0</v>
      </c>
    </row>
    <row r="207" spans="11:13" x14ac:dyDescent="0.2">
      <c r="K207" t="s">
        <v>41</v>
      </c>
      <c r="L207" t="s">
        <v>37</v>
      </c>
      <c r="M207">
        <v>0</v>
      </c>
    </row>
    <row r="208" spans="11:13" x14ac:dyDescent="0.2">
      <c r="K208" t="s">
        <v>41</v>
      </c>
      <c r="L208" t="s">
        <v>37</v>
      </c>
      <c r="M208">
        <v>0</v>
      </c>
    </row>
    <row r="209" spans="11:13" x14ac:dyDescent="0.2">
      <c r="K209" t="s">
        <v>41</v>
      </c>
      <c r="L209" t="s">
        <v>37</v>
      </c>
      <c r="M209">
        <v>0</v>
      </c>
    </row>
    <row r="210" spans="11:13" x14ac:dyDescent="0.2">
      <c r="K210" t="s">
        <v>42</v>
      </c>
      <c r="L210" t="s">
        <v>38</v>
      </c>
      <c r="M210">
        <v>0</v>
      </c>
    </row>
    <row r="211" spans="11:13" x14ac:dyDescent="0.2">
      <c r="K211" t="s">
        <v>42</v>
      </c>
      <c r="L211" t="s">
        <v>38</v>
      </c>
      <c r="M211">
        <v>0</v>
      </c>
    </row>
    <row r="212" spans="11:13" x14ac:dyDescent="0.2">
      <c r="K212" t="s">
        <v>42</v>
      </c>
      <c r="L212" t="s">
        <v>38</v>
      </c>
      <c r="M212">
        <v>0</v>
      </c>
    </row>
    <row r="213" spans="11:13" x14ac:dyDescent="0.2">
      <c r="K213" t="s">
        <v>41</v>
      </c>
      <c r="L213" t="s">
        <v>37</v>
      </c>
      <c r="M213">
        <v>0</v>
      </c>
    </row>
    <row r="214" spans="11:13" x14ac:dyDescent="0.2">
      <c r="K214" t="s">
        <v>42</v>
      </c>
      <c r="L214" t="s">
        <v>38</v>
      </c>
      <c r="M214">
        <v>1</v>
      </c>
    </row>
    <row r="215" spans="11:13" x14ac:dyDescent="0.2">
      <c r="K215" t="s">
        <v>42</v>
      </c>
      <c r="L215" t="s">
        <v>38</v>
      </c>
      <c r="M215">
        <v>0</v>
      </c>
    </row>
    <row r="216" spans="11:13" x14ac:dyDescent="0.2">
      <c r="K216" t="s">
        <v>41</v>
      </c>
      <c r="L216" t="s">
        <v>37</v>
      </c>
      <c r="M216">
        <v>0</v>
      </c>
    </row>
    <row r="217" spans="11:13" x14ac:dyDescent="0.2">
      <c r="K217" t="s">
        <v>42</v>
      </c>
      <c r="L217" t="s">
        <v>38</v>
      </c>
      <c r="M217">
        <v>0</v>
      </c>
    </row>
    <row r="218" spans="11:13" x14ac:dyDescent="0.2">
      <c r="K218" t="s">
        <v>42</v>
      </c>
      <c r="L218" t="s">
        <v>38</v>
      </c>
      <c r="M218">
        <v>0</v>
      </c>
    </row>
    <row r="219" spans="11:13" x14ac:dyDescent="0.2">
      <c r="K219" t="s">
        <v>41</v>
      </c>
      <c r="L219" t="s">
        <v>37</v>
      </c>
      <c r="M219">
        <v>0</v>
      </c>
    </row>
    <row r="220" spans="11:13" x14ac:dyDescent="0.2">
      <c r="K220" t="s">
        <v>41</v>
      </c>
      <c r="L220" t="s">
        <v>37</v>
      </c>
      <c r="M220">
        <v>0</v>
      </c>
    </row>
    <row r="221" spans="11:13" x14ac:dyDescent="0.2">
      <c r="K221" t="s">
        <v>42</v>
      </c>
      <c r="L221" t="s">
        <v>38</v>
      </c>
      <c r="M221">
        <v>0</v>
      </c>
    </row>
    <row r="222" spans="11:13" x14ac:dyDescent="0.2">
      <c r="K222" t="s">
        <v>41</v>
      </c>
      <c r="L222" t="s">
        <v>37</v>
      </c>
      <c r="M222">
        <v>0</v>
      </c>
    </row>
    <row r="223" spans="11:13" x14ac:dyDescent="0.2">
      <c r="K223" t="s">
        <v>41</v>
      </c>
      <c r="L223" t="s">
        <v>37</v>
      </c>
      <c r="M223">
        <v>0</v>
      </c>
    </row>
    <row r="224" spans="11:13" x14ac:dyDescent="0.2">
      <c r="K224" t="s">
        <v>41</v>
      </c>
      <c r="L224" t="s">
        <v>37</v>
      </c>
      <c r="M224">
        <v>0</v>
      </c>
    </row>
    <row r="225" spans="11:13" x14ac:dyDescent="0.2">
      <c r="K225" t="s">
        <v>42</v>
      </c>
      <c r="L225" t="s">
        <v>38</v>
      </c>
      <c r="M225">
        <v>0</v>
      </c>
    </row>
    <row r="226" spans="11:13" x14ac:dyDescent="0.2">
      <c r="K226" t="s">
        <v>42</v>
      </c>
      <c r="L226" t="s">
        <v>38</v>
      </c>
      <c r="M226">
        <v>0</v>
      </c>
    </row>
    <row r="227" spans="11:13" x14ac:dyDescent="0.2">
      <c r="K227" t="s">
        <v>42</v>
      </c>
      <c r="L227" t="s">
        <v>38</v>
      </c>
      <c r="M227">
        <v>0</v>
      </c>
    </row>
    <row r="228" spans="11:13" x14ac:dyDescent="0.2">
      <c r="K228" t="s">
        <v>41</v>
      </c>
      <c r="L228" t="s">
        <v>37</v>
      </c>
      <c r="M228">
        <v>0</v>
      </c>
    </row>
    <row r="229" spans="11:13" x14ac:dyDescent="0.2">
      <c r="K229" t="s">
        <v>41</v>
      </c>
      <c r="L229" t="s">
        <v>37</v>
      </c>
      <c r="M229">
        <v>0</v>
      </c>
    </row>
    <row r="230" spans="11:13" x14ac:dyDescent="0.2">
      <c r="K230" t="s">
        <v>41</v>
      </c>
      <c r="L230" t="s">
        <v>37</v>
      </c>
      <c r="M230">
        <v>0</v>
      </c>
    </row>
    <row r="231" spans="11:13" x14ac:dyDescent="0.2">
      <c r="K231" t="s">
        <v>41</v>
      </c>
      <c r="L231" t="s">
        <v>37</v>
      </c>
      <c r="M231">
        <v>0</v>
      </c>
    </row>
    <row r="232" spans="11:13" x14ac:dyDescent="0.2">
      <c r="K232" t="s">
        <v>41</v>
      </c>
      <c r="L232" t="s">
        <v>37</v>
      </c>
      <c r="M232">
        <v>0</v>
      </c>
    </row>
    <row r="233" spans="11:13" x14ac:dyDescent="0.2">
      <c r="K233" t="s">
        <v>41</v>
      </c>
      <c r="L233" t="s">
        <v>37</v>
      </c>
      <c r="M233">
        <v>0</v>
      </c>
    </row>
    <row r="234" spans="11:13" x14ac:dyDescent="0.2">
      <c r="K234" t="s">
        <v>41</v>
      </c>
      <c r="L234" t="s">
        <v>37</v>
      </c>
      <c r="M234">
        <v>0</v>
      </c>
    </row>
    <row r="235" spans="11:13" x14ac:dyDescent="0.2">
      <c r="K235" t="s">
        <v>42</v>
      </c>
      <c r="L235" t="s">
        <v>38</v>
      </c>
      <c r="M235">
        <v>0</v>
      </c>
    </row>
    <row r="236" spans="11:13" x14ac:dyDescent="0.2">
      <c r="K236" t="s">
        <v>41</v>
      </c>
      <c r="L236" t="s">
        <v>37</v>
      </c>
      <c r="M236">
        <v>0</v>
      </c>
    </row>
    <row r="237" spans="11:13" x14ac:dyDescent="0.2">
      <c r="K237" t="s">
        <v>41</v>
      </c>
      <c r="L237" t="s">
        <v>37</v>
      </c>
      <c r="M237">
        <v>0</v>
      </c>
    </row>
    <row r="238" spans="11:13" x14ac:dyDescent="0.2">
      <c r="K238" t="s">
        <v>41</v>
      </c>
      <c r="L238" t="s">
        <v>37</v>
      </c>
      <c r="M238">
        <v>0</v>
      </c>
    </row>
    <row r="239" spans="11:13" x14ac:dyDescent="0.2">
      <c r="K239" t="s">
        <v>41</v>
      </c>
      <c r="L239" t="s">
        <v>37</v>
      </c>
      <c r="M239">
        <v>0</v>
      </c>
    </row>
    <row r="240" spans="11:13" x14ac:dyDescent="0.2">
      <c r="K240" t="s">
        <v>42</v>
      </c>
      <c r="L240" t="s">
        <v>38</v>
      </c>
      <c r="M240">
        <v>1</v>
      </c>
    </row>
    <row r="241" spans="11:13" x14ac:dyDescent="0.2">
      <c r="K241" t="s">
        <v>42</v>
      </c>
      <c r="L241" t="s">
        <v>38</v>
      </c>
      <c r="M241">
        <v>0</v>
      </c>
    </row>
    <row r="242" spans="11:13" x14ac:dyDescent="0.2">
      <c r="K242" t="s">
        <v>42</v>
      </c>
      <c r="L242" t="s">
        <v>38</v>
      </c>
      <c r="M242">
        <v>0</v>
      </c>
    </row>
    <row r="243" spans="11:13" x14ac:dyDescent="0.2">
      <c r="K243" t="s">
        <v>42</v>
      </c>
      <c r="L243" t="s">
        <v>38</v>
      </c>
      <c r="M243">
        <v>0</v>
      </c>
    </row>
    <row r="244" spans="11:13" x14ac:dyDescent="0.2">
      <c r="K244" t="s">
        <v>41</v>
      </c>
      <c r="L244" t="s">
        <v>37</v>
      </c>
      <c r="M244">
        <v>0</v>
      </c>
    </row>
    <row r="245" spans="11:13" x14ac:dyDescent="0.2">
      <c r="K245" t="s">
        <v>42</v>
      </c>
      <c r="L245" t="s">
        <v>38</v>
      </c>
      <c r="M245">
        <v>0</v>
      </c>
    </row>
    <row r="246" spans="11:13" x14ac:dyDescent="0.2">
      <c r="K246" t="s">
        <v>41</v>
      </c>
      <c r="L246" t="s">
        <v>37</v>
      </c>
      <c r="M246">
        <v>0</v>
      </c>
    </row>
    <row r="247" spans="11:13" x14ac:dyDescent="0.2">
      <c r="K247" t="s">
        <v>42</v>
      </c>
      <c r="L247" t="s">
        <v>38</v>
      </c>
      <c r="M247">
        <v>0</v>
      </c>
    </row>
    <row r="248" spans="11:13" x14ac:dyDescent="0.2">
      <c r="K248" t="s">
        <v>41</v>
      </c>
      <c r="L248" t="s">
        <v>37</v>
      </c>
      <c r="M248">
        <v>0</v>
      </c>
    </row>
    <row r="249" spans="11:13" x14ac:dyDescent="0.2">
      <c r="K249" t="s">
        <v>42</v>
      </c>
      <c r="L249" t="s">
        <v>38</v>
      </c>
      <c r="M249">
        <v>0</v>
      </c>
    </row>
    <row r="250" spans="11:13" x14ac:dyDescent="0.2">
      <c r="K250" t="s">
        <v>42</v>
      </c>
      <c r="L250" t="s">
        <v>38</v>
      </c>
      <c r="M250">
        <v>0</v>
      </c>
    </row>
    <row r="251" spans="11:13" x14ac:dyDescent="0.2">
      <c r="K251" t="s">
        <v>41</v>
      </c>
      <c r="L251" t="s">
        <v>37</v>
      </c>
      <c r="M251">
        <v>0</v>
      </c>
    </row>
    <row r="252" spans="11:13" x14ac:dyDescent="0.2">
      <c r="K252" t="s">
        <v>41</v>
      </c>
      <c r="L252" t="s">
        <v>37</v>
      </c>
      <c r="M252">
        <v>0</v>
      </c>
    </row>
    <row r="253" spans="11:13" x14ac:dyDescent="0.2">
      <c r="K253" t="s">
        <v>42</v>
      </c>
      <c r="L253" t="s">
        <v>38</v>
      </c>
      <c r="M253">
        <v>0</v>
      </c>
    </row>
    <row r="254" spans="11:13" x14ac:dyDescent="0.2">
      <c r="K254" t="s">
        <v>42</v>
      </c>
      <c r="L254" t="s">
        <v>38</v>
      </c>
      <c r="M254">
        <v>0</v>
      </c>
    </row>
    <row r="255" spans="11:13" x14ac:dyDescent="0.2">
      <c r="K255" t="s">
        <v>41</v>
      </c>
      <c r="L255" t="s">
        <v>37</v>
      </c>
      <c r="M255">
        <v>0</v>
      </c>
    </row>
    <row r="256" spans="11:13" x14ac:dyDescent="0.2">
      <c r="K256" t="s">
        <v>42</v>
      </c>
      <c r="L256" t="s">
        <v>38</v>
      </c>
      <c r="M256">
        <v>0</v>
      </c>
    </row>
    <row r="257" spans="11:13" x14ac:dyDescent="0.2">
      <c r="K257" t="s">
        <v>42</v>
      </c>
      <c r="L257" t="s">
        <v>38</v>
      </c>
      <c r="M257">
        <v>0</v>
      </c>
    </row>
    <row r="258" spans="11:13" x14ac:dyDescent="0.2">
      <c r="K258" t="s">
        <v>41</v>
      </c>
      <c r="L258" t="s">
        <v>37</v>
      </c>
      <c r="M258">
        <v>0</v>
      </c>
    </row>
    <row r="259" spans="11:13" x14ac:dyDescent="0.2">
      <c r="K259" t="s">
        <v>41</v>
      </c>
      <c r="L259" t="s">
        <v>37</v>
      </c>
      <c r="M259">
        <v>0</v>
      </c>
    </row>
    <row r="260" spans="11:13" x14ac:dyDescent="0.2">
      <c r="K260" t="s">
        <v>41</v>
      </c>
      <c r="L260" t="s">
        <v>37</v>
      </c>
      <c r="M260">
        <v>0</v>
      </c>
    </row>
    <row r="261" spans="11:13" x14ac:dyDescent="0.2">
      <c r="K261" t="s">
        <v>42</v>
      </c>
      <c r="L261" t="s">
        <v>38</v>
      </c>
      <c r="M261">
        <v>0</v>
      </c>
    </row>
    <row r="262" spans="11:13" x14ac:dyDescent="0.2">
      <c r="K262" t="s">
        <v>41</v>
      </c>
      <c r="L262" t="s">
        <v>37</v>
      </c>
      <c r="M262">
        <v>0</v>
      </c>
    </row>
    <row r="263" spans="11:13" x14ac:dyDescent="0.2">
      <c r="K263" t="s">
        <v>41</v>
      </c>
      <c r="L263" t="s">
        <v>37</v>
      </c>
      <c r="M263">
        <v>1</v>
      </c>
    </row>
    <row r="264" spans="11:13" x14ac:dyDescent="0.2">
      <c r="K264" t="s">
        <v>41</v>
      </c>
      <c r="L264" t="s">
        <v>37</v>
      </c>
      <c r="M264">
        <v>0</v>
      </c>
    </row>
    <row r="265" spans="11:13" x14ac:dyDescent="0.2">
      <c r="K265" t="s">
        <v>42</v>
      </c>
      <c r="L265" t="s">
        <v>38</v>
      </c>
      <c r="M265">
        <v>0</v>
      </c>
    </row>
    <row r="266" spans="11:13" x14ac:dyDescent="0.2">
      <c r="K266" t="s">
        <v>41</v>
      </c>
      <c r="L266" t="s">
        <v>37</v>
      </c>
      <c r="M266">
        <v>0</v>
      </c>
    </row>
    <row r="267" spans="11:13" x14ac:dyDescent="0.2">
      <c r="K267" t="s">
        <v>42</v>
      </c>
      <c r="L267" t="s">
        <v>38</v>
      </c>
      <c r="M267">
        <v>0</v>
      </c>
    </row>
    <row r="268" spans="11:13" x14ac:dyDescent="0.2">
      <c r="K268" t="s">
        <v>42</v>
      </c>
      <c r="L268" t="s">
        <v>38</v>
      </c>
      <c r="M268">
        <v>1</v>
      </c>
    </row>
    <row r="269" spans="11:13" x14ac:dyDescent="0.2">
      <c r="K269" t="s">
        <v>41</v>
      </c>
      <c r="L269" t="s">
        <v>37</v>
      </c>
      <c r="M269">
        <v>0</v>
      </c>
    </row>
    <row r="270" spans="11:13" x14ac:dyDescent="0.2">
      <c r="K270" t="s">
        <v>41</v>
      </c>
      <c r="L270" t="s">
        <v>37</v>
      </c>
      <c r="M270">
        <v>0</v>
      </c>
    </row>
    <row r="271" spans="11:13" x14ac:dyDescent="0.2">
      <c r="K271" t="s">
        <v>42</v>
      </c>
      <c r="L271" t="s">
        <v>38</v>
      </c>
      <c r="M271">
        <v>0</v>
      </c>
    </row>
    <row r="272" spans="11:13" x14ac:dyDescent="0.2">
      <c r="K272" t="s">
        <v>42</v>
      </c>
      <c r="L272" t="s">
        <v>38</v>
      </c>
      <c r="M272">
        <v>0</v>
      </c>
    </row>
    <row r="273" spans="11:13" x14ac:dyDescent="0.2">
      <c r="K273" t="s">
        <v>42</v>
      </c>
      <c r="L273" t="s">
        <v>38</v>
      </c>
      <c r="M273">
        <v>0</v>
      </c>
    </row>
    <row r="274" spans="11:13" x14ac:dyDescent="0.2">
      <c r="K274" t="s">
        <v>42</v>
      </c>
      <c r="L274" t="s">
        <v>38</v>
      </c>
      <c r="M274">
        <v>0</v>
      </c>
    </row>
    <row r="275" spans="11:13" x14ac:dyDescent="0.2">
      <c r="K275" t="s">
        <v>41</v>
      </c>
      <c r="L275" t="s">
        <v>37</v>
      </c>
      <c r="M275">
        <v>0</v>
      </c>
    </row>
    <row r="276" spans="11:13" x14ac:dyDescent="0.2">
      <c r="K276" t="s">
        <v>41</v>
      </c>
      <c r="L276" t="s">
        <v>37</v>
      </c>
      <c r="M276">
        <v>0</v>
      </c>
    </row>
    <row r="277" spans="11:13" x14ac:dyDescent="0.2">
      <c r="K277" t="s">
        <v>42</v>
      </c>
      <c r="L277" t="s">
        <v>38</v>
      </c>
      <c r="M277">
        <v>0</v>
      </c>
    </row>
    <row r="278" spans="11:13" x14ac:dyDescent="0.2">
      <c r="K278" t="s">
        <v>42</v>
      </c>
      <c r="L278" t="s">
        <v>38</v>
      </c>
      <c r="M278">
        <v>0</v>
      </c>
    </row>
    <row r="279" spans="11:13" x14ac:dyDescent="0.2">
      <c r="K279" t="s">
        <v>41</v>
      </c>
      <c r="L279" t="s">
        <v>37</v>
      </c>
      <c r="M279">
        <v>0</v>
      </c>
    </row>
    <row r="280" spans="11:13" x14ac:dyDescent="0.2">
      <c r="K280" t="s">
        <v>42</v>
      </c>
      <c r="L280" t="s">
        <v>38</v>
      </c>
      <c r="M280">
        <v>0</v>
      </c>
    </row>
    <row r="281" spans="11:13" x14ac:dyDescent="0.2">
      <c r="K281" t="s">
        <v>42</v>
      </c>
      <c r="L281" t="s">
        <v>38</v>
      </c>
      <c r="M281">
        <v>0</v>
      </c>
    </row>
    <row r="282" spans="11:13" x14ac:dyDescent="0.2">
      <c r="K282" t="s">
        <v>42</v>
      </c>
      <c r="L282" t="s">
        <v>38</v>
      </c>
      <c r="M282">
        <v>0</v>
      </c>
    </row>
    <row r="283" spans="11:13" x14ac:dyDescent="0.2">
      <c r="K283" t="s">
        <v>41</v>
      </c>
      <c r="L283" t="s">
        <v>37</v>
      </c>
      <c r="M283">
        <v>0</v>
      </c>
    </row>
    <row r="284" spans="11:13" x14ac:dyDescent="0.2">
      <c r="K284" t="s">
        <v>41</v>
      </c>
      <c r="L284" t="s">
        <v>37</v>
      </c>
      <c r="M284">
        <v>0</v>
      </c>
    </row>
    <row r="285" spans="11:13" x14ac:dyDescent="0.2">
      <c r="K285" t="s">
        <v>42</v>
      </c>
      <c r="L285" t="s">
        <v>38</v>
      </c>
      <c r="M285">
        <v>0</v>
      </c>
    </row>
    <row r="286" spans="11:13" x14ac:dyDescent="0.2">
      <c r="K286" t="s">
        <v>42</v>
      </c>
      <c r="L286" t="s">
        <v>38</v>
      </c>
      <c r="M286">
        <v>0</v>
      </c>
    </row>
    <row r="287" spans="11:13" x14ac:dyDescent="0.2">
      <c r="K287" t="s">
        <v>42</v>
      </c>
      <c r="L287" t="s">
        <v>38</v>
      </c>
      <c r="M287">
        <v>0</v>
      </c>
    </row>
    <row r="288" spans="11:13" x14ac:dyDescent="0.2">
      <c r="K288" t="s">
        <v>42</v>
      </c>
      <c r="L288" t="s">
        <v>38</v>
      </c>
      <c r="M288">
        <v>0</v>
      </c>
    </row>
    <row r="289" spans="11:13" x14ac:dyDescent="0.2">
      <c r="K289" t="s">
        <v>41</v>
      </c>
      <c r="L289" t="s">
        <v>37</v>
      </c>
      <c r="M289">
        <v>0</v>
      </c>
    </row>
    <row r="290" spans="11:13" x14ac:dyDescent="0.2">
      <c r="K290" t="s">
        <v>42</v>
      </c>
      <c r="L290" t="s">
        <v>38</v>
      </c>
      <c r="M290">
        <v>0</v>
      </c>
    </row>
    <row r="291" spans="11:13" x14ac:dyDescent="0.2">
      <c r="K291" t="s">
        <v>41</v>
      </c>
      <c r="L291" t="s">
        <v>37</v>
      </c>
      <c r="M291">
        <v>0</v>
      </c>
    </row>
    <row r="292" spans="11:13" x14ac:dyDescent="0.2">
      <c r="K292" t="s">
        <v>41</v>
      </c>
      <c r="L292" t="s">
        <v>37</v>
      </c>
      <c r="M292">
        <v>0</v>
      </c>
    </row>
    <row r="293" spans="11:13" x14ac:dyDescent="0.2">
      <c r="K293" t="s">
        <v>42</v>
      </c>
      <c r="L293" t="s">
        <v>38</v>
      </c>
      <c r="M293">
        <v>0</v>
      </c>
    </row>
    <row r="294" spans="11:13" x14ac:dyDescent="0.2">
      <c r="K294" t="s">
        <v>42</v>
      </c>
      <c r="L294" t="s">
        <v>38</v>
      </c>
      <c r="M294">
        <v>0</v>
      </c>
    </row>
    <row r="295" spans="11:13" x14ac:dyDescent="0.2">
      <c r="K295" t="s">
        <v>42</v>
      </c>
      <c r="L295" t="s">
        <v>38</v>
      </c>
      <c r="M295">
        <v>0</v>
      </c>
    </row>
    <row r="296" spans="11:13" x14ac:dyDescent="0.2">
      <c r="K296" t="s">
        <v>42</v>
      </c>
      <c r="L296" t="s">
        <v>38</v>
      </c>
      <c r="M296">
        <v>1</v>
      </c>
    </row>
    <row r="297" spans="11:13" x14ac:dyDescent="0.2">
      <c r="K297" t="s">
        <v>42</v>
      </c>
      <c r="L297" t="s">
        <v>38</v>
      </c>
      <c r="M297">
        <v>1</v>
      </c>
    </row>
    <row r="298" spans="11:13" x14ac:dyDescent="0.2">
      <c r="K298" t="s">
        <v>41</v>
      </c>
      <c r="L298" t="s">
        <v>37</v>
      </c>
      <c r="M298">
        <v>0</v>
      </c>
    </row>
    <row r="299" spans="11:13" x14ac:dyDescent="0.2">
      <c r="K299" t="s">
        <v>41</v>
      </c>
      <c r="L299" t="s">
        <v>37</v>
      </c>
      <c r="M299">
        <v>0</v>
      </c>
    </row>
    <row r="300" spans="11:13" x14ac:dyDescent="0.2">
      <c r="K300" t="s">
        <v>42</v>
      </c>
      <c r="L300" t="s">
        <v>38</v>
      </c>
      <c r="M300">
        <v>0</v>
      </c>
    </row>
    <row r="301" spans="11:13" x14ac:dyDescent="0.2">
      <c r="K301" t="s">
        <v>42</v>
      </c>
      <c r="L301" t="s">
        <v>38</v>
      </c>
      <c r="M301">
        <v>0</v>
      </c>
    </row>
    <row r="302" spans="11:13" x14ac:dyDescent="0.2">
      <c r="K302" t="s">
        <v>41</v>
      </c>
      <c r="L302" t="s">
        <v>37</v>
      </c>
      <c r="M302">
        <v>0</v>
      </c>
    </row>
    <row r="303" spans="11:13" x14ac:dyDescent="0.2">
      <c r="K303" t="s">
        <v>41</v>
      </c>
      <c r="L303" t="s">
        <v>37</v>
      </c>
      <c r="M303">
        <v>0</v>
      </c>
    </row>
    <row r="304" spans="11:13" x14ac:dyDescent="0.2">
      <c r="K304" t="s">
        <v>42</v>
      </c>
      <c r="L304" t="s">
        <v>38</v>
      </c>
      <c r="M304">
        <v>0</v>
      </c>
    </row>
    <row r="305" spans="11:13" x14ac:dyDescent="0.2">
      <c r="K305" t="s">
        <v>42</v>
      </c>
      <c r="L305" t="s">
        <v>38</v>
      </c>
      <c r="M305">
        <v>0</v>
      </c>
    </row>
    <row r="306" spans="11:13" x14ac:dyDescent="0.2">
      <c r="K306" t="s">
        <v>42</v>
      </c>
      <c r="L306" t="s">
        <v>38</v>
      </c>
      <c r="M306">
        <v>0</v>
      </c>
    </row>
    <row r="307" spans="11:13" x14ac:dyDescent="0.2">
      <c r="K307" t="s">
        <v>41</v>
      </c>
      <c r="L307" t="s">
        <v>37</v>
      </c>
      <c r="M307">
        <v>0</v>
      </c>
    </row>
    <row r="308" spans="11:13" x14ac:dyDescent="0.2">
      <c r="K308" t="s">
        <v>41</v>
      </c>
      <c r="L308" t="s">
        <v>37</v>
      </c>
      <c r="M308">
        <v>0</v>
      </c>
    </row>
    <row r="309" spans="11:13" x14ac:dyDescent="0.2">
      <c r="K309" t="s">
        <v>42</v>
      </c>
      <c r="L309" t="s">
        <v>38</v>
      </c>
      <c r="M309">
        <v>0</v>
      </c>
    </row>
    <row r="310" spans="11:13" x14ac:dyDescent="0.2">
      <c r="K310" t="s">
        <v>41</v>
      </c>
      <c r="L310" t="s">
        <v>37</v>
      </c>
      <c r="M310">
        <v>0</v>
      </c>
    </row>
    <row r="311" spans="11:13" x14ac:dyDescent="0.2">
      <c r="K311" t="s">
        <v>42</v>
      </c>
      <c r="L311" t="s">
        <v>38</v>
      </c>
      <c r="M311">
        <v>0</v>
      </c>
    </row>
    <row r="312" spans="11:13" x14ac:dyDescent="0.2">
      <c r="K312" t="s">
        <v>42</v>
      </c>
      <c r="L312" t="s">
        <v>38</v>
      </c>
      <c r="M312">
        <v>0</v>
      </c>
    </row>
    <row r="313" spans="11:13" x14ac:dyDescent="0.2">
      <c r="K313" t="s">
        <v>41</v>
      </c>
      <c r="L313" t="s">
        <v>37</v>
      </c>
      <c r="M313">
        <v>0</v>
      </c>
    </row>
    <row r="314" spans="11:13" x14ac:dyDescent="0.2">
      <c r="K314" t="s">
        <v>41</v>
      </c>
      <c r="L314" t="s">
        <v>37</v>
      </c>
      <c r="M314">
        <v>0</v>
      </c>
    </row>
    <row r="315" spans="11:13" x14ac:dyDescent="0.2">
      <c r="K315" t="s">
        <v>41</v>
      </c>
      <c r="L315" t="s">
        <v>37</v>
      </c>
      <c r="M315">
        <v>0</v>
      </c>
    </row>
    <row r="316" spans="11:13" x14ac:dyDescent="0.2">
      <c r="K316" t="s">
        <v>42</v>
      </c>
      <c r="L316" t="s">
        <v>38</v>
      </c>
      <c r="M316">
        <v>0</v>
      </c>
    </row>
    <row r="317" spans="11:13" x14ac:dyDescent="0.2">
      <c r="K317" t="s">
        <v>42</v>
      </c>
      <c r="L317" t="s">
        <v>38</v>
      </c>
      <c r="M317">
        <v>0</v>
      </c>
    </row>
    <row r="318" spans="11:13" x14ac:dyDescent="0.2">
      <c r="K318" t="s">
        <v>41</v>
      </c>
      <c r="L318" t="s">
        <v>37</v>
      </c>
      <c r="M318">
        <v>0</v>
      </c>
    </row>
    <row r="319" spans="11:13" x14ac:dyDescent="0.2">
      <c r="K319" t="s">
        <v>42</v>
      </c>
      <c r="L319" t="s">
        <v>38</v>
      </c>
      <c r="M319">
        <v>0</v>
      </c>
    </row>
    <row r="320" spans="11:13" x14ac:dyDescent="0.2">
      <c r="K320" t="s">
        <v>41</v>
      </c>
      <c r="L320" t="s">
        <v>37</v>
      </c>
      <c r="M320">
        <v>0</v>
      </c>
    </row>
    <row r="321" spans="11:13" x14ac:dyDescent="0.2">
      <c r="K321" t="s">
        <v>42</v>
      </c>
      <c r="L321" t="s">
        <v>38</v>
      </c>
      <c r="M321">
        <v>0</v>
      </c>
    </row>
    <row r="322" spans="11:13" x14ac:dyDescent="0.2">
      <c r="K322" t="s">
        <v>42</v>
      </c>
      <c r="L322" t="s">
        <v>38</v>
      </c>
      <c r="M322">
        <v>0</v>
      </c>
    </row>
    <row r="323" spans="11:13" x14ac:dyDescent="0.2">
      <c r="K323" t="s">
        <v>42</v>
      </c>
      <c r="L323" t="s">
        <v>38</v>
      </c>
      <c r="M323">
        <v>0</v>
      </c>
    </row>
    <row r="324" spans="11:13" x14ac:dyDescent="0.2">
      <c r="K324" t="s">
        <v>42</v>
      </c>
      <c r="L324" t="s">
        <v>38</v>
      </c>
      <c r="M324">
        <v>0</v>
      </c>
    </row>
    <row r="325" spans="11:13" x14ac:dyDescent="0.2">
      <c r="K325" t="s">
        <v>41</v>
      </c>
      <c r="L325" t="s">
        <v>37</v>
      </c>
      <c r="M325">
        <v>0</v>
      </c>
    </row>
    <row r="326" spans="11:13" x14ac:dyDescent="0.2">
      <c r="K326" t="s">
        <v>42</v>
      </c>
      <c r="L326" t="s">
        <v>38</v>
      </c>
      <c r="M326">
        <v>0</v>
      </c>
    </row>
    <row r="327" spans="11:13" x14ac:dyDescent="0.2">
      <c r="K327" t="s">
        <v>42</v>
      </c>
      <c r="L327" t="s">
        <v>38</v>
      </c>
      <c r="M327">
        <v>0</v>
      </c>
    </row>
    <row r="328" spans="11:13" x14ac:dyDescent="0.2">
      <c r="K328" t="s">
        <v>41</v>
      </c>
      <c r="L328" t="s">
        <v>37</v>
      </c>
      <c r="M328">
        <v>0</v>
      </c>
    </row>
    <row r="329" spans="11:13" x14ac:dyDescent="0.2">
      <c r="K329" t="s">
        <v>41</v>
      </c>
      <c r="L329" t="s">
        <v>37</v>
      </c>
      <c r="M329">
        <v>0</v>
      </c>
    </row>
    <row r="330" spans="11:13" x14ac:dyDescent="0.2">
      <c r="K330" t="s">
        <v>42</v>
      </c>
      <c r="L330" t="s">
        <v>38</v>
      </c>
      <c r="M330">
        <v>0</v>
      </c>
    </row>
    <row r="331" spans="11:13" x14ac:dyDescent="0.2">
      <c r="K331" t="s">
        <v>41</v>
      </c>
      <c r="L331" t="s">
        <v>37</v>
      </c>
      <c r="M331">
        <v>0</v>
      </c>
    </row>
    <row r="332" spans="11:13" x14ac:dyDescent="0.2">
      <c r="K332" t="s">
        <v>41</v>
      </c>
      <c r="L332" t="s">
        <v>37</v>
      </c>
      <c r="M332">
        <v>0</v>
      </c>
    </row>
    <row r="333" spans="11:13" x14ac:dyDescent="0.2">
      <c r="K333" t="s">
        <v>41</v>
      </c>
      <c r="L333" t="s">
        <v>37</v>
      </c>
      <c r="M333">
        <v>0</v>
      </c>
    </row>
    <row r="334" spans="11:13" x14ac:dyDescent="0.2">
      <c r="K334" t="s">
        <v>42</v>
      </c>
      <c r="L334" t="s">
        <v>38</v>
      </c>
      <c r="M334">
        <v>0</v>
      </c>
    </row>
    <row r="335" spans="11:13" x14ac:dyDescent="0.2">
      <c r="K335" t="s">
        <v>42</v>
      </c>
      <c r="L335" t="s">
        <v>38</v>
      </c>
      <c r="M335">
        <v>0</v>
      </c>
    </row>
    <row r="336" spans="11:13" x14ac:dyDescent="0.2">
      <c r="K336" t="s">
        <v>42</v>
      </c>
      <c r="L336" t="s">
        <v>38</v>
      </c>
      <c r="M336">
        <v>0</v>
      </c>
    </row>
    <row r="337" spans="11:13" x14ac:dyDescent="0.2">
      <c r="K337" t="s">
        <v>42</v>
      </c>
      <c r="L337" t="s">
        <v>38</v>
      </c>
      <c r="M337">
        <v>0</v>
      </c>
    </row>
    <row r="338" spans="11:13" x14ac:dyDescent="0.2">
      <c r="K338" t="s">
        <v>41</v>
      </c>
      <c r="L338" t="s">
        <v>37</v>
      </c>
      <c r="M338">
        <v>0</v>
      </c>
    </row>
    <row r="339" spans="11:13" x14ac:dyDescent="0.2">
      <c r="K339" t="s">
        <v>42</v>
      </c>
      <c r="L339" t="s">
        <v>38</v>
      </c>
      <c r="M339">
        <v>0</v>
      </c>
    </row>
    <row r="340" spans="11:13" x14ac:dyDescent="0.2">
      <c r="K340" t="s">
        <v>42</v>
      </c>
      <c r="L340" t="s">
        <v>38</v>
      </c>
      <c r="M340">
        <v>0</v>
      </c>
    </row>
    <row r="341" spans="11:13" x14ac:dyDescent="0.2">
      <c r="K341" t="s">
        <v>42</v>
      </c>
      <c r="L341" t="s">
        <v>38</v>
      </c>
      <c r="M341">
        <v>0</v>
      </c>
    </row>
    <row r="342" spans="11:13" x14ac:dyDescent="0.2">
      <c r="K342" t="s">
        <v>41</v>
      </c>
      <c r="L342" t="s">
        <v>37</v>
      </c>
      <c r="M342">
        <v>0</v>
      </c>
    </row>
    <row r="343" spans="11:13" x14ac:dyDescent="0.2">
      <c r="K343" t="s">
        <v>41</v>
      </c>
      <c r="L343" t="s">
        <v>37</v>
      </c>
      <c r="M343">
        <v>0</v>
      </c>
    </row>
    <row r="344" spans="11:13" x14ac:dyDescent="0.2">
      <c r="K344" t="s">
        <v>42</v>
      </c>
      <c r="L344" t="s">
        <v>38</v>
      </c>
      <c r="M344">
        <v>0</v>
      </c>
    </row>
    <row r="345" spans="11:13" x14ac:dyDescent="0.2">
      <c r="K345" t="s">
        <v>42</v>
      </c>
      <c r="L345" t="s">
        <v>38</v>
      </c>
      <c r="M345">
        <v>0</v>
      </c>
    </row>
    <row r="346" spans="11:13" x14ac:dyDescent="0.2">
      <c r="K346" t="s">
        <v>42</v>
      </c>
      <c r="L346" t="s">
        <v>38</v>
      </c>
      <c r="M346">
        <v>0</v>
      </c>
    </row>
    <row r="347" spans="11:13" x14ac:dyDescent="0.2">
      <c r="K347" t="s">
        <v>42</v>
      </c>
      <c r="L347" t="s">
        <v>38</v>
      </c>
      <c r="M347">
        <v>0</v>
      </c>
    </row>
    <row r="348" spans="11:13" x14ac:dyDescent="0.2">
      <c r="K348" t="s">
        <v>41</v>
      </c>
      <c r="L348" t="s">
        <v>37</v>
      </c>
      <c r="M348">
        <v>0</v>
      </c>
    </row>
    <row r="349" spans="11:13" x14ac:dyDescent="0.2">
      <c r="K349" t="s">
        <v>41</v>
      </c>
      <c r="L349" t="s">
        <v>37</v>
      </c>
      <c r="M349">
        <v>0</v>
      </c>
    </row>
    <row r="350" spans="11:13" x14ac:dyDescent="0.2">
      <c r="K350" t="s">
        <v>42</v>
      </c>
      <c r="L350" t="s">
        <v>38</v>
      </c>
      <c r="M350">
        <v>0</v>
      </c>
    </row>
    <row r="351" spans="11:13" x14ac:dyDescent="0.2">
      <c r="K351" t="s">
        <v>42</v>
      </c>
      <c r="L351" t="s">
        <v>38</v>
      </c>
      <c r="M351">
        <v>0</v>
      </c>
    </row>
    <row r="352" spans="11:13" x14ac:dyDescent="0.2">
      <c r="K352" t="s">
        <v>42</v>
      </c>
      <c r="L352" t="s">
        <v>38</v>
      </c>
      <c r="M352">
        <v>0</v>
      </c>
    </row>
    <row r="353" spans="11:13" x14ac:dyDescent="0.2">
      <c r="K353" t="s">
        <v>41</v>
      </c>
      <c r="L353" t="s">
        <v>37</v>
      </c>
      <c r="M353">
        <v>0</v>
      </c>
    </row>
    <row r="354" spans="11:13" x14ac:dyDescent="0.2">
      <c r="K354" t="s">
        <v>42</v>
      </c>
      <c r="L354" t="s">
        <v>38</v>
      </c>
      <c r="M354">
        <v>0</v>
      </c>
    </row>
    <row r="355" spans="11:13" x14ac:dyDescent="0.2">
      <c r="K355" t="s">
        <v>42</v>
      </c>
      <c r="L355" t="s">
        <v>38</v>
      </c>
      <c r="M355">
        <v>0</v>
      </c>
    </row>
    <row r="356" spans="11:13" x14ac:dyDescent="0.2">
      <c r="K356" t="s">
        <v>42</v>
      </c>
      <c r="L356" t="s">
        <v>38</v>
      </c>
      <c r="M356">
        <v>0</v>
      </c>
    </row>
    <row r="357" spans="11:13" x14ac:dyDescent="0.2">
      <c r="K357" t="s">
        <v>42</v>
      </c>
      <c r="L357" t="s">
        <v>38</v>
      </c>
      <c r="M357">
        <v>0</v>
      </c>
    </row>
    <row r="358" spans="11:13" x14ac:dyDescent="0.2">
      <c r="K358" t="s">
        <v>41</v>
      </c>
      <c r="L358" t="s">
        <v>37</v>
      </c>
      <c r="M358">
        <v>0</v>
      </c>
    </row>
    <row r="359" spans="11:13" x14ac:dyDescent="0.2">
      <c r="K359" t="s">
        <v>42</v>
      </c>
      <c r="L359" t="s">
        <v>38</v>
      </c>
      <c r="M359">
        <v>0</v>
      </c>
    </row>
    <row r="360" spans="11:13" x14ac:dyDescent="0.2">
      <c r="K360" t="s">
        <v>41</v>
      </c>
      <c r="L360" t="s">
        <v>37</v>
      </c>
      <c r="M360">
        <v>0</v>
      </c>
    </row>
    <row r="361" spans="11:13" x14ac:dyDescent="0.2">
      <c r="K361" t="s">
        <v>41</v>
      </c>
      <c r="L361" t="s">
        <v>37</v>
      </c>
      <c r="M361">
        <v>0</v>
      </c>
    </row>
    <row r="362" spans="11:13" x14ac:dyDescent="0.2">
      <c r="K362" t="s">
        <v>41</v>
      </c>
      <c r="L362" t="s">
        <v>37</v>
      </c>
      <c r="M362">
        <v>0</v>
      </c>
    </row>
    <row r="363" spans="11:13" x14ac:dyDescent="0.2">
      <c r="K363" t="s">
        <v>42</v>
      </c>
      <c r="L363" t="s">
        <v>38</v>
      </c>
      <c r="M363">
        <v>0</v>
      </c>
    </row>
    <row r="364" spans="11:13" x14ac:dyDescent="0.2">
      <c r="K364" t="s">
        <v>41</v>
      </c>
      <c r="L364" t="s">
        <v>37</v>
      </c>
      <c r="M364">
        <v>0</v>
      </c>
    </row>
    <row r="365" spans="11:13" x14ac:dyDescent="0.2">
      <c r="K365" t="s">
        <v>42</v>
      </c>
      <c r="L365" t="s">
        <v>38</v>
      </c>
      <c r="M365">
        <v>0</v>
      </c>
    </row>
    <row r="366" spans="11:13" x14ac:dyDescent="0.2">
      <c r="K366" t="s">
        <v>41</v>
      </c>
      <c r="L366" t="s">
        <v>37</v>
      </c>
      <c r="M366">
        <v>0</v>
      </c>
    </row>
    <row r="367" spans="11:13" x14ac:dyDescent="0.2">
      <c r="K367" t="s">
        <v>41</v>
      </c>
      <c r="L367" t="s">
        <v>37</v>
      </c>
      <c r="M367">
        <v>0</v>
      </c>
    </row>
    <row r="368" spans="11:13" x14ac:dyDescent="0.2">
      <c r="K368" t="s">
        <v>41</v>
      </c>
      <c r="L368" t="s">
        <v>37</v>
      </c>
      <c r="M368">
        <v>0</v>
      </c>
    </row>
    <row r="369" spans="11:13" x14ac:dyDescent="0.2">
      <c r="K369" t="s">
        <v>42</v>
      </c>
      <c r="L369" t="s">
        <v>38</v>
      </c>
      <c r="M369">
        <v>0</v>
      </c>
    </row>
    <row r="370" spans="11:13" x14ac:dyDescent="0.2">
      <c r="K370" t="s">
        <v>41</v>
      </c>
      <c r="L370" t="s">
        <v>37</v>
      </c>
      <c r="M370">
        <v>1</v>
      </c>
    </row>
    <row r="371" spans="11:13" x14ac:dyDescent="0.2">
      <c r="K371" t="s">
        <v>42</v>
      </c>
      <c r="L371" t="s">
        <v>38</v>
      </c>
      <c r="M371">
        <v>0</v>
      </c>
    </row>
    <row r="372" spans="11:13" x14ac:dyDescent="0.2">
      <c r="K372" t="s">
        <v>42</v>
      </c>
      <c r="L372" t="s">
        <v>38</v>
      </c>
      <c r="M372">
        <v>0</v>
      </c>
    </row>
    <row r="373" spans="11:13" x14ac:dyDescent="0.2">
      <c r="K373" t="s">
        <v>42</v>
      </c>
      <c r="L373" t="s">
        <v>38</v>
      </c>
      <c r="M373">
        <v>0</v>
      </c>
    </row>
    <row r="374" spans="11:13" x14ac:dyDescent="0.2">
      <c r="K374" t="s">
        <v>41</v>
      </c>
      <c r="L374" t="s">
        <v>37</v>
      </c>
      <c r="M374">
        <v>0</v>
      </c>
    </row>
    <row r="375" spans="11:13" x14ac:dyDescent="0.2">
      <c r="K375" t="s">
        <v>42</v>
      </c>
      <c r="L375" t="s">
        <v>38</v>
      </c>
      <c r="M375">
        <v>0</v>
      </c>
    </row>
    <row r="376" spans="11:13" x14ac:dyDescent="0.2">
      <c r="K376" t="s">
        <v>42</v>
      </c>
      <c r="L376" t="s">
        <v>38</v>
      </c>
      <c r="M376">
        <v>0</v>
      </c>
    </row>
    <row r="377" spans="11:13" x14ac:dyDescent="0.2">
      <c r="K377" t="s">
        <v>42</v>
      </c>
      <c r="L377" t="s">
        <v>38</v>
      </c>
      <c r="M377">
        <v>0</v>
      </c>
    </row>
    <row r="378" spans="11:13" x14ac:dyDescent="0.2">
      <c r="K378" t="s">
        <v>41</v>
      </c>
      <c r="L378" t="s">
        <v>37</v>
      </c>
      <c r="M378">
        <v>1</v>
      </c>
    </row>
    <row r="379" spans="11:13" x14ac:dyDescent="0.2">
      <c r="K379" t="s">
        <v>42</v>
      </c>
      <c r="L379" t="s">
        <v>38</v>
      </c>
      <c r="M379">
        <v>0</v>
      </c>
    </row>
    <row r="380" spans="11:13" x14ac:dyDescent="0.2">
      <c r="K380" t="s">
        <v>41</v>
      </c>
      <c r="L380" t="s">
        <v>37</v>
      </c>
      <c r="M380">
        <v>0</v>
      </c>
    </row>
    <row r="381" spans="11:13" x14ac:dyDescent="0.2">
      <c r="K381" t="s">
        <v>41</v>
      </c>
      <c r="L381" t="s">
        <v>37</v>
      </c>
      <c r="M381">
        <v>0</v>
      </c>
    </row>
    <row r="382" spans="11:13" x14ac:dyDescent="0.2">
      <c r="K382" t="s">
        <v>42</v>
      </c>
      <c r="L382" t="s">
        <v>38</v>
      </c>
      <c r="M382">
        <v>0</v>
      </c>
    </row>
    <row r="383" spans="11:13" x14ac:dyDescent="0.2">
      <c r="K383" t="s">
        <v>42</v>
      </c>
      <c r="L383" t="s">
        <v>38</v>
      </c>
      <c r="M383">
        <v>0</v>
      </c>
    </row>
    <row r="384" spans="11:13" x14ac:dyDescent="0.2">
      <c r="K384" t="s">
        <v>42</v>
      </c>
      <c r="L384" t="s">
        <v>38</v>
      </c>
      <c r="M384">
        <v>0</v>
      </c>
    </row>
    <row r="385" spans="11:13" x14ac:dyDescent="0.2">
      <c r="K385" t="s">
        <v>41</v>
      </c>
      <c r="L385" t="s">
        <v>37</v>
      </c>
      <c r="M385">
        <v>0</v>
      </c>
    </row>
    <row r="386" spans="11:13" x14ac:dyDescent="0.2">
      <c r="K386" t="s">
        <v>41</v>
      </c>
      <c r="L386" t="s">
        <v>37</v>
      </c>
      <c r="M386">
        <v>1</v>
      </c>
    </row>
    <row r="387" spans="11:13" x14ac:dyDescent="0.2">
      <c r="K387" t="s">
        <v>42</v>
      </c>
      <c r="L387" t="s">
        <v>38</v>
      </c>
      <c r="M387">
        <v>0</v>
      </c>
    </row>
    <row r="388" spans="11:13" x14ac:dyDescent="0.2">
      <c r="K388" t="s">
        <v>42</v>
      </c>
      <c r="L388" t="s">
        <v>38</v>
      </c>
      <c r="M388">
        <v>0</v>
      </c>
    </row>
    <row r="389" spans="11:13" x14ac:dyDescent="0.2">
      <c r="K389" t="s">
        <v>42</v>
      </c>
      <c r="L389" t="s">
        <v>38</v>
      </c>
      <c r="M389">
        <v>0</v>
      </c>
    </row>
    <row r="390" spans="11:13" x14ac:dyDescent="0.2">
      <c r="K390" t="s">
        <v>41</v>
      </c>
      <c r="L390" t="s">
        <v>37</v>
      </c>
      <c r="M390">
        <v>0</v>
      </c>
    </row>
    <row r="391" spans="11:13" x14ac:dyDescent="0.2">
      <c r="K391" t="s">
        <v>42</v>
      </c>
      <c r="L391" t="s">
        <v>38</v>
      </c>
      <c r="M391">
        <v>0</v>
      </c>
    </row>
    <row r="392" spans="11:13" x14ac:dyDescent="0.2">
      <c r="K392" t="s">
        <v>41</v>
      </c>
      <c r="L392" t="s">
        <v>37</v>
      </c>
      <c r="M392">
        <v>0</v>
      </c>
    </row>
    <row r="393" spans="11:13" x14ac:dyDescent="0.2">
      <c r="K393" t="s">
        <v>41</v>
      </c>
      <c r="L393" t="s">
        <v>37</v>
      </c>
      <c r="M393">
        <v>0</v>
      </c>
    </row>
    <row r="394" spans="11:13" x14ac:dyDescent="0.2">
      <c r="K394" t="s">
        <v>41</v>
      </c>
      <c r="L394" t="s">
        <v>37</v>
      </c>
      <c r="M394">
        <v>0</v>
      </c>
    </row>
    <row r="395" spans="11:13" x14ac:dyDescent="0.2">
      <c r="K395" t="s">
        <v>41</v>
      </c>
      <c r="L395" t="s">
        <v>37</v>
      </c>
      <c r="M395">
        <v>0</v>
      </c>
    </row>
    <row r="396" spans="11:13" x14ac:dyDescent="0.2">
      <c r="K396" t="s">
        <v>42</v>
      </c>
      <c r="L396" t="s">
        <v>38</v>
      </c>
      <c r="M396">
        <v>0</v>
      </c>
    </row>
    <row r="397" spans="11:13" x14ac:dyDescent="0.2">
      <c r="K397" t="s">
        <v>42</v>
      </c>
      <c r="L397" t="s">
        <v>38</v>
      </c>
      <c r="M397">
        <v>0</v>
      </c>
    </row>
    <row r="398" spans="11:13" x14ac:dyDescent="0.2">
      <c r="K398" t="s">
        <v>42</v>
      </c>
      <c r="L398" t="s">
        <v>38</v>
      </c>
      <c r="M398">
        <v>0</v>
      </c>
    </row>
    <row r="399" spans="11:13" x14ac:dyDescent="0.2">
      <c r="K399" t="s">
        <v>41</v>
      </c>
      <c r="L399" t="s">
        <v>37</v>
      </c>
      <c r="M399">
        <v>0</v>
      </c>
    </row>
    <row r="400" spans="11:13" x14ac:dyDescent="0.2">
      <c r="K400" t="s">
        <v>41</v>
      </c>
      <c r="L400" t="s">
        <v>37</v>
      </c>
      <c r="M400">
        <v>0</v>
      </c>
    </row>
    <row r="401" spans="11:13" x14ac:dyDescent="0.2">
      <c r="K401" t="s">
        <v>42</v>
      </c>
      <c r="L401" t="s">
        <v>38</v>
      </c>
      <c r="M401">
        <v>0</v>
      </c>
    </row>
    <row r="402" spans="11:13" x14ac:dyDescent="0.2">
      <c r="K402" t="s">
        <v>41</v>
      </c>
      <c r="L402" t="s">
        <v>37</v>
      </c>
      <c r="M402">
        <v>0</v>
      </c>
    </row>
    <row r="403" spans="11:13" x14ac:dyDescent="0.2">
      <c r="K403" t="s">
        <v>41</v>
      </c>
      <c r="L403" t="s">
        <v>37</v>
      </c>
      <c r="M403">
        <v>0</v>
      </c>
    </row>
    <row r="404" spans="11:13" x14ac:dyDescent="0.2">
      <c r="K404" t="s">
        <v>41</v>
      </c>
      <c r="L404" t="s">
        <v>37</v>
      </c>
      <c r="M404">
        <v>0</v>
      </c>
    </row>
    <row r="405" spans="11:13" x14ac:dyDescent="0.2">
      <c r="K405" t="s">
        <v>41</v>
      </c>
      <c r="L405" t="s">
        <v>37</v>
      </c>
      <c r="M405">
        <v>0</v>
      </c>
    </row>
    <row r="406" spans="11:13" x14ac:dyDescent="0.2">
      <c r="K406" t="s">
        <v>42</v>
      </c>
      <c r="L406" t="s">
        <v>38</v>
      </c>
      <c r="M406">
        <v>0</v>
      </c>
    </row>
    <row r="407" spans="11:13" x14ac:dyDescent="0.2">
      <c r="K407" t="s">
        <v>42</v>
      </c>
      <c r="L407" t="s">
        <v>38</v>
      </c>
      <c r="M407">
        <v>0</v>
      </c>
    </row>
    <row r="408" spans="11:13" x14ac:dyDescent="0.2">
      <c r="K408" t="s">
        <v>42</v>
      </c>
      <c r="L408" t="s">
        <v>38</v>
      </c>
      <c r="M408">
        <v>0</v>
      </c>
    </row>
    <row r="409" spans="11:13" x14ac:dyDescent="0.2">
      <c r="K409" t="s">
        <v>42</v>
      </c>
      <c r="L409" t="s">
        <v>38</v>
      </c>
      <c r="M409">
        <v>0</v>
      </c>
    </row>
    <row r="410" spans="11:13" x14ac:dyDescent="0.2">
      <c r="K410" t="s">
        <v>42</v>
      </c>
      <c r="L410" t="s">
        <v>38</v>
      </c>
      <c r="M410">
        <v>0</v>
      </c>
    </row>
    <row r="411" spans="11:13" x14ac:dyDescent="0.2">
      <c r="K411" t="s">
        <v>41</v>
      </c>
      <c r="L411" t="s">
        <v>37</v>
      </c>
      <c r="M411">
        <v>0</v>
      </c>
    </row>
    <row r="412" spans="11:13" x14ac:dyDescent="0.2">
      <c r="K412" t="s">
        <v>42</v>
      </c>
      <c r="L412" t="s">
        <v>38</v>
      </c>
      <c r="M412">
        <v>0</v>
      </c>
    </row>
    <row r="413" spans="11:13" x14ac:dyDescent="0.2">
      <c r="K413" t="s">
        <v>42</v>
      </c>
      <c r="L413" t="s">
        <v>38</v>
      </c>
      <c r="M413">
        <v>0</v>
      </c>
    </row>
    <row r="414" spans="11:13" x14ac:dyDescent="0.2">
      <c r="K414" t="s">
        <v>41</v>
      </c>
      <c r="L414" t="s">
        <v>37</v>
      </c>
      <c r="M414">
        <v>0</v>
      </c>
    </row>
    <row r="415" spans="11:13" x14ac:dyDescent="0.2">
      <c r="K415" t="s">
        <v>41</v>
      </c>
      <c r="L415" t="s">
        <v>37</v>
      </c>
      <c r="M415">
        <v>0</v>
      </c>
    </row>
    <row r="416" spans="11:13" x14ac:dyDescent="0.2">
      <c r="K416" t="s">
        <v>41</v>
      </c>
      <c r="L416" t="s">
        <v>37</v>
      </c>
      <c r="M416">
        <v>0</v>
      </c>
    </row>
    <row r="417" spans="11:13" x14ac:dyDescent="0.2">
      <c r="K417" t="s">
        <v>42</v>
      </c>
      <c r="L417" t="s">
        <v>38</v>
      </c>
      <c r="M417">
        <v>0</v>
      </c>
    </row>
    <row r="418" spans="11:13" x14ac:dyDescent="0.2">
      <c r="K418" t="s">
        <v>42</v>
      </c>
      <c r="L418" t="s">
        <v>38</v>
      </c>
      <c r="M418">
        <v>0</v>
      </c>
    </row>
    <row r="419" spans="11:13" x14ac:dyDescent="0.2">
      <c r="K419" t="s">
        <v>41</v>
      </c>
      <c r="L419" t="s">
        <v>37</v>
      </c>
      <c r="M419">
        <v>0</v>
      </c>
    </row>
    <row r="420" spans="11:13" x14ac:dyDescent="0.2">
      <c r="K420" t="s">
        <v>41</v>
      </c>
      <c r="L420" t="s">
        <v>37</v>
      </c>
      <c r="M420">
        <v>0</v>
      </c>
    </row>
    <row r="421" spans="11:13" x14ac:dyDescent="0.2">
      <c r="K421" t="s">
        <v>42</v>
      </c>
      <c r="L421" t="s">
        <v>38</v>
      </c>
      <c r="M421">
        <v>0</v>
      </c>
    </row>
    <row r="422" spans="11:13" x14ac:dyDescent="0.2">
      <c r="K422" t="s">
        <v>42</v>
      </c>
      <c r="L422" t="s">
        <v>38</v>
      </c>
      <c r="M422">
        <v>0</v>
      </c>
    </row>
    <row r="423" spans="11:13" x14ac:dyDescent="0.2">
      <c r="K423" t="s">
        <v>41</v>
      </c>
      <c r="L423" t="s">
        <v>37</v>
      </c>
      <c r="M423">
        <v>0</v>
      </c>
    </row>
    <row r="424" spans="11:13" x14ac:dyDescent="0.2">
      <c r="K424" t="s">
        <v>41</v>
      </c>
      <c r="L424" t="s">
        <v>37</v>
      </c>
      <c r="M424">
        <v>0</v>
      </c>
    </row>
    <row r="425" spans="11:13" x14ac:dyDescent="0.2">
      <c r="K425" t="s">
        <v>42</v>
      </c>
      <c r="L425" t="s">
        <v>38</v>
      </c>
      <c r="M425">
        <v>0</v>
      </c>
    </row>
    <row r="426" spans="11:13" x14ac:dyDescent="0.2">
      <c r="K426" t="s">
        <v>41</v>
      </c>
      <c r="L426" t="s">
        <v>37</v>
      </c>
      <c r="M426">
        <v>0</v>
      </c>
    </row>
    <row r="427" spans="11:13" x14ac:dyDescent="0.2">
      <c r="K427" t="s">
        <v>42</v>
      </c>
      <c r="L427" t="s">
        <v>38</v>
      </c>
      <c r="M427">
        <v>0</v>
      </c>
    </row>
    <row r="428" spans="11:13" x14ac:dyDescent="0.2">
      <c r="K428" t="s">
        <v>42</v>
      </c>
      <c r="L428" t="s">
        <v>38</v>
      </c>
      <c r="M428">
        <v>0</v>
      </c>
    </row>
    <row r="429" spans="11:13" x14ac:dyDescent="0.2">
      <c r="K429" t="s">
        <v>41</v>
      </c>
      <c r="L429" t="s">
        <v>37</v>
      </c>
      <c r="M429">
        <v>0</v>
      </c>
    </row>
    <row r="430" spans="11:13" x14ac:dyDescent="0.2">
      <c r="K430" t="s">
        <v>41</v>
      </c>
      <c r="L430" t="s">
        <v>37</v>
      </c>
      <c r="M430">
        <v>0</v>
      </c>
    </row>
    <row r="431" spans="11:13" x14ac:dyDescent="0.2">
      <c r="K431" t="s">
        <v>42</v>
      </c>
      <c r="L431" t="s">
        <v>38</v>
      </c>
      <c r="M431">
        <v>0</v>
      </c>
    </row>
    <row r="432" spans="11:13" x14ac:dyDescent="0.2">
      <c r="K432" t="s">
        <v>42</v>
      </c>
      <c r="L432" t="s">
        <v>38</v>
      </c>
      <c r="M432">
        <v>0</v>
      </c>
    </row>
    <row r="433" spans="11:13" x14ac:dyDescent="0.2">
      <c r="K433" t="s">
        <v>41</v>
      </c>
      <c r="L433" t="s">
        <v>37</v>
      </c>
      <c r="M433">
        <v>0</v>
      </c>
    </row>
    <row r="434" spans="11:13" x14ac:dyDescent="0.2">
      <c r="K434" t="s">
        <v>41</v>
      </c>
      <c r="L434" t="s">
        <v>37</v>
      </c>
      <c r="M434">
        <v>0</v>
      </c>
    </row>
    <row r="435" spans="11:13" x14ac:dyDescent="0.2">
      <c r="K435" t="s">
        <v>41</v>
      </c>
      <c r="L435" t="s">
        <v>37</v>
      </c>
      <c r="M435">
        <v>0</v>
      </c>
    </row>
    <row r="436" spans="11:13" x14ac:dyDescent="0.2">
      <c r="K436" t="s">
        <v>41</v>
      </c>
      <c r="L436" t="s">
        <v>37</v>
      </c>
      <c r="M436">
        <v>0</v>
      </c>
    </row>
    <row r="437" spans="11:13" x14ac:dyDescent="0.2">
      <c r="K437" t="s">
        <v>41</v>
      </c>
      <c r="L437" t="s">
        <v>37</v>
      </c>
      <c r="M437">
        <v>0</v>
      </c>
    </row>
    <row r="438" spans="11:13" x14ac:dyDescent="0.2">
      <c r="K438" t="s">
        <v>41</v>
      </c>
      <c r="L438" t="s">
        <v>37</v>
      </c>
      <c r="M438">
        <v>0</v>
      </c>
    </row>
    <row r="439" spans="11:13" x14ac:dyDescent="0.2">
      <c r="K439" t="s">
        <v>42</v>
      </c>
      <c r="L439" t="s">
        <v>38</v>
      </c>
      <c r="M439">
        <v>0</v>
      </c>
    </row>
    <row r="440" spans="11:13" x14ac:dyDescent="0.2">
      <c r="K440" t="s">
        <v>42</v>
      </c>
      <c r="L440" t="s">
        <v>38</v>
      </c>
      <c r="M440">
        <v>0</v>
      </c>
    </row>
    <row r="441" spans="11:13" x14ac:dyDescent="0.2">
      <c r="K441" t="s">
        <v>41</v>
      </c>
      <c r="L441" t="s">
        <v>37</v>
      </c>
      <c r="M441">
        <v>0</v>
      </c>
    </row>
    <row r="442" spans="11:13" x14ac:dyDescent="0.2">
      <c r="K442" t="s">
        <v>41</v>
      </c>
      <c r="L442" t="s">
        <v>37</v>
      </c>
      <c r="M442">
        <v>0</v>
      </c>
    </row>
    <row r="443" spans="11:13" x14ac:dyDescent="0.2">
      <c r="K443" t="s">
        <v>42</v>
      </c>
      <c r="L443" t="s">
        <v>38</v>
      </c>
      <c r="M443">
        <v>0</v>
      </c>
    </row>
    <row r="444" spans="11:13" x14ac:dyDescent="0.2">
      <c r="K444" t="s">
        <v>42</v>
      </c>
      <c r="L444" t="s">
        <v>38</v>
      </c>
      <c r="M444">
        <v>0</v>
      </c>
    </row>
    <row r="445" spans="11:13" x14ac:dyDescent="0.2">
      <c r="K445" t="s">
        <v>42</v>
      </c>
      <c r="L445" t="s">
        <v>38</v>
      </c>
      <c r="M445">
        <v>0</v>
      </c>
    </row>
    <row r="446" spans="11:13" x14ac:dyDescent="0.2">
      <c r="K446" t="s">
        <v>41</v>
      </c>
      <c r="L446" t="s">
        <v>37</v>
      </c>
      <c r="M446">
        <v>0</v>
      </c>
    </row>
    <row r="447" spans="11:13" x14ac:dyDescent="0.2">
      <c r="K447" t="s">
        <v>42</v>
      </c>
      <c r="L447" t="s">
        <v>38</v>
      </c>
      <c r="M447">
        <v>0</v>
      </c>
    </row>
    <row r="448" spans="11:13" x14ac:dyDescent="0.2">
      <c r="K448" t="s">
        <v>41</v>
      </c>
      <c r="L448" t="s">
        <v>37</v>
      </c>
      <c r="M448">
        <v>0</v>
      </c>
    </row>
    <row r="449" spans="11:13" x14ac:dyDescent="0.2">
      <c r="K449" t="s">
        <v>41</v>
      </c>
      <c r="L449" t="s">
        <v>37</v>
      </c>
      <c r="M449">
        <v>0</v>
      </c>
    </row>
    <row r="450" spans="11:13" x14ac:dyDescent="0.2">
      <c r="K450" t="s">
        <v>42</v>
      </c>
      <c r="L450" t="s">
        <v>38</v>
      </c>
      <c r="M450">
        <v>0</v>
      </c>
    </row>
    <row r="451" spans="11:13" x14ac:dyDescent="0.2">
      <c r="K451" t="s">
        <v>42</v>
      </c>
      <c r="L451" t="s">
        <v>38</v>
      </c>
      <c r="M451">
        <v>0</v>
      </c>
    </row>
    <row r="452" spans="11:13" x14ac:dyDescent="0.2">
      <c r="K452" t="s">
        <v>41</v>
      </c>
      <c r="L452" t="s">
        <v>37</v>
      </c>
      <c r="M452">
        <v>0</v>
      </c>
    </row>
    <row r="453" spans="11:13" x14ac:dyDescent="0.2">
      <c r="K453" t="s">
        <v>41</v>
      </c>
      <c r="L453" t="s">
        <v>37</v>
      </c>
      <c r="M453">
        <v>0</v>
      </c>
    </row>
    <row r="454" spans="11:13" x14ac:dyDescent="0.2">
      <c r="K454" t="s">
        <v>42</v>
      </c>
      <c r="L454" t="s">
        <v>38</v>
      </c>
      <c r="M454">
        <v>0</v>
      </c>
    </row>
    <row r="455" spans="11:13" x14ac:dyDescent="0.2">
      <c r="K455" t="s">
        <v>41</v>
      </c>
      <c r="L455" t="s">
        <v>37</v>
      </c>
      <c r="M455">
        <v>0</v>
      </c>
    </row>
    <row r="456" spans="11:13" x14ac:dyDescent="0.2">
      <c r="K456" t="s">
        <v>42</v>
      </c>
      <c r="L456" t="s">
        <v>38</v>
      </c>
      <c r="M456">
        <v>0</v>
      </c>
    </row>
    <row r="457" spans="11:13" x14ac:dyDescent="0.2">
      <c r="K457" t="s">
        <v>41</v>
      </c>
      <c r="L457" t="s">
        <v>37</v>
      </c>
      <c r="M457">
        <v>0</v>
      </c>
    </row>
    <row r="458" spans="11:13" x14ac:dyDescent="0.2">
      <c r="K458" t="s">
        <v>41</v>
      </c>
      <c r="L458" t="s">
        <v>37</v>
      </c>
      <c r="M458">
        <v>0</v>
      </c>
    </row>
    <row r="459" spans="11:13" x14ac:dyDescent="0.2">
      <c r="K459" t="s">
        <v>42</v>
      </c>
      <c r="L459" t="s">
        <v>38</v>
      </c>
      <c r="M459">
        <v>0</v>
      </c>
    </row>
    <row r="460" spans="11:13" x14ac:dyDescent="0.2">
      <c r="K460" t="s">
        <v>41</v>
      </c>
      <c r="L460" t="s">
        <v>37</v>
      </c>
      <c r="M460">
        <v>0</v>
      </c>
    </row>
    <row r="461" spans="11:13" x14ac:dyDescent="0.2">
      <c r="K461" t="s">
        <v>42</v>
      </c>
      <c r="L461" t="s">
        <v>38</v>
      </c>
      <c r="M461">
        <v>0</v>
      </c>
    </row>
    <row r="462" spans="11:13" x14ac:dyDescent="0.2">
      <c r="K462" t="s">
        <v>41</v>
      </c>
      <c r="L462" t="s">
        <v>37</v>
      </c>
      <c r="M462">
        <v>0</v>
      </c>
    </row>
    <row r="463" spans="11:13" x14ac:dyDescent="0.2">
      <c r="K463" t="s">
        <v>42</v>
      </c>
      <c r="L463" t="s">
        <v>38</v>
      </c>
      <c r="M463">
        <v>0</v>
      </c>
    </row>
    <row r="464" spans="11:13" x14ac:dyDescent="0.2">
      <c r="K464" t="s">
        <v>41</v>
      </c>
      <c r="L464" t="s">
        <v>37</v>
      </c>
      <c r="M464">
        <v>0</v>
      </c>
    </row>
    <row r="465" spans="11:13" x14ac:dyDescent="0.2">
      <c r="K465" t="s">
        <v>41</v>
      </c>
      <c r="L465" t="s">
        <v>37</v>
      </c>
      <c r="M465">
        <v>0</v>
      </c>
    </row>
    <row r="466" spans="11:13" x14ac:dyDescent="0.2">
      <c r="K466" t="s">
        <v>42</v>
      </c>
      <c r="L466" t="s">
        <v>38</v>
      </c>
      <c r="M466">
        <v>0</v>
      </c>
    </row>
    <row r="467" spans="11:13" x14ac:dyDescent="0.2">
      <c r="K467" t="s">
        <v>42</v>
      </c>
      <c r="L467" t="s">
        <v>38</v>
      </c>
      <c r="M467">
        <v>0</v>
      </c>
    </row>
    <row r="468" spans="11:13" x14ac:dyDescent="0.2">
      <c r="K468" t="s">
        <v>42</v>
      </c>
      <c r="L468" t="s">
        <v>38</v>
      </c>
      <c r="M468">
        <v>0</v>
      </c>
    </row>
    <row r="469" spans="11:13" x14ac:dyDescent="0.2">
      <c r="K469" t="s">
        <v>41</v>
      </c>
      <c r="L469" t="s">
        <v>37</v>
      </c>
      <c r="M469">
        <v>0</v>
      </c>
    </row>
    <row r="470" spans="11:13" x14ac:dyDescent="0.2">
      <c r="K470" t="s">
        <v>42</v>
      </c>
      <c r="L470" t="s">
        <v>38</v>
      </c>
      <c r="M470">
        <v>0</v>
      </c>
    </row>
    <row r="471" spans="11:13" x14ac:dyDescent="0.2">
      <c r="K471" t="s">
        <v>41</v>
      </c>
      <c r="L471" t="s">
        <v>37</v>
      </c>
      <c r="M471">
        <v>0</v>
      </c>
    </row>
    <row r="472" spans="11:13" x14ac:dyDescent="0.2">
      <c r="K472" t="s">
        <v>42</v>
      </c>
      <c r="L472" t="s">
        <v>38</v>
      </c>
      <c r="M472">
        <v>0</v>
      </c>
    </row>
    <row r="473" spans="11:13" x14ac:dyDescent="0.2">
      <c r="K473" t="s">
        <v>42</v>
      </c>
      <c r="L473" t="s">
        <v>38</v>
      </c>
      <c r="M473">
        <v>0</v>
      </c>
    </row>
    <row r="474" spans="11:13" x14ac:dyDescent="0.2">
      <c r="K474" t="s">
        <v>42</v>
      </c>
      <c r="L474" t="s">
        <v>38</v>
      </c>
      <c r="M474">
        <v>0</v>
      </c>
    </row>
    <row r="475" spans="11:13" x14ac:dyDescent="0.2">
      <c r="K475" t="s">
        <v>42</v>
      </c>
      <c r="L475" t="s">
        <v>38</v>
      </c>
      <c r="M475">
        <v>0</v>
      </c>
    </row>
    <row r="476" spans="11:13" x14ac:dyDescent="0.2">
      <c r="K476" t="s">
        <v>42</v>
      </c>
      <c r="L476" t="s">
        <v>38</v>
      </c>
      <c r="M476">
        <v>0</v>
      </c>
    </row>
    <row r="477" spans="11:13" x14ac:dyDescent="0.2">
      <c r="K477" t="s">
        <v>42</v>
      </c>
      <c r="L477" t="s">
        <v>38</v>
      </c>
      <c r="M477">
        <v>0</v>
      </c>
    </row>
    <row r="478" spans="11:13" x14ac:dyDescent="0.2">
      <c r="K478" t="s">
        <v>42</v>
      </c>
      <c r="L478" t="s">
        <v>38</v>
      </c>
      <c r="M478">
        <v>0</v>
      </c>
    </row>
    <row r="479" spans="11:13" x14ac:dyDescent="0.2">
      <c r="K479" t="s">
        <v>42</v>
      </c>
      <c r="L479" t="s">
        <v>38</v>
      </c>
      <c r="M479">
        <v>0</v>
      </c>
    </row>
    <row r="480" spans="11:13" x14ac:dyDescent="0.2">
      <c r="K480" t="s">
        <v>41</v>
      </c>
      <c r="L480" t="s">
        <v>37</v>
      </c>
      <c r="M480">
        <v>1</v>
      </c>
    </row>
    <row r="481" spans="11:13" x14ac:dyDescent="0.2">
      <c r="K481" t="s">
        <v>41</v>
      </c>
      <c r="L481" t="s">
        <v>37</v>
      </c>
      <c r="M481">
        <v>0</v>
      </c>
    </row>
    <row r="482" spans="11:13" x14ac:dyDescent="0.2">
      <c r="K482" t="s">
        <v>41</v>
      </c>
      <c r="L482" t="s">
        <v>37</v>
      </c>
      <c r="M482">
        <v>0</v>
      </c>
    </row>
    <row r="483" spans="11:13" x14ac:dyDescent="0.2">
      <c r="K483" t="s">
        <v>42</v>
      </c>
      <c r="L483" t="s">
        <v>38</v>
      </c>
      <c r="M483">
        <v>0</v>
      </c>
    </row>
    <row r="484" spans="11:13" x14ac:dyDescent="0.2">
      <c r="K484" t="s">
        <v>42</v>
      </c>
      <c r="L484" t="s">
        <v>38</v>
      </c>
      <c r="M484">
        <v>0</v>
      </c>
    </row>
    <row r="485" spans="11:13" x14ac:dyDescent="0.2">
      <c r="K485" t="s">
        <v>42</v>
      </c>
      <c r="L485" t="s">
        <v>38</v>
      </c>
      <c r="M485">
        <v>0</v>
      </c>
    </row>
    <row r="486" spans="11:13" x14ac:dyDescent="0.2">
      <c r="K486" t="s">
        <v>42</v>
      </c>
      <c r="L486" t="s">
        <v>38</v>
      </c>
      <c r="M486">
        <v>0</v>
      </c>
    </row>
    <row r="487" spans="11:13" x14ac:dyDescent="0.2">
      <c r="K487" t="s">
        <v>42</v>
      </c>
      <c r="L487" t="s">
        <v>38</v>
      </c>
      <c r="M487">
        <v>0</v>
      </c>
    </row>
    <row r="488" spans="11:13" x14ac:dyDescent="0.2">
      <c r="K488" t="s">
        <v>41</v>
      </c>
      <c r="L488" t="s">
        <v>37</v>
      </c>
      <c r="M488">
        <v>0</v>
      </c>
    </row>
    <row r="489" spans="11:13" x14ac:dyDescent="0.2">
      <c r="K489" t="s">
        <v>41</v>
      </c>
      <c r="L489" t="s">
        <v>37</v>
      </c>
      <c r="M489">
        <v>0</v>
      </c>
    </row>
    <row r="490" spans="11:13" x14ac:dyDescent="0.2">
      <c r="K490" t="s">
        <v>42</v>
      </c>
      <c r="L490" t="s">
        <v>38</v>
      </c>
      <c r="M490">
        <v>0</v>
      </c>
    </row>
    <row r="491" spans="11:13" x14ac:dyDescent="0.2">
      <c r="K491" t="s">
        <v>42</v>
      </c>
      <c r="L491" t="s">
        <v>38</v>
      </c>
      <c r="M491">
        <v>0</v>
      </c>
    </row>
    <row r="492" spans="11:13" x14ac:dyDescent="0.2">
      <c r="K492" t="s">
        <v>41</v>
      </c>
      <c r="L492" t="s">
        <v>37</v>
      </c>
      <c r="M492">
        <v>1</v>
      </c>
    </row>
    <row r="493" spans="11:13" x14ac:dyDescent="0.2">
      <c r="K493" t="s">
        <v>41</v>
      </c>
      <c r="L493" t="s">
        <v>37</v>
      </c>
      <c r="M493">
        <v>0</v>
      </c>
    </row>
    <row r="494" spans="11:13" x14ac:dyDescent="0.2">
      <c r="K494" t="s">
        <v>42</v>
      </c>
      <c r="L494" t="s">
        <v>38</v>
      </c>
      <c r="M494">
        <v>0</v>
      </c>
    </row>
    <row r="495" spans="11:13" x14ac:dyDescent="0.2">
      <c r="K495" t="s">
        <v>42</v>
      </c>
      <c r="L495" t="s">
        <v>38</v>
      </c>
      <c r="M495">
        <v>0</v>
      </c>
    </row>
    <row r="496" spans="11:13" x14ac:dyDescent="0.2">
      <c r="K496" t="s">
        <v>42</v>
      </c>
      <c r="L496" t="s">
        <v>38</v>
      </c>
      <c r="M496">
        <v>0</v>
      </c>
    </row>
    <row r="497" spans="11:13" x14ac:dyDescent="0.2">
      <c r="K497" t="s">
        <v>41</v>
      </c>
      <c r="L497" t="s">
        <v>37</v>
      </c>
      <c r="M497">
        <v>0</v>
      </c>
    </row>
    <row r="498" spans="11:13" x14ac:dyDescent="0.2">
      <c r="K498" t="s">
        <v>41</v>
      </c>
      <c r="L498" t="s">
        <v>37</v>
      </c>
      <c r="M498">
        <v>0</v>
      </c>
    </row>
    <row r="499" spans="11:13" x14ac:dyDescent="0.2">
      <c r="K499" t="s">
        <v>41</v>
      </c>
      <c r="L499" t="s">
        <v>37</v>
      </c>
      <c r="M499">
        <v>0</v>
      </c>
    </row>
    <row r="500" spans="11:13" x14ac:dyDescent="0.2">
      <c r="K500" t="s">
        <v>42</v>
      </c>
      <c r="L500" t="s">
        <v>38</v>
      </c>
      <c r="M500">
        <v>0</v>
      </c>
    </row>
    <row r="501" spans="11:13" x14ac:dyDescent="0.2">
      <c r="K501" t="s">
        <v>42</v>
      </c>
      <c r="L501" t="s">
        <v>38</v>
      </c>
      <c r="M501">
        <v>0</v>
      </c>
    </row>
    <row r="502" spans="11:13" x14ac:dyDescent="0.2">
      <c r="K502" t="s">
        <v>42</v>
      </c>
      <c r="L502" t="s">
        <v>38</v>
      </c>
      <c r="M502">
        <v>0</v>
      </c>
    </row>
    <row r="503" spans="11:13" x14ac:dyDescent="0.2">
      <c r="K503" t="s">
        <v>41</v>
      </c>
      <c r="L503" t="s">
        <v>37</v>
      </c>
      <c r="M503">
        <v>0</v>
      </c>
    </row>
    <row r="504" spans="11:13" x14ac:dyDescent="0.2">
      <c r="K504" t="s">
        <v>41</v>
      </c>
      <c r="L504" t="s">
        <v>37</v>
      </c>
      <c r="M504">
        <v>0</v>
      </c>
    </row>
    <row r="505" spans="11:13" x14ac:dyDescent="0.2">
      <c r="K505" t="s">
        <v>42</v>
      </c>
      <c r="L505" t="s">
        <v>38</v>
      </c>
      <c r="M505">
        <v>0</v>
      </c>
    </row>
    <row r="506" spans="11:13" x14ac:dyDescent="0.2">
      <c r="K506" t="s">
        <v>41</v>
      </c>
      <c r="L506" t="s">
        <v>37</v>
      </c>
      <c r="M506">
        <v>0</v>
      </c>
    </row>
    <row r="507" spans="11:13" x14ac:dyDescent="0.2">
      <c r="K507" t="s">
        <v>42</v>
      </c>
      <c r="L507" t="s">
        <v>38</v>
      </c>
      <c r="M507">
        <v>0</v>
      </c>
    </row>
    <row r="508" spans="11:13" x14ac:dyDescent="0.2">
      <c r="K508" t="s">
        <v>42</v>
      </c>
      <c r="L508" t="s">
        <v>38</v>
      </c>
      <c r="M508">
        <v>0</v>
      </c>
    </row>
    <row r="509" spans="11:13" x14ac:dyDescent="0.2">
      <c r="K509" t="s">
        <v>41</v>
      </c>
      <c r="L509" t="s">
        <v>37</v>
      </c>
      <c r="M509">
        <v>0</v>
      </c>
    </row>
    <row r="510" spans="11:13" x14ac:dyDescent="0.2">
      <c r="K510" t="s">
        <v>42</v>
      </c>
      <c r="L510" t="s">
        <v>38</v>
      </c>
      <c r="M510">
        <v>0</v>
      </c>
    </row>
    <row r="511" spans="11:13" x14ac:dyDescent="0.2">
      <c r="K511" t="s">
        <v>41</v>
      </c>
      <c r="L511" t="s">
        <v>37</v>
      </c>
      <c r="M511">
        <v>0</v>
      </c>
    </row>
    <row r="512" spans="11:13" x14ac:dyDescent="0.2">
      <c r="K512" t="s">
        <v>41</v>
      </c>
      <c r="L512" t="s">
        <v>37</v>
      </c>
      <c r="M512">
        <v>0</v>
      </c>
    </row>
    <row r="513" spans="11:13" x14ac:dyDescent="0.2">
      <c r="K513" t="s">
        <v>42</v>
      </c>
      <c r="L513" t="s">
        <v>38</v>
      </c>
      <c r="M513">
        <v>0</v>
      </c>
    </row>
    <row r="514" spans="11:13" x14ac:dyDescent="0.2">
      <c r="K514" t="s">
        <v>41</v>
      </c>
      <c r="L514" t="s">
        <v>37</v>
      </c>
      <c r="M514">
        <v>0</v>
      </c>
    </row>
    <row r="515" spans="11:13" x14ac:dyDescent="0.2">
      <c r="K515" t="s">
        <v>42</v>
      </c>
      <c r="L515" t="s">
        <v>38</v>
      </c>
      <c r="M515">
        <v>1</v>
      </c>
    </row>
    <row r="516" spans="11:13" x14ac:dyDescent="0.2">
      <c r="K516" t="s">
        <v>42</v>
      </c>
      <c r="L516" t="s">
        <v>38</v>
      </c>
      <c r="M516">
        <v>1</v>
      </c>
    </row>
    <row r="517" spans="11:13" x14ac:dyDescent="0.2">
      <c r="K517" t="s">
        <v>42</v>
      </c>
      <c r="L517" t="s">
        <v>38</v>
      </c>
      <c r="M517">
        <v>0</v>
      </c>
    </row>
    <row r="518" spans="11:13" x14ac:dyDescent="0.2">
      <c r="K518" t="s">
        <v>41</v>
      </c>
      <c r="L518" t="s">
        <v>37</v>
      </c>
      <c r="M518">
        <v>0</v>
      </c>
    </row>
    <row r="519" spans="11:13" x14ac:dyDescent="0.2">
      <c r="K519" t="s">
        <v>41</v>
      </c>
      <c r="L519" t="s">
        <v>37</v>
      </c>
      <c r="M519">
        <v>0</v>
      </c>
    </row>
    <row r="520" spans="11:13" x14ac:dyDescent="0.2">
      <c r="K520" t="s">
        <v>41</v>
      </c>
      <c r="L520" t="s">
        <v>37</v>
      </c>
      <c r="M520">
        <v>0</v>
      </c>
    </row>
    <row r="521" spans="11:13" x14ac:dyDescent="0.2">
      <c r="K521" t="s">
        <v>42</v>
      </c>
      <c r="L521" t="s">
        <v>38</v>
      </c>
      <c r="M521">
        <v>0</v>
      </c>
    </row>
    <row r="522" spans="11:13" x14ac:dyDescent="0.2">
      <c r="K522" t="s">
        <v>42</v>
      </c>
      <c r="L522" t="s">
        <v>38</v>
      </c>
      <c r="M522">
        <v>0</v>
      </c>
    </row>
    <row r="523" spans="11:13" x14ac:dyDescent="0.2">
      <c r="K523" t="s">
        <v>42</v>
      </c>
      <c r="L523" t="s">
        <v>38</v>
      </c>
      <c r="M523">
        <v>0</v>
      </c>
    </row>
    <row r="524" spans="11:13" x14ac:dyDescent="0.2">
      <c r="K524" t="s">
        <v>42</v>
      </c>
      <c r="L524" t="s">
        <v>38</v>
      </c>
      <c r="M524">
        <v>0</v>
      </c>
    </row>
    <row r="525" spans="11:13" x14ac:dyDescent="0.2">
      <c r="K525" t="s">
        <v>42</v>
      </c>
      <c r="L525" t="s">
        <v>38</v>
      </c>
      <c r="M525">
        <v>0</v>
      </c>
    </row>
    <row r="526" spans="11:13" x14ac:dyDescent="0.2">
      <c r="K526" t="s">
        <v>42</v>
      </c>
      <c r="L526" t="s">
        <v>38</v>
      </c>
      <c r="M526">
        <v>1</v>
      </c>
    </row>
    <row r="527" spans="11:13" x14ac:dyDescent="0.2">
      <c r="K527" t="s">
        <v>42</v>
      </c>
      <c r="L527" t="s">
        <v>38</v>
      </c>
      <c r="M527">
        <v>1</v>
      </c>
    </row>
    <row r="528" spans="11:13" x14ac:dyDescent="0.2">
      <c r="K528" t="s">
        <v>42</v>
      </c>
      <c r="L528" t="s">
        <v>38</v>
      </c>
      <c r="M528">
        <v>0</v>
      </c>
    </row>
    <row r="529" spans="11:13" x14ac:dyDescent="0.2">
      <c r="K529" t="s">
        <v>42</v>
      </c>
      <c r="L529" t="s">
        <v>38</v>
      </c>
      <c r="M529">
        <v>0</v>
      </c>
    </row>
    <row r="530" spans="11:13" x14ac:dyDescent="0.2">
      <c r="K530" t="s">
        <v>42</v>
      </c>
      <c r="L530" t="s">
        <v>38</v>
      </c>
      <c r="M530">
        <v>0</v>
      </c>
    </row>
    <row r="531" spans="11:13" x14ac:dyDescent="0.2">
      <c r="K531" t="s">
        <v>42</v>
      </c>
      <c r="L531" t="s">
        <v>38</v>
      </c>
      <c r="M531">
        <v>0</v>
      </c>
    </row>
    <row r="532" spans="11:13" x14ac:dyDescent="0.2">
      <c r="K532" t="s">
        <v>41</v>
      </c>
      <c r="L532" t="s">
        <v>37</v>
      </c>
      <c r="M532">
        <v>0</v>
      </c>
    </row>
    <row r="533" spans="11:13" x14ac:dyDescent="0.2">
      <c r="K533" t="s">
        <v>41</v>
      </c>
      <c r="L533" t="s">
        <v>37</v>
      </c>
      <c r="M533">
        <v>0</v>
      </c>
    </row>
    <row r="534" spans="11:13" x14ac:dyDescent="0.2">
      <c r="K534" t="s">
        <v>42</v>
      </c>
      <c r="L534" t="s">
        <v>38</v>
      </c>
      <c r="M534">
        <v>0</v>
      </c>
    </row>
    <row r="535" spans="11:13" x14ac:dyDescent="0.2">
      <c r="K535" t="s">
        <v>42</v>
      </c>
      <c r="L535" t="s">
        <v>38</v>
      </c>
      <c r="M535">
        <v>0</v>
      </c>
    </row>
    <row r="536" spans="11:13" x14ac:dyDescent="0.2">
      <c r="K536" t="s">
        <v>42</v>
      </c>
      <c r="L536" t="s">
        <v>38</v>
      </c>
      <c r="M536">
        <v>1</v>
      </c>
    </row>
    <row r="537" spans="11:13" x14ac:dyDescent="0.2">
      <c r="K537" t="s">
        <v>42</v>
      </c>
      <c r="L537" t="s">
        <v>38</v>
      </c>
      <c r="M537">
        <v>1</v>
      </c>
    </row>
    <row r="538" spans="11:13" x14ac:dyDescent="0.2">
      <c r="K538" t="s">
        <v>42</v>
      </c>
      <c r="L538" t="s">
        <v>38</v>
      </c>
      <c r="M538">
        <v>0</v>
      </c>
    </row>
    <row r="539" spans="11:13" x14ac:dyDescent="0.2">
      <c r="K539" t="s">
        <v>41</v>
      </c>
      <c r="L539" t="s">
        <v>37</v>
      </c>
      <c r="M539">
        <v>0</v>
      </c>
    </row>
    <row r="540" spans="11:13" x14ac:dyDescent="0.2">
      <c r="K540" t="s">
        <v>42</v>
      </c>
      <c r="L540" t="s">
        <v>38</v>
      </c>
      <c r="M540">
        <v>0</v>
      </c>
    </row>
    <row r="541" spans="11:13" x14ac:dyDescent="0.2">
      <c r="K541" t="s">
        <v>42</v>
      </c>
      <c r="L541" t="s">
        <v>38</v>
      </c>
      <c r="M541">
        <v>0</v>
      </c>
    </row>
    <row r="542" spans="11:13" x14ac:dyDescent="0.2">
      <c r="K542" t="s">
        <v>41</v>
      </c>
      <c r="L542" t="s">
        <v>37</v>
      </c>
      <c r="M542">
        <v>0</v>
      </c>
    </row>
    <row r="543" spans="11:13" x14ac:dyDescent="0.2">
      <c r="K543" t="s">
        <v>41</v>
      </c>
      <c r="L543" t="s">
        <v>37</v>
      </c>
      <c r="M543">
        <v>0</v>
      </c>
    </row>
    <row r="544" spans="11:13" x14ac:dyDescent="0.2">
      <c r="K544" t="s">
        <v>42</v>
      </c>
      <c r="L544" t="s">
        <v>38</v>
      </c>
      <c r="M544">
        <v>0</v>
      </c>
    </row>
    <row r="545" spans="11:13" x14ac:dyDescent="0.2">
      <c r="K545" t="s">
        <v>41</v>
      </c>
      <c r="L545" t="s">
        <v>37</v>
      </c>
      <c r="M545">
        <v>0</v>
      </c>
    </row>
    <row r="546" spans="11:13" x14ac:dyDescent="0.2">
      <c r="K546" t="s">
        <v>41</v>
      </c>
      <c r="L546" t="s">
        <v>37</v>
      </c>
      <c r="M546">
        <v>0</v>
      </c>
    </row>
    <row r="547" spans="11:13" x14ac:dyDescent="0.2">
      <c r="K547" t="s">
        <v>42</v>
      </c>
      <c r="L547" t="s">
        <v>38</v>
      </c>
      <c r="M547">
        <v>0</v>
      </c>
    </row>
    <row r="548" spans="11:13" x14ac:dyDescent="0.2">
      <c r="K548" t="s">
        <v>41</v>
      </c>
      <c r="L548" t="s">
        <v>37</v>
      </c>
      <c r="M548">
        <v>0</v>
      </c>
    </row>
    <row r="549" spans="11:13" x14ac:dyDescent="0.2">
      <c r="K549" t="s">
        <v>41</v>
      </c>
      <c r="L549" t="s">
        <v>37</v>
      </c>
      <c r="M549">
        <v>0</v>
      </c>
    </row>
    <row r="550" spans="11:13" x14ac:dyDescent="0.2">
      <c r="K550" t="s">
        <v>42</v>
      </c>
      <c r="L550" t="s">
        <v>38</v>
      </c>
      <c r="M550">
        <v>0</v>
      </c>
    </row>
    <row r="551" spans="11:13" x14ac:dyDescent="0.2">
      <c r="K551" t="s">
        <v>42</v>
      </c>
      <c r="L551" t="s">
        <v>38</v>
      </c>
      <c r="M551">
        <v>0</v>
      </c>
    </row>
    <row r="552" spans="11:13" x14ac:dyDescent="0.2">
      <c r="K552" t="s">
        <v>42</v>
      </c>
      <c r="L552" t="s">
        <v>38</v>
      </c>
      <c r="M552">
        <v>0</v>
      </c>
    </row>
    <row r="553" spans="11:13" x14ac:dyDescent="0.2">
      <c r="K553" t="s">
        <v>42</v>
      </c>
      <c r="L553" t="s">
        <v>38</v>
      </c>
      <c r="M553">
        <v>0</v>
      </c>
    </row>
    <row r="554" spans="11:13" x14ac:dyDescent="0.2">
      <c r="K554" t="s">
        <v>41</v>
      </c>
      <c r="L554" t="s">
        <v>37</v>
      </c>
      <c r="M554">
        <v>0</v>
      </c>
    </row>
    <row r="555" spans="11:13" x14ac:dyDescent="0.2">
      <c r="K555" t="s">
        <v>42</v>
      </c>
      <c r="L555" t="s">
        <v>38</v>
      </c>
      <c r="M555">
        <v>0</v>
      </c>
    </row>
    <row r="556" spans="11:13" x14ac:dyDescent="0.2">
      <c r="K556" t="s">
        <v>41</v>
      </c>
      <c r="L556" t="s">
        <v>37</v>
      </c>
      <c r="M556">
        <v>0</v>
      </c>
    </row>
    <row r="557" spans="11:13" x14ac:dyDescent="0.2">
      <c r="K557" t="s">
        <v>41</v>
      </c>
      <c r="L557" t="s">
        <v>37</v>
      </c>
      <c r="M557">
        <v>0</v>
      </c>
    </row>
    <row r="558" spans="11:13" x14ac:dyDescent="0.2">
      <c r="K558" t="s">
        <v>41</v>
      </c>
      <c r="L558" t="s">
        <v>37</v>
      </c>
      <c r="M558">
        <v>0</v>
      </c>
    </row>
    <row r="559" spans="11:13" x14ac:dyDescent="0.2">
      <c r="K559" t="s">
        <v>41</v>
      </c>
      <c r="L559" t="s">
        <v>37</v>
      </c>
      <c r="M559">
        <v>0</v>
      </c>
    </row>
    <row r="560" spans="11:13" x14ac:dyDescent="0.2">
      <c r="K560" t="s">
        <v>42</v>
      </c>
      <c r="L560" t="s">
        <v>38</v>
      </c>
      <c r="M560">
        <v>0</v>
      </c>
    </row>
    <row r="561" spans="11:13" x14ac:dyDescent="0.2">
      <c r="K561" t="s">
        <v>41</v>
      </c>
      <c r="L561" t="s">
        <v>37</v>
      </c>
      <c r="M561">
        <v>0</v>
      </c>
    </row>
    <row r="562" spans="11:13" x14ac:dyDescent="0.2">
      <c r="K562" t="s">
        <v>41</v>
      </c>
      <c r="L562" t="s">
        <v>37</v>
      </c>
      <c r="M562">
        <v>0</v>
      </c>
    </row>
    <row r="563" spans="11:13" x14ac:dyDescent="0.2">
      <c r="K563" t="s">
        <v>42</v>
      </c>
      <c r="L563" t="s">
        <v>38</v>
      </c>
      <c r="M563">
        <v>0</v>
      </c>
    </row>
    <row r="564" spans="11:13" x14ac:dyDescent="0.2">
      <c r="K564" t="s">
        <v>42</v>
      </c>
      <c r="L564" t="s">
        <v>38</v>
      </c>
      <c r="M564">
        <v>0</v>
      </c>
    </row>
    <row r="565" spans="11:13" x14ac:dyDescent="0.2">
      <c r="K565" t="s">
        <v>41</v>
      </c>
      <c r="L565" t="s">
        <v>37</v>
      </c>
      <c r="M565">
        <v>0</v>
      </c>
    </row>
    <row r="566" spans="11:13" x14ac:dyDescent="0.2">
      <c r="K566" t="s">
        <v>42</v>
      </c>
      <c r="L566" t="s">
        <v>38</v>
      </c>
      <c r="M566">
        <v>0</v>
      </c>
    </row>
    <row r="567" spans="11:13" x14ac:dyDescent="0.2">
      <c r="K567" t="s">
        <v>41</v>
      </c>
      <c r="L567" t="s">
        <v>37</v>
      </c>
      <c r="M567">
        <v>0</v>
      </c>
    </row>
    <row r="568" spans="11:13" x14ac:dyDescent="0.2">
      <c r="K568" t="s">
        <v>42</v>
      </c>
      <c r="L568" t="s">
        <v>38</v>
      </c>
      <c r="M568">
        <v>0</v>
      </c>
    </row>
    <row r="569" spans="11:13" x14ac:dyDescent="0.2">
      <c r="K569" t="s">
        <v>42</v>
      </c>
      <c r="L569" t="s">
        <v>38</v>
      </c>
      <c r="M569">
        <v>0</v>
      </c>
    </row>
    <row r="570" spans="11:13" x14ac:dyDescent="0.2">
      <c r="K570" t="s">
        <v>42</v>
      </c>
      <c r="L570" t="s">
        <v>38</v>
      </c>
      <c r="M570">
        <v>0</v>
      </c>
    </row>
    <row r="571" spans="11:13" x14ac:dyDescent="0.2">
      <c r="K571" t="s">
        <v>42</v>
      </c>
      <c r="L571" t="s">
        <v>38</v>
      </c>
      <c r="M571">
        <v>0</v>
      </c>
    </row>
    <row r="572" spans="11:13" x14ac:dyDescent="0.2">
      <c r="K572" t="s">
        <v>41</v>
      </c>
      <c r="L572" t="s">
        <v>37</v>
      </c>
      <c r="M572">
        <v>0</v>
      </c>
    </row>
    <row r="573" spans="11:13" x14ac:dyDescent="0.2">
      <c r="K573" t="s">
        <v>42</v>
      </c>
      <c r="L573" t="s">
        <v>38</v>
      </c>
      <c r="M573">
        <v>0</v>
      </c>
    </row>
    <row r="574" spans="11:13" x14ac:dyDescent="0.2">
      <c r="K574" t="s">
        <v>42</v>
      </c>
      <c r="L574" t="s">
        <v>38</v>
      </c>
      <c r="M574">
        <v>0</v>
      </c>
    </row>
    <row r="575" spans="11:13" x14ac:dyDescent="0.2">
      <c r="K575" t="s">
        <v>42</v>
      </c>
      <c r="L575" t="s">
        <v>38</v>
      </c>
      <c r="M575">
        <v>0</v>
      </c>
    </row>
    <row r="576" spans="11:13" x14ac:dyDescent="0.2">
      <c r="K576" t="s">
        <v>42</v>
      </c>
      <c r="L576" t="s">
        <v>38</v>
      </c>
      <c r="M576">
        <v>0</v>
      </c>
    </row>
    <row r="577" spans="11:13" x14ac:dyDescent="0.2">
      <c r="K577" t="s">
        <v>42</v>
      </c>
      <c r="L577" t="s">
        <v>38</v>
      </c>
      <c r="M577">
        <v>0</v>
      </c>
    </row>
    <row r="578" spans="11:13" x14ac:dyDescent="0.2">
      <c r="K578" t="s">
        <v>42</v>
      </c>
      <c r="L578" t="s">
        <v>38</v>
      </c>
      <c r="M578">
        <v>0</v>
      </c>
    </row>
    <row r="579" spans="11:13" x14ac:dyDescent="0.2">
      <c r="K579" t="s">
        <v>41</v>
      </c>
      <c r="L579" t="s">
        <v>37</v>
      </c>
      <c r="M579">
        <v>0</v>
      </c>
    </row>
    <row r="580" spans="11:13" x14ac:dyDescent="0.2">
      <c r="K580" t="s">
        <v>41</v>
      </c>
      <c r="L580" t="s">
        <v>37</v>
      </c>
      <c r="M580">
        <v>0</v>
      </c>
    </row>
    <row r="581" spans="11:13" x14ac:dyDescent="0.2">
      <c r="K581" t="s">
        <v>41</v>
      </c>
      <c r="L581" t="s">
        <v>37</v>
      </c>
      <c r="M581">
        <v>1</v>
      </c>
    </row>
    <row r="582" spans="11:13" x14ac:dyDescent="0.2">
      <c r="K582" t="s">
        <v>41</v>
      </c>
      <c r="L582" t="s">
        <v>37</v>
      </c>
      <c r="M582">
        <v>0</v>
      </c>
    </row>
    <row r="583" spans="11:13" x14ac:dyDescent="0.2">
      <c r="K583" t="s">
        <v>42</v>
      </c>
      <c r="L583" t="s">
        <v>38</v>
      </c>
      <c r="M583">
        <v>0</v>
      </c>
    </row>
    <row r="584" spans="11:13" x14ac:dyDescent="0.2">
      <c r="K584" t="s">
        <v>42</v>
      </c>
      <c r="L584" t="s">
        <v>38</v>
      </c>
      <c r="M584">
        <v>0</v>
      </c>
    </row>
    <row r="585" spans="11:13" x14ac:dyDescent="0.2">
      <c r="K585" t="s">
        <v>41</v>
      </c>
      <c r="L585" t="s">
        <v>37</v>
      </c>
      <c r="M585">
        <v>0</v>
      </c>
    </row>
    <row r="586" spans="11:13" x14ac:dyDescent="0.2">
      <c r="K586" t="s">
        <v>42</v>
      </c>
      <c r="L586" t="s">
        <v>38</v>
      </c>
      <c r="M586">
        <v>0</v>
      </c>
    </row>
    <row r="587" spans="11:13" x14ac:dyDescent="0.2">
      <c r="K587" t="s">
        <v>41</v>
      </c>
      <c r="L587" t="s">
        <v>37</v>
      </c>
      <c r="M587">
        <v>0</v>
      </c>
    </row>
    <row r="588" spans="11:13" x14ac:dyDescent="0.2">
      <c r="K588" t="s">
        <v>42</v>
      </c>
      <c r="L588" t="s">
        <v>38</v>
      </c>
      <c r="M588">
        <v>0</v>
      </c>
    </row>
    <row r="589" spans="11:13" x14ac:dyDescent="0.2">
      <c r="K589" t="s">
        <v>41</v>
      </c>
      <c r="L589" t="s">
        <v>37</v>
      </c>
      <c r="M589">
        <v>0</v>
      </c>
    </row>
    <row r="590" spans="11:13" x14ac:dyDescent="0.2">
      <c r="K590" t="s">
        <v>42</v>
      </c>
      <c r="L590" t="s">
        <v>38</v>
      </c>
      <c r="M590">
        <v>0</v>
      </c>
    </row>
    <row r="591" spans="11:13" x14ac:dyDescent="0.2">
      <c r="K591" t="s">
        <v>41</v>
      </c>
      <c r="L591" t="s">
        <v>37</v>
      </c>
      <c r="M591">
        <v>0</v>
      </c>
    </row>
    <row r="592" spans="11:13" x14ac:dyDescent="0.2">
      <c r="K592" t="s">
        <v>41</v>
      </c>
      <c r="L592" t="s">
        <v>37</v>
      </c>
      <c r="M592">
        <v>0</v>
      </c>
    </row>
    <row r="593" spans="11:13" x14ac:dyDescent="0.2">
      <c r="K593" t="s">
        <v>41</v>
      </c>
      <c r="L593" t="s">
        <v>37</v>
      </c>
      <c r="M593">
        <v>0</v>
      </c>
    </row>
    <row r="594" spans="11:13" x14ac:dyDescent="0.2">
      <c r="K594" t="s">
        <v>41</v>
      </c>
      <c r="L594" t="s">
        <v>37</v>
      </c>
      <c r="M594">
        <v>0</v>
      </c>
    </row>
    <row r="595" spans="11:13" x14ac:dyDescent="0.2">
      <c r="K595" t="s">
        <v>42</v>
      </c>
      <c r="L595" t="s">
        <v>38</v>
      </c>
      <c r="M595">
        <v>0</v>
      </c>
    </row>
    <row r="596" spans="11:13" x14ac:dyDescent="0.2">
      <c r="K596" t="s">
        <v>42</v>
      </c>
      <c r="L596" t="s">
        <v>38</v>
      </c>
      <c r="M596">
        <v>0</v>
      </c>
    </row>
    <row r="597" spans="11:13" x14ac:dyDescent="0.2">
      <c r="K597" t="s">
        <v>42</v>
      </c>
      <c r="L597" t="s">
        <v>38</v>
      </c>
      <c r="M597">
        <v>0</v>
      </c>
    </row>
    <row r="598" spans="11:13" x14ac:dyDescent="0.2">
      <c r="K598" t="s">
        <v>41</v>
      </c>
      <c r="L598" t="s">
        <v>37</v>
      </c>
      <c r="M598">
        <v>0</v>
      </c>
    </row>
    <row r="599" spans="11:13" x14ac:dyDescent="0.2">
      <c r="K599" t="s">
        <v>41</v>
      </c>
      <c r="L599" t="s">
        <v>37</v>
      </c>
      <c r="M599">
        <v>0</v>
      </c>
    </row>
    <row r="600" spans="11:13" x14ac:dyDescent="0.2">
      <c r="K600" t="s">
        <v>42</v>
      </c>
      <c r="L600" t="s">
        <v>38</v>
      </c>
      <c r="M600">
        <v>0</v>
      </c>
    </row>
    <row r="601" spans="11:13" x14ac:dyDescent="0.2">
      <c r="K601" t="s">
        <v>42</v>
      </c>
      <c r="L601" t="s">
        <v>38</v>
      </c>
      <c r="M601">
        <v>0</v>
      </c>
    </row>
    <row r="602" spans="11:13" x14ac:dyDescent="0.2">
      <c r="K602" t="s">
        <v>41</v>
      </c>
      <c r="L602" t="s">
        <v>37</v>
      </c>
      <c r="M602">
        <v>0</v>
      </c>
    </row>
    <row r="603" spans="11:13" x14ac:dyDescent="0.2">
      <c r="K603" t="s">
        <v>42</v>
      </c>
      <c r="L603" t="s">
        <v>38</v>
      </c>
      <c r="M603">
        <v>0</v>
      </c>
    </row>
    <row r="604" spans="11:13" x14ac:dyDescent="0.2">
      <c r="K604" t="s">
        <v>42</v>
      </c>
      <c r="L604" t="s">
        <v>38</v>
      </c>
      <c r="M604">
        <v>0</v>
      </c>
    </row>
    <row r="605" spans="11:13" x14ac:dyDescent="0.2">
      <c r="K605" t="s">
        <v>41</v>
      </c>
      <c r="L605" t="s">
        <v>37</v>
      </c>
      <c r="M605">
        <v>0</v>
      </c>
    </row>
    <row r="606" spans="11:13" x14ac:dyDescent="0.2">
      <c r="K606" t="s">
        <v>41</v>
      </c>
      <c r="L606" t="s">
        <v>37</v>
      </c>
      <c r="M606">
        <v>0</v>
      </c>
    </row>
    <row r="607" spans="11:13" x14ac:dyDescent="0.2">
      <c r="K607" t="s">
        <v>41</v>
      </c>
      <c r="L607" t="s">
        <v>37</v>
      </c>
      <c r="M607">
        <v>0</v>
      </c>
    </row>
    <row r="608" spans="11:13" x14ac:dyDescent="0.2">
      <c r="K608" t="s">
        <v>41</v>
      </c>
      <c r="L608" t="s">
        <v>37</v>
      </c>
      <c r="M608">
        <v>0</v>
      </c>
    </row>
    <row r="609" spans="11:13" x14ac:dyDescent="0.2">
      <c r="K609" t="s">
        <v>42</v>
      </c>
      <c r="L609" t="s">
        <v>38</v>
      </c>
      <c r="M609">
        <v>0</v>
      </c>
    </row>
    <row r="610" spans="11:13" x14ac:dyDescent="0.2">
      <c r="K610" t="s">
        <v>41</v>
      </c>
      <c r="L610" t="s">
        <v>37</v>
      </c>
      <c r="M610">
        <v>0</v>
      </c>
    </row>
    <row r="611" spans="11:13" x14ac:dyDescent="0.2">
      <c r="K611" t="s">
        <v>42</v>
      </c>
      <c r="L611" t="s">
        <v>38</v>
      </c>
      <c r="M611">
        <v>0</v>
      </c>
    </row>
    <row r="612" spans="11:13" x14ac:dyDescent="0.2">
      <c r="K612" t="s">
        <v>41</v>
      </c>
      <c r="L612" t="s">
        <v>37</v>
      </c>
      <c r="M612">
        <v>0</v>
      </c>
    </row>
    <row r="613" spans="11:13" x14ac:dyDescent="0.2">
      <c r="K613" t="s">
        <v>42</v>
      </c>
      <c r="L613" t="s">
        <v>38</v>
      </c>
      <c r="M613">
        <v>0</v>
      </c>
    </row>
    <row r="614" spans="11:13" x14ac:dyDescent="0.2">
      <c r="K614" t="s">
        <v>41</v>
      </c>
      <c r="L614" t="s">
        <v>37</v>
      </c>
      <c r="M614">
        <v>0</v>
      </c>
    </row>
    <row r="615" spans="11:13" x14ac:dyDescent="0.2">
      <c r="K615" t="s">
        <v>42</v>
      </c>
      <c r="L615" t="s">
        <v>38</v>
      </c>
      <c r="M615">
        <v>0</v>
      </c>
    </row>
    <row r="616" spans="11:13" x14ac:dyDescent="0.2">
      <c r="K616" t="s">
        <v>42</v>
      </c>
      <c r="L616" t="s">
        <v>38</v>
      </c>
      <c r="M616">
        <v>0</v>
      </c>
    </row>
    <row r="617" spans="11:13" x14ac:dyDescent="0.2">
      <c r="K617" t="s">
        <v>41</v>
      </c>
      <c r="L617" t="s">
        <v>37</v>
      </c>
      <c r="M617">
        <v>0</v>
      </c>
    </row>
    <row r="618" spans="11:13" x14ac:dyDescent="0.2">
      <c r="K618" t="s">
        <v>42</v>
      </c>
      <c r="L618" t="s">
        <v>38</v>
      </c>
      <c r="M618">
        <v>0</v>
      </c>
    </row>
    <row r="619" spans="11:13" x14ac:dyDescent="0.2">
      <c r="K619" t="s">
        <v>42</v>
      </c>
      <c r="L619" t="s">
        <v>38</v>
      </c>
      <c r="M619">
        <v>0</v>
      </c>
    </row>
    <row r="620" spans="11:13" x14ac:dyDescent="0.2">
      <c r="K620" t="s">
        <v>41</v>
      </c>
      <c r="L620" t="s">
        <v>37</v>
      </c>
      <c r="M620">
        <v>0</v>
      </c>
    </row>
    <row r="621" spans="11:13" x14ac:dyDescent="0.2">
      <c r="K621" t="s">
        <v>42</v>
      </c>
      <c r="L621" t="s">
        <v>38</v>
      </c>
      <c r="M621">
        <v>0</v>
      </c>
    </row>
    <row r="622" spans="11:13" x14ac:dyDescent="0.2">
      <c r="K622" t="s">
        <v>41</v>
      </c>
      <c r="L622" t="s">
        <v>37</v>
      </c>
      <c r="M622">
        <v>0</v>
      </c>
    </row>
    <row r="623" spans="11:13" x14ac:dyDescent="0.2">
      <c r="K623" t="s">
        <v>42</v>
      </c>
      <c r="L623" t="s">
        <v>38</v>
      </c>
      <c r="M623">
        <v>0</v>
      </c>
    </row>
    <row r="624" spans="11:13" x14ac:dyDescent="0.2">
      <c r="K624" t="s">
        <v>41</v>
      </c>
      <c r="L624" t="s">
        <v>37</v>
      </c>
      <c r="M624">
        <v>0</v>
      </c>
    </row>
    <row r="625" spans="11:13" x14ac:dyDescent="0.2">
      <c r="K625" t="s">
        <v>42</v>
      </c>
      <c r="L625" t="s">
        <v>38</v>
      </c>
      <c r="M625">
        <v>0</v>
      </c>
    </row>
    <row r="626" spans="11:13" x14ac:dyDescent="0.2">
      <c r="K626" t="s">
        <v>41</v>
      </c>
      <c r="L626" t="s">
        <v>37</v>
      </c>
      <c r="M626">
        <v>0</v>
      </c>
    </row>
    <row r="627" spans="11:13" x14ac:dyDescent="0.2">
      <c r="K627" t="s">
        <v>41</v>
      </c>
      <c r="L627" t="s">
        <v>37</v>
      </c>
      <c r="M627">
        <v>0</v>
      </c>
    </row>
    <row r="628" spans="11:13" x14ac:dyDescent="0.2">
      <c r="K628" t="s">
        <v>42</v>
      </c>
      <c r="L628" t="s">
        <v>38</v>
      </c>
      <c r="M628">
        <v>0</v>
      </c>
    </row>
    <row r="629" spans="11:13" x14ac:dyDescent="0.2">
      <c r="K629" t="s">
        <v>41</v>
      </c>
      <c r="L629" t="s">
        <v>37</v>
      </c>
      <c r="M629">
        <v>0</v>
      </c>
    </row>
    <row r="630" spans="11:13" x14ac:dyDescent="0.2">
      <c r="K630" t="s">
        <v>41</v>
      </c>
      <c r="L630" t="s">
        <v>37</v>
      </c>
      <c r="M630">
        <v>0</v>
      </c>
    </row>
    <row r="631" spans="11:13" x14ac:dyDescent="0.2">
      <c r="K631" t="s">
        <v>42</v>
      </c>
      <c r="L631" t="s">
        <v>38</v>
      </c>
      <c r="M631">
        <v>0</v>
      </c>
    </row>
    <row r="632" spans="11:13" x14ac:dyDescent="0.2">
      <c r="K632" t="s">
        <v>41</v>
      </c>
      <c r="L632" t="s">
        <v>37</v>
      </c>
      <c r="M632">
        <v>0</v>
      </c>
    </row>
    <row r="633" spans="11:13" x14ac:dyDescent="0.2">
      <c r="K633" t="s">
        <v>41</v>
      </c>
      <c r="L633" t="s">
        <v>37</v>
      </c>
      <c r="M633">
        <v>0</v>
      </c>
    </row>
    <row r="634" spans="11:13" x14ac:dyDescent="0.2">
      <c r="K634" t="s">
        <v>42</v>
      </c>
      <c r="L634" t="s">
        <v>38</v>
      </c>
      <c r="M634">
        <v>0</v>
      </c>
    </row>
    <row r="635" spans="11:13" x14ac:dyDescent="0.2">
      <c r="K635" t="s">
        <v>42</v>
      </c>
      <c r="L635" t="s">
        <v>38</v>
      </c>
      <c r="M635">
        <v>0</v>
      </c>
    </row>
    <row r="636" spans="11:13" x14ac:dyDescent="0.2">
      <c r="K636" t="s">
        <v>41</v>
      </c>
      <c r="L636" t="s">
        <v>37</v>
      </c>
      <c r="M636">
        <v>0</v>
      </c>
    </row>
    <row r="637" spans="11:13" x14ac:dyDescent="0.2">
      <c r="K637" t="s">
        <v>41</v>
      </c>
      <c r="L637" t="s">
        <v>37</v>
      </c>
      <c r="M637">
        <v>0</v>
      </c>
    </row>
    <row r="638" spans="11:13" x14ac:dyDescent="0.2">
      <c r="K638" t="s">
        <v>41</v>
      </c>
      <c r="L638" t="s">
        <v>37</v>
      </c>
      <c r="M638">
        <v>0</v>
      </c>
    </row>
    <row r="639" spans="11:13" x14ac:dyDescent="0.2">
      <c r="K639" t="s">
        <v>41</v>
      </c>
      <c r="L639" t="s">
        <v>37</v>
      </c>
      <c r="M639">
        <v>0</v>
      </c>
    </row>
    <row r="640" spans="11:13" x14ac:dyDescent="0.2">
      <c r="K640" t="s">
        <v>42</v>
      </c>
      <c r="L640" t="s">
        <v>38</v>
      </c>
      <c r="M640">
        <v>0</v>
      </c>
    </row>
    <row r="641" spans="11:13" x14ac:dyDescent="0.2">
      <c r="K641" t="s">
        <v>42</v>
      </c>
      <c r="L641" t="s">
        <v>38</v>
      </c>
      <c r="M641">
        <v>0</v>
      </c>
    </row>
    <row r="642" spans="11:13" x14ac:dyDescent="0.2">
      <c r="K642" t="s">
        <v>42</v>
      </c>
      <c r="L642" t="s">
        <v>38</v>
      </c>
      <c r="M642">
        <v>0</v>
      </c>
    </row>
    <row r="643" spans="11:13" x14ac:dyDescent="0.2">
      <c r="K643" t="s">
        <v>42</v>
      </c>
      <c r="L643" t="s">
        <v>38</v>
      </c>
      <c r="M643">
        <v>0</v>
      </c>
    </row>
    <row r="644" spans="11:13" x14ac:dyDescent="0.2">
      <c r="K644" t="s">
        <v>42</v>
      </c>
      <c r="L644" t="s">
        <v>38</v>
      </c>
      <c r="M644">
        <v>0</v>
      </c>
    </row>
    <row r="645" spans="11:13" x14ac:dyDescent="0.2">
      <c r="K645" t="s">
        <v>42</v>
      </c>
      <c r="L645" t="s">
        <v>38</v>
      </c>
      <c r="M645">
        <v>0</v>
      </c>
    </row>
    <row r="646" spans="11:13" x14ac:dyDescent="0.2">
      <c r="K646" t="s">
        <v>41</v>
      </c>
      <c r="L646" t="s">
        <v>37</v>
      </c>
      <c r="M646">
        <v>0</v>
      </c>
    </row>
    <row r="647" spans="11:13" x14ac:dyDescent="0.2">
      <c r="K647" t="s">
        <v>42</v>
      </c>
      <c r="L647" t="s">
        <v>38</v>
      </c>
      <c r="M647">
        <v>0</v>
      </c>
    </row>
    <row r="648" spans="11:13" x14ac:dyDescent="0.2">
      <c r="K648" t="s">
        <v>41</v>
      </c>
      <c r="L648" t="s">
        <v>37</v>
      </c>
      <c r="M648">
        <v>0</v>
      </c>
    </row>
    <row r="649" spans="11:13" x14ac:dyDescent="0.2">
      <c r="K649" t="s">
        <v>41</v>
      </c>
      <c r="L649" t="s">
        <v>37</v>
      </c>
      <c r="M649">
        <v>0</v>
      </c>
    </row>
    <row r="650" spans="11:13" x14ac:dyDescent="0.2">
      <c r="K650" t="s">
        <v>41</v>
      </c>
      <c r="L650" t="s">
        <v>37</v>
      </c>
      <c r="M650">
        <v>0</v>
      </c>
    </row>
    <row r="651" spans="11:13" x14ac:dyDescent="0.2">
      <c r="K651" t="s">
        <v>41</v>
      </c>
      <c r="L651" t="s">
        <v>37</v>
      </c>
      <c r="M651">
        <v>0</v>
      </c>
    </row>
    <row r="652" spans="11:13" x14ac:dyDescent="0.2">
      <c r="K652" t="s">
        <v>41</v>
      </c>
      <c r="L652" t="s">
        <v>37</v>
      </c>
      <c r="M652">
        <v>0</v>
      </c>
    </row>
    <row r="653" spans="11:13" x14ac:dyDescent="0.2">
      <c r="K653" t="s">
        <v>42</v>
      </c>
      <c r="L653" t="s">
        <v>38</v>
      </c>
      <c r="M653">
        <v>0</v>
      </c>
    </row>
    <row r="654" spans="11:13" x14ac:dyDescent="0.2">
      <c r="K654" t="s">
        <v>42</v>
      </c>
      <c r="L654" t="s">
        <v>38</v>
      </c>
      <c r="M654">
        <v>0</v>
      </c>
    </row>
    <row r="655" spans="11:13" x14ac:dyDescent="0.2">
      <c r="K655" t="s">
        <v>41</v>
      </c>
      <c r="L655" t="s">
        <v>37</v>
      </c>
      <c r="M655">
        <v>0</v>
      </c>
    </row>
    <row r="656" spans="11:13" x14ac:dyDescent="0.2">
      <c r="K656" t="s">
        <v>41</v>
      </c>
      <c r="L656" t="s">
        <v>37</v>
      </c>
      <c r="M656">
        <v>0</v>
      </c>
    </row>
    <row r="657" spans="11:13" x14ac:dyDescent="0.2">
      <c r="K657" t="s">
        <v>41</v>
      </c>
      <c r="L657" t="s">
        <v>37</v>
      </c>
      <c r="M657">
        <v>0</v>
      </c>
    </row>
    <row r="658" spans="11:13" x14ac:dyDescent="0.2">
      <c r="K658" t="s">
        <v>41</v>
      </c>
      <c r="L658" t="s">
        <v>37</v>
      </c>
      <c r="M658">
        <v>0</v>
      </c>
    </row>
    <row r="659" spans="11:13" x14ac:dyDescent="0.2">
      <c r="K659" t="s">
        <v>42</v>
      </c>
      <c r="L659" t="s">
        <v>38</v>
      </c>
      <c r="M659">
        <v>0</v>
      </c>
    </row>
    <row r="660" spans="11:13" x14ac:dyDescent="0.2">
      <c r="K660" t="s">
        <v>42</v>
      </c>
      <c r="L660" t="s">
        <v>38</v>
      </c>
      <c r="M660">
        <v>0</v>
      </c>
    </row>
    <row r="661" spans="11:13" x14ac:dyDescent="0.2">
      <c r="K661" t="s">
        <v>41</v>
      </c>
      <c r="L661" t="s">
        <v>37</v>
      </c>
      <c r="M661">
        <v>0</v>
      </c>
    </row>
    <row r="662" spans="11:13" x14ac:dyDescent="0.2">
      <c r="K662" t="s">
        <v>41</v>
      </c>
      <c r="L662" t="s">
        <v>37</v>
      </c>
      <c r="M662">
        <v>0</v>
      </c>
    </row>
    <row r="663" spans="11:13" x14ac:dyDescent="0.2">
      <c r="K663" t="s">
        <v>42</v>
      </c>
      <c r="L663" t="s">
        <v>38</v>
      </c>
      <c r="M663">
        <v>0</v>
      </c>
    </row>
    <row r="664" spans="11:13" x14ac:dyDescent="0.2">
      <c r="K664" t="s">
        <v>42</v>
      </c>
      <c r="L664" t="s">
        <v>38</v>
      </c>
      <c r="M664">
        <v>0</v>
      </c>
    </row>
    <row r="665" spans="11:13" x14ac:dyDescent="0.2">
      <c r="K665" t="s">
        <v>41</v>
      </c>
      <c r="L665" t="s">
        <v>37</v>
      </c>
      <c r="M665">
        <v>0</v>
      </c>
    </row>
    <row r="666" spans="11:13" x14ac:dyDescent="0.2">
      <c r="K666" t="s">
        <v>42</v>
      </c>
      <c r="L666" t="s">
        <v>38</v>
      </c>
      <c r="M666">
        <v>0</v>
      </c>
    </row>
    <row r="667" spans="11:13" x14ac:dyDescent="0.2">
      <c r="K667" t="s">
        <v>41</v>
      </c>
      <c r="L667" t="s">
        <v>37</v>
      </c>
      <c r="M667">
        <v>0</v>
      </c>
    </row>
    <row r="668" spans="11:13" x14ac:dyDescent="0.2">
      <c r="K668" t="s">
        <v>42</v>
      </c>
      <c r="L668" t="s">
        <v>38</v>
      </c>
      <c r="M668">
        <v>0</v>
      </c>
    </row>
    <row r="669" spans="11:13" x14ac:dyDescent="0.2">
      <c r="K669" t="s">
        <v>42</v>
      </c>
      <c r="L669" t="s">
        <v>38</v>
      </c>
      <c r="M669">
        <v>0</v>
      </c>
    </row>
    <row r="670" spans="11:13" x14ac:dyDescent="0.2">
      <c r="K670" t="s">
        <v>42</v>
      </c>
      <c r="L670" t="s">
        <v>38</v>
      </c>
      <c r="M670">
        <v>0</v>
      </c>
    </row>
    <row r="671" spans="11:13" x14ac:dyDescent="0.2">
      <c r="K671" t="s">
        <v>41</v>
      </c>
      <c r="L671" t="s">
        <v>37</v>
      </c>
      <c r="M671">
        <v>0</v>
      </c>
    </row>
    <row r="672" spans="11:13" x14ac:dyDescent="0.2">
      <c r="K672" t="s">
        <v>42</v>
      </c>
      <c r="L672" t="s">
        <v>38</v>
      </c>
      <c r="M672">
        <v>1</v>
      </c>
    </row>
    <row r="673" spans="11:13" x14ac:dyDescent="0.2">
      <c r="K673" t="s">
        <v>41</v>
      </c>
      <c r="L673" t="s">
        <v>37</v>
      </c>
      <c r="M673">
        <v>0</v>
      </c>
    </row>
    <row r="674" spans="11:13" x14ac:dyDescent="0.2">
      <c r="K674" t="s">
        <v>42</v>
      </c>
      <c r="L674" t="s">
        <v>38</v>
      </c>
      <c r="M674">
        <v>1</v>
      </c>
    </row>
    <row r="675" spans="11:13" x14ac:dyDescent="0.2">
      <c r="K675" t="s">
        <v>42</v>
      </c>
      <c r="L675" t="s">
        <v>38</v>
      </c>
      <c r="M675">
        <v>0</v>
      </c>
    </row>
    <row r="676" spans="11:13" x14ac:dyDescent="0.2">
      <c r="K676" t="s">
        <v>41</v>
      </c>
      <c r="L676" t="s">
        <v>37</v>
      </c>
      <c r="M676">
        <v>0</v>
      </c>
    </row>
    <row r="677" spans="11:13" x14ac:dyDescent="0.2">
      <c r="K677" t="s">
        <v>42</v>
      </c>
      <c r="L677" t="s">
        <v>38</v>
      </c>
      <c r="M677">
        <v>0</v>
      </c>
    </row>
    <row r="678" spans="11:13" x14ac:dyDescent="0.2">
      <c r="K678" t="s">
        <v>41</v>
      </c>
      <c r="L678" t="s">
        <v>37</v>
      </c>
      <c r="M678">
        <v>0</v>
      </c>
    </row>
    <row r="679" spans="11:13" x14ac:dyDescent="0.2">
      <c r="K679" t="s">
        <v>41</v>
      </c>
      <c r="L679" t="s">
        <v>37</v>
      </c>
      <c r="M679">
        <v>0</v>
      </c>
    </row>
    <row r="680" spans="11:13" x14ac:dyDescent="0.2">
      <c r="K680" t="s">
        <v>42</v>
      </c>
      <c r="L680" t="s">
        <v>38</v>
      </c>
      <c r="M680">
        <v>1</v>
      </c>
    </row>
    <row r="681" spans="11:13" x14ac:dyDescent="0.2">
      <c r="K681" t="s">
        <v>42</v>
      </c>
      <c r="L681" t="s">
        <v>38</v>
      </c>
      <c r="M681">
        <v>0</v>
      </c>
    </row>
    <row r="682" spans="11:13" x14ac:dyDescent="0.2">
      <c r="K682" t="s">
        <v>42</v>
      </c>
      <c r="L682" t="s">
        <v>38</v>
      </c>
      <c r="M682">
        <v>0</v>
      </c>
    </row>
    <row r="683" spans="11:13" x14ac:dyDescent="0.2">
      <c r="K683" t="s">
        <v>41</v>
      </c>
      <c r="L683" t="s">
        <v>37</v>
      </c>
      <c r="M683">
        <v>0</v>
      </c>
    </row>
    <row r="684" spans="11:13" x14ac:dyDescent="0.2">
      <c r="K684" t="s">
        <v>42</v>
      </c>
      <c r="L684" t="s">
        <v>38</v>
      </c>
      <c r="M684">
        <v>0</v>
      </c>
    </row>
    <row r="685" spans="11:13" x14ac:dyDescent="0.2">
      <c r="K685" t="s">
        <v>42</v>
      </c>
      <c r="L685" t="s">
        <v>38</v>
      </c>
      <c r="M685">
        <v>0</v>
      </c>
    </row>
    <row r="686" spans="11:13" x14ac:dyDescent="0.2">
      <c r="K686" t="s">
        <v>41</v>
      </c>
      <c r="L686" t="s">
        <v>37</v>
      </c>
      <c r="M686">
        <v>0</v>
      </c>
    </row>
    <row r="687" spans="11:13" x14ac:dyDescent="0.2">
      <c r="K687" t="s">
        <v>41</v>
      </c>
      <c r="L687" t="s">
        <v>37</v>
      </c>
      <c r="M687">
        <v>0</v>
      </c>
    </row>
    <row r="688" spans="11:13" x14ac:dyDescent="0.2">
      <c r="K688" t="s">
        <v>42</v>
      </c>
      <c r="L688" t="s">
        <v>38</v>
      </c>
      <c r="M688">
        <v>0</v>
      </c>
    </row>
    <row r="689" spans="11:13" x14ac:dyDescent="0.2">
      <c r="K689" t="s">
        <v>41</v>
      </c>
      <c r="L689" t="s">
        <v>37</v>
      </c>
      <c r="M689">
        <v>0</v>
      </c>
    </row>
    <row r="690" spans="11:13" x14ac:dyDescent="0.2">
      <c r="K690" t="s">
        <v>42</v>
      </c>
      <c r="L690" t="s">
        <v>38</v>
      </c>
      <c r="M690">
        <v>0</v>
      </c>
    </row>
    <row r="691" spans="11:13" x14ac:dyDescent="0.2">
      <c r="K691" t="s">
        <v>41</v>
      </c>
      <c r="L691" t="s">
        <v>37</v>
      </c>
      <c r="M691">
        <v>1</v>
      </c>
    </row>
    <row r="692" spans="11:13" x14ac:dyDescent="0.2">
      <c r="K692" t="s">
        <v>41</v>
      </c>
      <c r="L692" t="s">
        <v>37</v>
      </c>
      <c r="M692">
        <v>0</v>
      </c>
    </row>
    <row r="693" spans="11:13" x14ac:dyDescent="0.2">
      <c r="K693" t="s">
        <v>42</v>
      </c>
      <c r="L693" t="s">
        <v>38</v>
      </c>
      <c r="M693">
        <v>0</v>
      </c>
    </row>
    <row r="694" spans="11:13" x14ac:dyDescent="0.2">
      <c r="K694" t="s">
        <v>42</v>
      </c>
      <c r="L694" t="s">
        <v>38</v>
      </c>
      <c r="M694">
        <v>0</v>
      </c>
    </row>
    <row r="695" spans="11:13" x14ac:dyDescent="0.2">
      <c r="K695" t="s">
        <v>41</v>
      </c>
      <c r="L695" t="s">
        <v>37</v>
      </c>
      <c r="M695">
        <v>0</v>
      </c>
    </row>
    <row r="696" spans="11:13" x14ac:dyDescent="0.2">
      <c r="K696" t="s">
        <v>42</v>
      </c>
      <c r="L696" t="s">
        <v>38</v>
      </c>
      <c r="M696">
        <v>0</v>
      </c>
    </row>
    <row r="697" spans="11:13" x14ac:dyDescent="0.2">
      <c r="K697" t="s">
        <v>42</v>
      </c>
      <c r="L697" t="s">
        <v>38</v>
      </c>
      <c r="M697">
        <v>0</v>
      </c>
    </row>
    <row r="698" spans="11:13" x14ac:dyDescent="0.2">
      <c r="K698" t="s">
        <v>41</v>
      </c>
      <c r="L698" t="s">
        <v>37</v>
      </c>
      <c r="M698">
        <v>0</v>
      </c>
    </row>
    <row r="699" spans="11:13" x14ac:dyDescent="0.2">
      <c r="K699" t="s">
        <v>41</v>
      </c>
      <c r="L699" t="s">
        <v>37</v>
      </c>
      <c r="M699">
        <v>0</v>
      </c>
    </row>
    <row r="700" spans="11:13" x14ac:dyDescent="0.2">
      <c r="K700" t="s">
        <v>41</v>
      </c>
      <c r="L700" t="s">
        <v>37</v>
      </c>
      <c r="M700">
        <v>0</v>
      </c>
    </row>
    <row r="701" spans="11:13" x14ac:dyDescent="0.2">
      <c r="K701" t="s">
        <v>41</v>
      </c>
      <c r="L701" t="s">
        <v>37</v>
      </c>
      <c r="M701">
        <v>0</v>
      </c>
    </row>
    <row r="702" spans="11:13" x14ac:dyDescent="0.2">
      <c r="K702" t="s">
        <v>42</v>
      </c>
      <c r="L702" t="s">
        <v>38</v>
      </c>
      <c r="M702">
        <v>0</v>
      </c>
    </row>
    <row r="703" spans="11:13" x14ac:dyDescent="0.2">
      <c r="K703" t="s">
        <v>41</v>
      </c>
      <c r="L703" t="s">
        <v>37</v>
      </c>
      <c r="M703">
        <v>0</v>
      </c>
    </row>
    <row r="704" spans="11:13" x14ac:dyDescent="0.2">
      <c r="K704" t="s">
        <v>41</v>
      </c>
      <c r="L704" t="s">
        <v>37</v>
      </c>
      <c r="M704">
        <v>0</v>
      </c>
    </row>
    <row r="705" spans="11:13" x14ac:dyDescent="0.2">
      <c r="K705" t="s">
        <v>42</v>
      </c>
      <c r="L705" t="s">
        <v>38</v>
      </c>
      <c r="M705">
        <v>0</v>
      </c>
    </row>
    <row r="706" spans="11:13" x14ac:dyDescent="0.2">
      <c r="K706" t="s">
        <v>41</v>
      </c>
      <c r="L706" t="s">
        <v>37</v>
      </c>
      <c r="M706">
        <v>0</v>
      </c>
    </row>
    <row r="707" spans="11:13" x14ac:dyDescent="0.2">
      <c r="K707" t="s">
        <v>41</v>
      </c>
      <c r="L707" t="s">
        <v>37</v>
      </c>
      <c r="M707">
        <v>0</v>
      </c>
    </row>
    <row r="708" spans="11:13" x14ac:dyDescent="0.2">
      <c r="K708" t="s">
        <v>41</v>
      </c>
      <c r="L708" t="s">
        <v>37</v>
      </c>
      <c r="M708">
        <v>0</v>
      </c>
    </row>
    <row r="709" spans="11:13" x14ac:dyDescent="0.2">
      <c r="K709" t="s">
        <v>42</v>
      </c>
      <c r="L709" t="s">
        <v>38</v>
      </c>
      <c r="M709">
        <v>0</v>
      </c>
    </row>
    <row r="710" spans="11:13" x14ac:dyDescent="0.2">
      <c r="K710" t="s">
        <v>42</v>
      </c>
      <c r="L710" t="s">
        <v>38</v>
      </c>
      <c r="M710">
        <v>0</v>
      </c>
    </row>
    <row r="711" spans="11:13" x14ac:dyDescent="0.2">
      <c r="K711" t="s">
        <v>42</v>
      </c>
      <c r="L711" t="s">
        <v>38</v>
      </c>
      <c r="M711">
        <v>0</v>
      </c>
    </row>
    <row r="712" spans="11:13" x14ac:dyDescent="0.2">
      <c r="K712" t="s">
        <v>42</v>
      </c>
      <c r="L712" t="s">
        <v>38</v>
      </c>
      <c r="M712">
        <v>0</v>
      </c>
    </row>
    <row r="713" spans="11:13" x14ac:dyDescent="0.2">
      <c r="K713" t="s">
        <v>41</v>
      </c>
      <c r="L713" t="s">
        <v>37</v>
      </c>
      <c r="M713">
        <v>0</v>
      </c>
    </row>
    <row r="714" spans="11:13" x14ac:dyDescent="0.2">
      <c r="K714" t="s">
        <v>42</v>
      </c>
      <c r="L714" t="s">
        <v>38</v>
      </c>
      <c r="M714">
        <v>0</v>
      </c>
    </row>
    <row r="715" spans="11:13" x14ac:dyDescent="0.2">
      <c r="K715" t="s">
        <v>41</v>
      </c>
      <c r="L715" t="s">
        <v>37</v>
      </c>
      <c r="M715">
        <v>0</v>
      </c>
    </row>
    <row r="716" spans="11:13" x14ac:dyDescent="0.2">
      <c r="K716" t="s">
        <v>41</v>
      </c>
      <c r="L716" t="s">
        <v>37</v>
      </c>
      <c r="M716">
        <v>0</v>
      </c>
    </row>
    <row r="717" spans="11:13" x14ac:dyDescent="0.2">
      <c r="K717" t="s">
        <v>41</v>
      </c>
      <c r="L717" t="s">
        <v>37</v>
      </c>
      <c r="M717">
        <v>0</v>
      </c>
    </row>
    <row r="718" spans="11:13" x14ac:dyDescent="0.2">
      <c r="K718" t="s">
        <v>42</v>
      </c>
      <c r="L718" t="s">
        <v>38</v>
      </c>
      <c r="M718">
        <v>0</v>
      </c>
    </row>
    <row r="719" spans="11:13" x14ac:dyDescent="0.2">
      <c r="K719" t="s">
        <v>42</v>
      </c>
      <c r="L719" t="s">
        <v>38</v>
      </c>
      <c r="M719">
        <v>0</v>
      </c>
    </row>
    <row r="720" spans="11:13" x14ac:dyDescent="0.2">
      <c r="K720" t="s">
        <v>42</v>
      </c>
      <c r="L720" t="s">
        <v>38</v>
      </c>
      <c r="M720">
        <v>0</v>
      </c>
    </row>
    <row r="721" spans="11:13" x14ac:dyDescent="0.2">
      <c r="K721" t="s">
        <v>42</v>
      </c>
      <c r="L721" t="s">
        <v>38</v>
      </c>
      <c r="M721">
        <v>0</v>
      </c>
    </row>
    <row r="722" spans="11:13" x14ac:dyDescent="0.2">
      <c r="K722" t="s">
        <v>42</v>
      </c>
      <c r="L722" t="s">
        <v>38</v>
      </c>
      <c r="M722">
        <v>0</v>
      </c>
    </row>
    <row r="723" spans="11:13" x14ac:dyDescent="0.2">
      <c r="K723" t="s">
        <v>41</v>
      </c>
      <c r="L723" t="s">
        <v>37</v>
      </c>
      <c r="M723">
        <v>0</v>
      </c>
    </row>
    <row r="724" spans="11:13" x14ac:dyDescent="0.2">
      <c r="K724" t="s">
        <v>41</v>
      </c>
      <c r="L724" t="s">
        <v>37</v>
      </c>
      <c r="M724">
        <v>0</v>
      </c>
    </row>
    <row r="725" spans="11:13" x14ac:dyDescent="0.2">
      <c r="K725" t="s">
        <v>41</v>
      </c>
      <c r="L725" t="s">
        <v>37</v>
      </c>
      <c r="M725">
        <v>0</v>
      </c>
    </row>
    <row r="726" spans="11:13" x14ac:dyDescent="0.2">
      <c r="K726" t="s">
        <v>42</v>
      </c>
      <c r="L726" t="s">
        <v>38</v>
      </c>
      <c r="M726">
        <v>0</v>
      </c>
    </row>
    <row r="727" spans="11:13" x14ac:dyDescent="0.2">
      <c r="K727" t="s">
        <v>41</v>
      </c>
      <c r="L727" t="s">
        <v>37</v>
      </c>
      <c r="M727">
        <v>0</v>
      </c>
    </row>
    <row r="728" spans="11:13" x14ac:dyDescent="0.2">
      <c r="K728" t="s">
        <v>42</v>
      </c>
      <c r="L728" t="s">
        <v>38</v>
      </c>
      <c r="M728">
        <v>0</v>
      </c>
    </row>
    <row r="729" spans="11:13" x14ac:dyDescent="0.2">
      <c r="K729" t="s">
        <v>42</v>
      </c>
      <c r="L729" t="s">
        <v>38</v>
      </c>
      <c r="M729">
        <v>0</v>
      </c>
    </row>
    <row r="730" spans="11:13" x14ac:dyDescent="0.2">
      <c r="K730" t="s">
        <v>41</v>
      </c>
      <c r="L730" t="s">
        <v>37</v>
      </c>
      <c r="M730">
        <v>0</v>
      </c>
    </row>
    <row r="731" spans="11:13" x14ac:dyDescent="0.2">
      <c r="K731" t="s">
        <v>41</v>
      </c>
      <c r="L731" t="s">
        <v>37</v>
      </c>
      <c r="M731">
        <v>0</v>
      </c>
    </row>
    <row r="732" spans="11:13" x14ac:dyDescent="0.2">
      <c r="K732" t="s">
        <v>42</v>
      </c>
      <c r="L732" t="s">
        <v>38</v>
      </c>
      <c r="M732">
        <v>0</v>
      </c>
    </row>
    <row r="733" spans="11:13" x14ac:dyDescent="0.2">
      <c r="K733" t="s">
        <v>41</v>
      </c>
      <c r="L733" t="s">
        <v>37</v>
      </c>
      <c r="M733">
        <v>0</v>
      </c>
    </row>
    <row r="734" spans="11:13" x14ac:dyDescent="0.2">
      <c r="K734" t="s">
        <v>41</v>
      </c>
      <c r="L734" t="s">
        <v>37</v>
      </c>
      <c r="M734">
        <v>0</v>
      </c>
    </row>
    <row r="735" spans="11:13" x14ac:dyDescent="0.2">
      <c r="K735" t="s">
        <v>41</v>
      </c>
      <c r="L735" t="s">
        <v>37</v>
      </c>
      <c r="M735">
        <v>0</v>
      </c>
    </row>
    <row r="736" spans="11:13" x14ac:dyDescent="0.2">
      <c r="K736" t="s">
        <v>41</v>
      </c>
      <c r="L736" t="s">
        <v>37</v>
      </c>
      <c r="M736">
        <v>0</v>
      </c>
    </row>
    <row r="737" spans="11:13" x14ac:dyDescent="0.2">
      <c r="K737" t="s">
        <v>42</v>
      </c>
      <c r="L737" t="s">
        <v>38</v>
      </c>
      <c r="M737">
        <v>0</v>
      </c>
    </row>
    <row r="738" spans="11:13" x14ac:dyDescent="0.2">
      <c r="K738" t="s">
        <v>41</v>
      </c>
      <c r="L738" t="s">
        <v>37</v>
      </c>
      <c r="M738">
        <v>0</v>
      </c>
    </row>
    <row r="739" spans="11:13" x14ac:dyDescent="0.2">
      <c r="K739" t="s">
        <v>42</v>
      </c>
      <c r="L739" t="s">
        <v>38</v>
      </c>
      <c r="M739">
        <v>0</v>
      </c>
    </row>
    <row r="740" spans="11:13" x14ac:dyDescent="0.2">
      <c r="K740" t="s">
        <v>42</v>
      </c>
      <c r="L740" t="s">
        <v>38</v>
      </c>
      <c r="M740">
        <v>0</v>
      </c>
    </row>
    <row r="741" spans="11:13" x14ac:dyDescent="0.2">
      <c r="K741" t="s">
        <v>42</v>
      </c>
      <c r="L741" t="s">
        <v>38</v>
      </c>
      <c r="M741">
        <v>0</v>
      </c>
    </row>
    <row r="742" spans="11:13" x14ac:dyDescent="0.2">
      <c r="K742" t="s">
        <v>42</v>
      </c>
      <c r="L742" t="s">
        <v>38</v>
      </c>
      <c r="M742">
        <v>0</v>
      </c>
    </row>
    <row r="743" spans="11:13" x14ac:dyDescent="0.2">
      <c r="K743" t="s">
        <v>41</v>
      </c>
      <c r="L743" t="s">
        <v>37</v>
      </c>
      <c r="M743">
        <v>0</v>
      </c>
    </row>
    <row r="744" spans="11:13" x14ac:dyDescent="0.2">
      <c r="K744" t="s">
        <v>41</v>
      </c>
      <c r="L744" t="s">
        <v>37</v>
      </c>
      <c r="M744">
        <v>0</v>
      </c>
    </row>
    <row r="745" spans="11:13" x14ac:dyDescent="0.2">
      <c r="K745" t="s">
        <v>42</v>
      </c>
      <c r="L745" t="s">
        <v>38</v>
      </c>
      <c r="M745">
        <v>0</v>
      </c>
    </row>
    <row r="746" spans="11:13" x14ac:dyDescent="0.2">
      <c r="K746" t="s">
        <v>42</v>
      </c>
      <c r="L746" t="s">
        <v>38</v>
      </c>
      <c r="M746">
        <v>0</v>
      </c>
    </row>
    <row r="747" spans="11:13" x14ac:dyDescent="0.2">
      <c r="K747" t="s">
        <v>42</v>
      </c>
      <c r="L747" t="s">
        <v>38</v>
      </c>
      <c r="M747">
        <v>0</v>
      </c>
    </row>
    <row r="748" spans="11:13" x14ac:dyDescent="0.2">
      <c r="K748" t="s">
        <v>42</v>
      </c>
      <c r="L748" t="s">
        <v>38</v>
      </c>
      <c r="M748">
        <v>0</v>
      </c>
    </row>
    <row r="749" spans="11:13" x14ac:dyDescent="0.2">
      <c r="K749" t="s">
        <v>42</v>
      </c>
      <c r="L749" t="s">
        <v>38</v>
      </c>
      <c r="M749">
        <v>0</v>
      </c>
    </row>
    <row r="750" spans="11:13" x14ac:dyDescent="0.2">
      <c r="K750" t="s">
        <v>42</v>
      </c>
      <c r="L750" t="s">
        <v>38</v>
      </c>
      <c r="M750">
        <v>0</v>
      </c>
    </row>
    <row r="751" spans="11:13" x14ac:dyDescent="0.2">
      <c r="K751" t="s">
        <v>41</v>
      </c>
      <c r="L751" t="s">
        <v>37</v>
      </c>
      <c r="M751">
        <v>0</v>
      </c>
    </row>
    <row r="752" spans="11:13" x14ac:dyDescent="0.2">
      <c r="K752" t="s">
        <v>41</v>
      </c>
      <c r="L752" t="s">
        <v>37</v>
      </c>
      <c r="M752">
        <v>0</v>
      </c>
    </row>
    <row r="753" spans="11:13" x14ac:dyDescent="0.2">
      <c r="K753" t="s">
        <v>42</v>
      </c>
      <c r="L753" t="s">
        <v>38</v>
      </c>
      <c r="M753">
        <v>0</v>
      </c>
    </row>
    <row r="754" spans="11:13" x14ac:dyDescent="0.2">
      <c r="K754" t="s">
        <v>41</v>
      </c>
      <c r="L754" t="s">
        <v>37</v>
      </c>
      <c r="M754">
        <v>0</v>
      </c>
    </row>
    <row r="755" spans="11:13" x14ac:dyDescent="0.2">
      <c r="K755" t="s">
        <v>42</v>
      </c>
      <c r="L755" t="s">
        <v>38</v>
      </c>
      <c r="M755">
        <v>0</v>
      </c>
    </row>
    <row r="756" spans="11:13" x14ac:dyDescent="0.2">
      <c r="K756" t="s">
        <v>41</v>
      </c>
      <c r="L756" t="s">
        <v>37</v>
      </c>
      <c r="M756">
        <v>0</v>
      </c>
    </row>
    <row r="757" spans="11:13" x14ac:dyDescent="0.2">
      <c r="K757" t="s">
        <v>42</v>
      </c>
      <c r="L757" t="s">
        <v>38</v>
      </c>
      <c r="M757">
        <v>0</v>
      </c>
    </row>
    <row r="758" spans="11:13" x14ac:dyDescent="0.2">
      <c r="K758" t="s">
        <v>42</v>
      </c>
      <c r="L758" t="s">
        <v>38</v>
      </c>
      <c r="M758">
        <v>0</v>
      </c>
    </row>
    <row r="759" spans="11:13" x14ac:dyDescent="0.2">
      <c r="K759" t="s">
        <v>42</v>
      </c>
      <c r="L759" t="s">
        <v>38</v>
      </c>
      <c r="M759">
        <v>0</v>
      </c>
    </row>
    <row r="760" spans="11:13" x14ac:dyDescent="0.2">
      <c r="K760" t="s">
        <v>41</v>
      </c>
      <c r="L760" t="s">
        <v>37</v>
      </c>
      <c r="M760">
        <v>0</v>
      </c>
    </row>
    <row r="761" spans="11:13" x14ac:dyDescent="0.2">
      <c r="K761" t="s">
        <v>42</v>
      </c>
      <c r="L761" t="s">
        <v>38</v>
      </c>
      <c r="M761">
        <v>0</v>
      </c>
    </row>
    <row r="762" spans="11:13" x14ac:dyDescent="0.2">
      <c r="K762" t="s">
        <v>42</v>
      </c>
      <c r="L762" t="s">
        <v>38</v>
      </c>
      <c r="M762">
        <v>0</v>
      </c>
    </row>
    <row r="763" spans="11:13" x14ac:dyDescent="0.2">
      <c r="K763" t="s">
        <v>41</v>
      </c>
      <c r="L763" t="s">
        <v>37</v>
      </c>
      <c r="M763">
        <v>0</v>
      </c>
    </row>
    <row r="764" spans="11:13" x14ac:dyDescent="0.2">
      <c r="K764" t="s">
        <v>41</v>
      </c>
      <c r="L764" t="s">
        <v>37</v>
      </c>
      <c r="M764">
        <v>0</v>
      </c>
    </row>
    <row r="765" spans="11:13" x14ac:dyDescent="0.2">
      <c r="K765" t="s">
        <v>41</v>
      </c>
      <c r="L765" t="s">
        <v>37</v>
      </c>
      <c r="M765">
        <v>0</v>
      </c>
    </row>
    <row r="766" spans="11:13" x14ac:dyDescent="0.2">
      <c r="K766" t="s">
        <v>42</v>
      </c>
      <c r="L766" t="s">
        <v>38</v>
      </c>
      <c r="M766">
        <v>0</v>
      </c>
    </row>
    <row r="767" spans="11:13" x14ac:dyDescent="0.2">
      <c r="K767" t="s">
        <v>41</v>
      </c>
      <c r="L767" t="s">
        <v>37</v>
      </c>
      <c r="M767">
        <v>0</v>
      </c>
    </row>
    <row r="768" spans="11:13" x14ac:dyDescent="0.2">
      <c r="K768" t="s">
        <v>41</v>
      </c>
      <c r="L768" t="s">
        <v>37</v>
      </c>
      <c r="M768">
        <v>0</v>
      </c>
    </row>
    <row r="769" spans="11:13" x14ac:dyDescent="0.2">
      <c r="K769" t="s">
        <v>41</v>
      </c>
      <c r="L769" t="s">
        <v>37</v>
      </c>
      <c r="M769">
        <v>0</v>
      </c>
    </row>
    <row r="770" spans="11:13" x14ac:dyDescent="0.2">
      <c r="K770" t="s">
        <v>41</v>
      </c>
      <c r="L770" t="s">
        <v>37</v>
      </c>
      <c r="M770">
        <v>0</v>
      </c>
    </row>
    <row r="771" spans="11:13" x14ac:dyDescent="0.2">
      <c r="K771" t="s">
        <v>42</v>
      </c>
      <c r="L771" t="s">
        <v>38</v>
      </c>
      <c r="M771">
        <v>0</v>
      </c>
    </row>
    <row r="772" spans="11:13" x14ac:dyDescent="0.2">
      <c r="K772" t="s">
        <v>41</v>
      </c>
      <c r="L772" t="s">
        <v>37</v>
      </c>
      <c r="M772">
        <v>0</v>
      </c>
    </row>
    <row r="773" spans="11:13" x14ac:dyDescent="0.2">
      <c r="K773" t="s">
        <v>42</v>
      </c>
      <c r="L773" t="s">
        <v>38</v>
      </c>
      <c r="M773">
        <v>0</v>
      </c>
    </row>
    <row r="774" spans="11:13" x14ac:dyDescent="0.2">
      <c r="K774" t="s">
        <v>42</v>
      </c>
      <c r="L774" t="s">
        <v>38</v>
      </c>
      <c r="M774">
        <v>0</v>
      </c>
    </row>
    <row r="775" spans="11:13" x14ac:dyDescent="0.2">
      <c r="K775" t="s">
        <v>42</v>
      </c>
      <c r="L775" t="s">
        <v>38</v>
      </c>
      <c r="M775">
        <v>0</v>
      </c>
    </row>
    <row r="776" spans="11:13" x14ac:dyDescent="0.2">
      <c r="K776" t="s">
        <v>42</v>
      </c>
      <c r="L776" t="s">
        <v>38</v>
      </c>
      <c r="M776">
        <v>0</v>
      </c>
    </row>
    <row r="777" spans="11:13" x14ac:dyDescent="0.2">
      <c r="K777" t="s">
        <v>41</v>
      </c>
      <c r="L777" t="s">
        <v>37</v>
      </c>
      <c r="M777">
        <v>0</v>
      </c>
    </row>
    <row r="778" spans="11:13" x14ac:dyDescent="0.2">
      <c r="K778" t="s">
        <v>42</v>
      </c>
      <c r="L778" t="s">
        <v>38</v>
      </c>
      <c r="M778">
        <v>0</v>
      </c>
    </row>
    <row r="779" spans="11:13" x14ac:dyDescent="0.2">
      <c r="K779" t="s">
        <v>42</v>
      </c>
      <c r="L779" t="s">
        <v>38</v>
      </c>
      <c r="M779">
        <v>0</v>
      </c>
    </row>
    <row r="780" spans="11:13" x14ac:dyDescent="0.2">
      <c r="K780" t="s">
        <v>42</v>
      </c>
      <c r="L780" t="s">
        <v>38</v>
      </c>
      <c r="M780">
        <v>0</v>
      </c>
    </row>
    <row r="781" spans="11:13" x14ac:dyDescent="0.2">
      <c r="K781" t="s">
        <v>41</v>
      </c>
      <c r="L781" t="s">
        <v>37</v>
      </c>
      <c r="M781">
        <v>0</v>
      </c>
    </row>
    <row r="782" spans="11:13" x14ac:dyDescent="0.2">
      <c r="K782" t="s">
        <v>42</v>
      </c>
      <c r="L782" t="s">
        <v>38</v>
      </c>
      <c r="M782">
        <v>0</v>
      </c>
    </row>
    <row r="783" spans="11:13" x14ac:dyDescent="0.2">
      <c r="K783" t="s">
        <v>42</v>
      </c>
      <c r="L783" t="s">
        <v>38</v>
      </c>
      <c r="M783">
        <v>0</v>
      </c>
    </row>
    <row r="784" spans="11:13" x14ac:dyDescent="0.2">
      <c r="K784" t="s">
        <v>41</v>
      </c>
      <c r="L784" t="s">
        <v>37</v>
      </c>
      <c r="M784">
        <v>0</v>
      </c>
    </row>
    <row r="785" spans="11:13" x14ac:dyDescent="0.2">
      <c r="K785" t="s">
        <v>41</v>
      </c>
      <c r="L785" t="s">
        <v>37</v>
      </c>
      <c r="M785">
        <v>0</v>
      </c>
    </row>
    <row r="786" spans="11:13" x14ac:dyDescent="0.2">
      <c r="K786" t="s">
        <v>41</v>
      </c>
      <c r="L786" t="s">
        <v>37</v>
      </c>
      <c r="M786">
        <v>0</v>
      </c>
    </row>
    <row r="787" spans="11:13" x14ac:dyDescent="0.2">
      <c r="K787" t="s">
        <v>41</v>
      </c>
      <c r="L787" t="s">
        <v>37</v>
      </c>
      <c r="M787">
        <v>0</v>
      </c>
    </row>
    <row r="788" spans="11:13" x14ac:dyDescent="0.2">
      <c r="K788" t="s">
        <v>42</v>
      </c>
      <c r="L788" t="s">
        <v>38</v>
      </c>
      <c r="M788">
        <v>0</v>
      </c>
    </row>
    <row r="789" spans="11:13" x14ac:dyDescent="0.2">
      <c r="K789" t="s">
        <v>41</v>
      </c>
      <c r="L789" t="s">
        <v>37</v>
      </c>
      <c r="M789">
        <v>0</v>
      </c>
    </row>
    <row r="790" spans="11:13" x14ac:dyDescent="0.2">
      <c r="K790" t="s">
        <v>42</v>
      </c>
      <c r="L790" t="s">
        <v>38</v>
      </c>
      <c r="M790">
        <v>0</v>
      </c>
    </row>
    <row r="791" spans="11:13" x14ac:dyDescent="0.2">
      <c r="K791" t="s">
        <v>41</v>
      </c>
      <c r="L791" t="s">
        <v>37</v>
      </c>
      <c r="M791">
        <v>0</v>
      </c>
    </row>
    <row r="792" spans="11:13" x14ac:dyDescent="0.2">
      <c r="K792" t="s">
        <v>42</v>
      </c>
      <c r="L792" t="s">
        <v>38</v>
      </c>
      <c r="M792">
        <v>0</v>
      </c>
    </row>
    <row r="793" spans="11:13" x14ac:dyDescent="0.2">
      <c r="K793" t="s">
        <v>41</v>
      </c>
      <c r="L793" t="s">
        <v>37</v>
      </c>
      <c r="M793">
        <v>0</v>
      </c>
    </row>
    <row r="794" spans="11:13" x14ac:dyDescent="0.2">
      <c r="K794" t="s">
        <v>42</v>
      </c>
      <c r="L794" t="s">
        <v>38</v>
      </c>
      <c r="M794">
        <v>0</v>
      </c>
    </row>
    <row r="795" spans="11:13" x14ac:dyDescent="0.2">
      <c r="K795" t="s">
        <v>42</v>
      </c>
      <c r="L795" t="s">
        <v>38</v>
      </c>
      <c r="M795">
        <v>0</v>
      </c>
    </row>
    <row r="796" spans="11:13" x14ac:dyDescent="0.2">
      <c r="K796" t="s">
        <v>41</v>
      </c>
      <c r="L796" t="s">
        <v>37</v>
      </c>
      <c r="M796">
        <v>0</v>
      </c>
    </row>
    <row r="797" spans="11:13" x14ac:dyDescent="0.2">
      <c r="K797" t="s">
        <v>42</v>
      </c>
      <c r="L797" t="s">
        <v>38</v>
      </c>
      <c r="M797">
        <v>0</v>
      </c>
    </row>
    <row r="798" spans="11:13" x14ac:dyDescent="0.2">
      <c r="K798" t="s">
        <v>42</v>
      </c>
      <c r="L798" t="s">
        <v>38</v>
      </c>
      <c r="M798">
        <v>0</v>
      </c>
    </row>
    <row r="799" spans="11:13" x14ac:dyDescent="0.2">
      <c r="K799" t="s">
        <v>41</v>
      </c>
      <c r="L799" t="s">
        <v>37</v>
      </c>
      <c r="M799">
        <v>0</v>
      </c>
    </row>
    <row r="800" spans="11:13" x14ac:dyDescent="0.2">
      <c r="K800" t="s">
        <v>42</v>
      </c>
      <c r="L800" t="s">
        <v>38</v>
      </c>
      <c r="M800">
        <v>0</v>
      </c>
    </row>
    <row r="801" spans="11:13" x14ac:dyDescent="0.2">
      <c r="K801" t="s">
        <v>41</v>
      </c>
      <c r="L801" t="s">
        <v>37</v>
      </c>
      <c r="M801">
        <v>0</v>
      </c>
    </row>
    <row r="802" spans="11:13" x14ac:dyDescent="0.2">
      <c r="K802" t="s">
        <v>41</v>
      </c>
      <c r="L802" t="s">
        <v>37</v>
      </c>
      <c r="M802">
        <v>0</v>
      </c>
    </row>
    <row r="803" spans="11:13" x14ac:dyDescent="0.2">
      <c r="K803" t="s">
        <v>41</v>
      </c>
      <c r="L803" t="s">
        <v>37</v>
      </c>
      <c r="M803">
        <v>0</v>
      </c>
    </row>
    <row r="804" spans="11:13" x14ac:dyDescent="0.2">
      <c r="K804" t="s">
        <v>42</v>
      </c>
      <c r="L804" t="s">
        <v>38</v>
      </c>
      <c r="M804">
        <v>0</v>
      </c>
    </row>
    <row r="805" spans="11:13" x14ac:dyDescent="0.2">
      <c r="K805" t="s">
        <v>41</v>
      </c>
      <c r="L805" t="s">
        <v>37</v>
      </c>
      <c r="M805">
        <v>0</v>
      </c>
    </row>
    <row r="806" spans="11:13" x14ac:dyDescent="0.2">
      <c r="K806" t="s">
        <v>41</v>
      </c>
      <c r="L806" t="s">
        <v>37</v>
      </c>
      <c r="M806">
        <v>0</v>
      </c>
    </row>
    <row r="807" spans="11:13" x14ac:dyDescent="0.2">
      <c r="K807" t="s">
        <v>42</v>
      </c>
      <c r="L807" t="s">
        <v>38</v>
      </c>
      <c r="M807">
        <v>0</v>
      </c>
    </row>
    <row r="808" spans="11:13" x14ac:dyDescent="0.2">
      <c r="K808" t="s">
        <v>41</v>
      </c>
      <c r="L808" t="s">
        <v>37</v>
      </c>
      <c r="M808">
        <v>0</v>
      </c>
    </row>
    <row r="809" spans="11:13" x14ac:dyDescent="0.2">
      <c r="K809" t="s">
        <v>41</v>
      </c>
      <c r="L809" t="s">
        <v>37</v>
      </c>
      <c r="M809">
        <v>0</v>
      </c>
    </row>
    <row r="810" spans="11:13" x14ac:dyDescent="0.2">
      <c r="K810" t="s">
        <v>42</v>
      </c>
      <c r="L810" t="s">
        <v>38</v>
      </c>
      <c r="M810">
        <v>0</v>
      </c>
    </row>
    <row r="811" spans="11:13" x14ac:dyDescent="0.2">
      <c r="K811" t="s">
        <v>42</v>
      </c>
      <c r="L811" t="s">
        <v>38</v>
      </c>
      <c r="M811">
        <v>0</v>
      </c>
    </row>
    <row r="812" spans="11:13" x14ac:dyDescent="0.2">
      <c r="K812" t="s">
        <v>41</v>
      </c>
      <c r="L812" t="s">
        <v>37</v>
      </c>
      <c r="M812">
        <v>0</v>
      </c>
    </row>
    <row r="813" spans="11:13" x14ac:dyDescent="0.2">
      <c r="K813" t="s">
        <v>41</v>
      </c>
      <c r="L813" t="s">
        <v>37</v>
      </c>
      <c r="M813">
        <v>0</v>
      </c>
    </row>
    <row r="814" spans="11:13" x14ac:dyDescent="0.2">
      <c r="K814" t="s">
        <v>41</v>
      </c>
      <c r="L814" t="s">
        <v>37</v>
      </c>
      <c r="M814">
        <v>0</v>
      </c>
    </row>
    <row r="815" spans="11:13" x14ac:dyDescent="0.2">
      <c r="K815" t="s">
        <v>42</v>
      </c>
      <c r="L815" t="s">
        <v>38</v>
      </c>
      <c r="M815">
        <v>0</v>
      </c>
    </row>
    <row r="816" spans="11:13" x14ac:dyDescent="0.2">
      <c r="K816" t="s">
        <v>42</v>
      </c>
      <c r="L816" t="s">
        <v>38</v>
      </c>
      <c r="M816">
        <v>0</v>
      </c>
    </row>
    <row r="817" spans="11:13" x14ac:dyDescent="0.2">
      <c r="K817" t="s">
        <v>42</v>
      </c>
      <c r="L817" t="s">
        <v>38</v>
      </c>
      <c r="M817">
        <v>0</v>
      </c>
    </row>
    <row r="818" spans="11:13" x14ac:dyDescent="0.2">
      <c r="K818" t="s">
        <v>41</v>
      </c>
      <c r="L818" t="s">
        <v>37</v>
      </c>
      <c r="M818">
        <v>0</v>
      </c>
    </row>
    <row r="819" spans="11:13" x14ac:dyDescent="0.2">
      <c r="K819" t="s">
        <v>42</v>
      </c>
      <c r="L819" t="s">
        <v>38</v>
      </c>
      <c r="M819">
        <v>0</v>
      </c>
    </row>
    <row r="820" spans="11:13" x14ac:dyDescent="0.2">
      <c r="K820" t="s">
        <v>42</v>
      </c>
      <c r="L820" t="s">
        <v>38</v>
      </c>
      <c r="M820">
        <v>0</v>
      </c>
    </row>
    <row r="821" spans="11:13" x14ac:dyDescent="0.2">
      <c r="K821" t="s">
        <v>42</v>
      </c>
      <c r="L821" t="s">
        <v>38</v>
      </c>
      <c r="M821">
        <v>0</v>
      </c>
    </row>
    <row r="822" spans="11:13" x14ac:dyDescent="0.2">
      <c r="K822" t="s">
        <v>42</v>
      </c>
      <c r="L822" t="s">
        <v>38</v>
      </c>
      <c r="M822">
        <v>0</v>
      </c>
    </row>
    <row r="823" spans="11:13" x14ac:dyDescent="0.2">
      <c r="K823" t="s">
        <v>41</v>
      </c>
      <c r="L823" t="s">
        <v>37</v>
      </c>
      <c r="M823">
        <v>1</v>
      </c>
    </row>
    <row r="824" spans="11:13" x14ac:dyDescent="0.2">
      <c r="K824" t="s">
        <v>41</v>
      </c>
      <c r="L824" t="s">
        <v>37</v>
      </c>
      <c r="M824">
        <v>0</v>
      </c>
    </row>
    <row r="825" spans="11:13" x14ac:dyDescent="0.2">
      <c r="K825" t="s">
        <v>41</v>
      </c>
      <c r="L825" t="s">
        <v>37</v>
      </c>
      <c r="M825">
        <v>0</v>
      </c>
    </row>
    <row r="826" spans="11:13" x14ac:dyDescent="0.2">
      <c r="K826" t="s">
        <v>41</v>
      </c>
      <c r="L826" t="s">
        <v>37</v>
      </c>
      <c r="M826">
        <v>0</v>
      </c>
    </row>
    <row r="827" spans="11:13" x14ac:dyDescent="0.2">
      <c r="K827" t="s">
        <v>42</v>
      </c>
      <c r="L827" t="s">
        <v>38</v>
      </c>
      <c r="M827">
        <v>0</v>
      </c>
    </row>
    <row r="828" spans="11:13" x14ac:dyDescent="0.2">
      <c r="K828" t="s">
        <v>41</v>
      </c>
      <c r="L828" t="s">
        <v>37</v>
      </c>
      <c r="M828">
        <v>0</v>
      </c>
    </row>
    <row r="829" spans="11:13" x14ac:dyDescent="0.2">
      <c r="K829" t="s">
        <v>42</v>
      </c>
      <c r="L829" t="s">
        <v>38</v>
      </c>
      <c r="M829">
        <v>0</v>
      </c>
    </row>
    <row r="830" spans="11:13" x14ac:dyDescent="0.2">
      <c r="K830" t="s">
        <v>41</v>
      </c>
      <c r="L830" t="s">
        <v>37</v>
      </c>
      <c r="M830">
        <v>0</v>
      </c>
    </row>
    <row r="831" spans="11:13" x14ac:dyDescent="0.2">
      <c r="K831" t="s">
        <v>42</v>
      </c>
      <c r="L831" t="s">
        <v>38</v>
      </c>
      <c r="M831">
        <v>0</v>
      </c>
    </row>
    <row r="832" spans="11:13" x14ac:dyDescent="0.2">
      <c r="K832" t="s">
        <v>42</v>
      </c>
      <c r="L832" t="s">
        <v>38</v>
      </c>
      <c r="M832">
        <v>0</v>
      </c>
    </row>
    <row r="833" spans="11:13" x14ac:dyDescent="0.2">
      <c r="K833" t="s">
        <v>41</v>
      </c>
      <c r="L833" t="s">
        <v>37</v>
      </c>
      <c r="M833">
        <v>0</v>
      </c>
    </row>
    <row r="834" spans="11:13" x14ac:dyDescent="0.2">
      <c r="K834" t="s">
        <v>41</v>
      </c>
      <c r="L834" t="s">
        <v>37</v>
      </c>
      <c r="M834">
        <v>0</v>
      </c>
    </row>
    <row r="835" spans="11:13" x14ac:dyDescent="0.2">
      <c r="K835" t="s">
        <v>42</v>
      </c>
      <c r="L835" t="s">
        <v>38</v>
      </c>
      <c r="M835">
        <v>0</v>
      </c>
    </row>
    <row r="836" spans="11:13" x14ac:dyDescent="0.2">
      <c r="K836" t="s">
        <v>41</v>
      </c>
      <c r="L836" t="s">
        <v>37</v>
      </c>
      <c r="M836">
        <v>0</v>
      </c>
    </row>
    <row r="837" spans="11:13" x14ac:dyDescent="0.2">
      <c r="K837" t="s">
        <v>42</v>
      </c>
      <c r="L837" t="s">
        <v>38</v>
      </c>
      <c r="M837">
        <v>0</v>
      </c>
    </row>
    <row r="838" spans="11:13" x14ac:dyDescent="0.2">
      <c r="K838" t="s">
        <v>41</v>
      </c>
      <c r="L838" t="s">
        <v>37</v>
      </c>
      <c r="M838">
        <v>0</v>
      </c>
    </row>
    <row r="839" spans="11:13" x14ac:dyDescent="0.2">
      <c r="K839" t="s">
        <v>41</v>
      </c>
      <c r="L839" t="s">
        <v>37</v>
      </c>
      <c r="M839">
        <v>0</v>
      </c>
    </row>
    <row r="840" spans="11:13" x14ac:dyDescent="0.2">
      <c r="K840" t="s">
        <v>42</v>
      </c>
      <c r="L840" t="s">
        <v>38</v>
      </c>
      <c r="M840">
        <v>0</v>
      </c>
    </row>
    <row r="841" spans="11:13" x14ac:dyDescent="0.2">
      <c r="K841" t="s">
        <v>42</v>
      </c>
      <c r="L841" t="s">
        <v>38</v>
      </c>
      <c r="M841">
        <v>0</v>
      </c>
    </row>
    <row r="842" spans="11:13" x14ac:dyDescent="0.2">
      <c r="K842" t="s">
        <v>42</v>
      </c>
      <c r="L842" t="s">
        <v>38</v>
      </c>
      <c r="M842">
        <v>1</v>
      </c>
    </row>
    <row r="843" spans="11:13" x14ac:dyDescent="0.2">
      <c r="K843" t="s">
        <v>41</v>
      </c>
      <c r="L843" t="s">
        <v>37</v>
      </c>
      <c r="M843">
        <v>0</v>
      </c>
    </row>
    <row r="844" spans="11:13" x14ac:dyDescent="0.2">
      <c r="K844" t="s">
        <v>42</v>
      </c>
      <c r="L844" t="s">
        <v>38</v>
      </c>
      <c r="M844">
        <v>0</v>
      </c>
    </row>
    <row r="845" spans="11:13" x14ac:dyDescent="0.2">
      <c r="K845" t="s">
        <v>42</v>
      </c>
      <c r="L845" t="s">
        <v>38</v>
      </c>
      <c r="M845">
        <v>0</v>
      </c>
    </row>
    <row r="846" spans="11:13" x14ac:dyDescent="0.2">
      <c r="K846" t="s">
        <v>42</v>
      </c>
      <c r="L846" t="s">
        <v>38</v>
      </c>
      <c r="M846">
        <v>0</v>
      </c>
    </row>
    <row r="847" spans="11:13" x14ac:dyDescent="0.2">
      <c r="K847" t="s">
        <v>42</v>
      </c>
      <c r="L847" t="s">
        <v>38</v>
      </c>
      <c r="M847">
        <v>0</v>
      </c>
    </row>
    <row r="848" spans="11:13" x14ac:dyDescent="0.2">
      <c r="K848" t="s">
        <v>41</v>
      </c>
      <c r="L848" t="s">
        <v>37</v>
      </c>
      <c r="M848">
        <v>0</v>
      </c>
    </row>
    <row r="849" spans="11:13" x14ac:dyDescent="0.2">
      <c r="K849" t="s">
        <v>42</v>
      </c>
      <c r="L849" t="s">
        <v>38</v>
      </c>
      <c r="M849">
        <v>0</v>
      </c>
    </row>
    <row r="850" spans="11:13" x14ac:dyDescent="0.2">
      <c r="K850" t="s">
        <v>41</v>
      </c>
      <c r="L850" t="s">
        <v>37</v>
      </c>
      <c r="M850">
        <v>0</v>
      </c>
    </row>
    <row r="851" spans="11:13" x14ac:dyDescent="0.2">
      <c r="K851" t="s">
        <v>41</v>
      </c>
      <c r="L851" t="s">
        <v>37</v>
      </c>
      <c r="M851">
        <v>0</v>
      </c>
    </row>
    <row r="852" spans="11:13" x14ac:dyDescent="0.2">
      <c r="K852" t="s">
        <v>42</v>
      </c>
      <c r="L852" t="s">
        <v>38</v>
      </c>
      <c r="M852">
        <v>0</v>
      </c>
    </row>
    <row r="853" spans="11:13" x14ac:dyDescent="0.2">
      <c r="K853" t="s">
        <v>42</v>
      </c>
      <c r="L853" t="s">
        <v>38</v>
      </c>
      <c r="M853">
        <v>0</v>
      </c>
    </row>
    <row r="854" spans="11:13" x14ac:dyDescent="0.2">
      <c r="K854" t="s">
        <v>41</v>
      </c>
      <c r="L854" t="s">
        <v>37</v>
      </c>
      <c r="M854">
        <v>0</v>
      </c>
    </row>
    <row r="855" spans="11:13" x14ac:dyDescent="0.2">
      <c r="K855" t="s">
        <v>41</v>
      </c>
      <c r="L855" t="s">
        <v>37</v>
      </c>
      <c r="M855">
        <v>0</v>
      </c>
    </row>
    <row r="856" spans="11:13" x14ac:dyDescent="0.2">
      <c r="K856" t="s">
        <v>41</v>
      </c>
      <c r="L856" t="s">
        <v>37</v>
      </c>
      <c r="M856">
        <v>0</v>
      </c>
    </row>
    <row r="857" spans="11:13" x14ac:dyDescent="0.2">
      <c r="K857" t="s">
        <v>41</v>
      </c>
      <c r="L857" t="s">
        <v>37</v>
      </c>
      <c r="M857">
        <v>0</v>
      </c>
    </row>
    <row r="858" spans="11:13" x14ac:dyDescent="0.2">
      <c r="K858" t="s">
        <v>42</v>
      </c>
      <c r="L858" t="s">
        <v>38</v>
      </c>
      <c r="M858">
        <v>0</v>
      </c>
    </row>
    <row r="859" spans="11:13" x14ac:dyDescent="0.2">
      <c r="K859" t="s">
        <v>41</v>
      </c>
      <c r="L859" t="s">
        <v>37</v>
      </c>
      <c r="M859">
        <v>0</v>
      </c>
    </row>
    <row r="860" spans="11:13" x14ac:dyDescent="0.2">
      <c r="K860" t="s">
        <v>42</v>
      </c>
      <c r="L860" t="s">
        <v>38</v>
      </c>
      <c r="M860">
        <v>0</v>
      </c>
    </row>
    <row r="861" spans="11:13" x14ac:dyDescent="0.2">
      <c r="K861" t="s">
        <v>41</v>
      </c>
      <c r="L861" t="s">
        <v>37</v>
      </c>
      <c r="M861">
        <v>0</v>
      </c>
    </row>
    <row r="862" spans="11:13" x14ac:dyDescent="0.2">
      <c r="K862" t="s">
        <v>41</v>
      </c>
      <c r="L862" t="s">
        <v>37</v>
      </c>
      <c r="M862">
        <v>0</v>
      </c>
    </row>
    <row r="863" spans="11:13" x14ac:dyDescent="0.2">
      <c r="K863" t="s">
        <v>42</v>
      </c>
      <c r="L863" t="s">
        <v>38</v>
      </c>
      <c r="M863">
        <v>0</v>
      </c>
    </row>
    <row r="864" spans="11:13" x14ac:dyDescent="0.2">
      <c r="K864" t="s">
        <v>42</v>
      </c>
      <c r="L864" t="s">
        <v>38</v>
      </c>
      <c r="M864">
        <v>0</v>
      </c>
    </row>
    <row r="865" spans="11:13" x14ac:dyDescent="0.2">
      <c r="K865" t="s">
        <v>41</v>
      </c>
      <c r="L865" t="s">
        <v>37</v>
      </c>
      <c r="M865">
        <v>0</v>
      </c>
    </row>
    <row r="866" spans="11:13" x14ac:dyDescent="0.2">
      <c r="K866" t="s">
        <v>41</v>
      </c>
      <c r="L866" t="s">
        <v>37</v>
      </c>
      <c r="M866">
        <v>0</v>
      </c>
    </row>
    <row r="867" spans="11:13" x14ac:dyDescent="0.2">
      <c r="K867" t="s">
        <v>41</v>
      </c>
      <c r="L867" t="s">
        <v>37</v>
      </c>
      <c r="M867">
        <v>0</v>
      </c>
    </row>
    <row r="868" spans="11:13" x14ac:dyDescent="0.2">
      <c r="K868" t="s">
        <v>42</v>
      </c>
      <c r="L868" t="s">
        <v>38</v>
      </c>
      <c r="M868">
        <v>0</v>
      </c>
    </row>
    <row r="869" spans="11:13" x14ac:dyDescent="0.2">
      <c r="K869" t="s">
        <v>42</v>
      </c>
      <c r="L869" t="s">
        <v>38</v>
      </c>
      <c r="M869">
        <v>0</v>
      </c>
    </row>
    <row r="870" spans="11:13" x14ac:dyDescent="0.2">
      <c r="K870" t="s">
        <v>41</v>
      </c>
      <c r="L870" t="s">
        <v>37</v>
      </c>
      <c r="M870">
        <v>0</v>
      </c>
    </row>
    <row r="871" spans="11:13" x14ac:dyDescent="0.2">
      <c r="K871" t="s">
        <v>41</v>
      </c>
      <c r="L871" t="s">
        <v>37</v>
      </c>
      <c r="M871">
        <v>0</v>
      </c>
    </row>
    <row r="872" spans="11:13" x14ac:dyDescent="0.2">
      <c r="K872" t="s">
        <v>41</v>
      </c>
      <c r="L872" t="s">
        <v>37</v>
      </c>
      <c r="M872">
        <v>0</v>
      </c>
    </row>
    <row r="873" spans="11:13" x14ac:dyDescent="0.2">
      <c r="K873" t="s">
        <v>41</v>
      </c>
      <c r="L873" t="s">
        <v>37</v>
      </c>
      <c r="M873">
        <v>0</v>
      </c>
    </row>
    <row r="874" spans="11:13" x14ac:dyDescent="0.2">
      <c r="K874" t="s">
        <v>41</v>
      </c>
      <c r="L874" t="s">
        <v>37</v>
      </c>
      <c r="M874">
        <v>0</v>
      </c>
    </row>
    <row r="875" spans="11:13" x14ac:dyDescent="0.2">
      <c r="K875" t="s">
        <v>42</v>
      </c>
      <c r="L875" t="s">
        <v>38</v>
      </c>
      <c r="M875">
        <v>0</v>
      </c>
    </row>
    <row r="876" spans="11:13" x14ac:dyDescent="0.2">
      <c r="K876" t="s">
        <v>42</v>
      </c>
      <c r="L876" t="s">
        <v>38</v>
      </c>
      <c r="M876">
        <v>0</v>
      </c>
    </row>
    <row r="877" spans="11:13" x14ac:dyDescent="0.2">
      <c r="K877" t="s">
        <v>41</v>
      </c>
      <c r="L877" t="s">
        <v>37</v>
      </c>
      <c r="M877">
        <v>0</v>
      </c>
    </row>
    <row r="878" spans="11:13" x14ac:dyDescent="0.2">
      <c r="K878" t="s">
        <v>42</v>
      </c>
      <c r="L878" t="s">
        <v>38</v>
      </c>
      <c r="M878">
        <v>0</v>
      </c>
    </row>
    <row r="879" spans="11:13" x14ac:dyDescent="0.2">
      <c r="K879" t="s">
        <v>42</v>
      </c>
      <c r="L879" t="s">
        <v>38</v>
      </c>
      <c r="M879">
        <v>0</v>
      </c>
    </row>
    <row r="880" spans="11:13" x14ac:dyDescent="0.2">
      <c r="K880" t="s">
        <v>41</v>
      </c>
      <c r="L880" t="s">
        <v>37</v>
      </c>
      <c r="M880">
        <v>0</v>
      </c>
    </row>
    <row r="881" spans="11:13" x14ac:dyDescent="0.2">
      <c r="K881" t="s">
        <v>42</v>
      </c>
      <c r="L881" t="s">
        <v>38</v>
      </c>
      <c r="M881">
        <v>0</v>
      </c>
    </row>
    <row r="882" spans="11:13" x14ac:dyDescent="0.2">
      <c r="K882" t="s">
        <v>42</v>
      </c>
      <c r="L882" t="s">
        <v>38</v>
      </c>
      <c r="M882">
        <v>0</v>
      </c>
    </row>
    <row r="883" spans="11:13" x14ac:dyDescent="0.2">
      <c r="K883" t="s">
        <v>41</v>
      </c>
      <c r="L883" t="s">
        <v>37</v>
      </c>
      <c r="M883">
        <v>0</v>
      </c>
    </row>
    <row r="884" spans="11:13" x14ac:dyDescent="0.2">
      <c r="K884" t="s">
        <v>42</v>
      </c>
      <c r="L884" t="s">
        <v>38</v>
      </c>
      <c r="M884">
        <v>0</v>
      </c>
    </row>
    <row r="885" spans="11:13" x14ac:dyDescent="0.2">
      <c r="K885" t="s">
        <v>41</v>
      </c>
      <c r="L885" t="s">
        <v>37</v>
      </c>
      <c r="M885">
        <v>0</v>
      </c>
    </row>
    <row r="886" spans="11:13" x14ac:dyDescent="0.2">
      <c r="K886" t="s">
        <v>42</v>
      </c>
      <c r="L886" t="s">
        <v>38</v>
      </c>
      <c r="M886">
        <v>0</v>
      </c>
    </row>
    <row r="887" spans="11:13" x14ac:dyDescent="0.2">
      <c r="K887" t="s">
        <v>41</v>
      </c>
      <c r="L887" t="s">
        <v>37</v>
      </c>
      <c r="M887">
        <v>1</v>
      </c>
    </row>
    <row r="888" spans="11:13" x14ac:dyDescent="0.2">
      <c r="K888" t="s">
        <v>42</v>
      </c>
      <c r="L888" t="s">
        <v>38</v>
      </c>
      <c r="M888">
        <v>0</v>
      </c>
    </row>
    <row r="889" spans="11:13" x14ac:dyDescent="0.2">
      <c r="K889" t="s">
        <v>42</v>
      </c>
      <c r="L889" t="s">
        <v>38</v>
      </c>
      <c r="M889">
        <v>0</v>
      </c>
    </row>
    <row r="890" spans="11:13" x14ac:dyDescent="0.2">
      <c r="K890" t="s">
        <v>42</v>
      </c>
      <c r="L890" t="s">
        <v>38</v>
      </c>
      <c r="M890">
        <v>0</v>
      </c>
    </row>
    <row r="891" spans="11:13" x14ac:dyDescent="0.2">
      <c r="K891" t="s">
        <v>42</v>
      </c>
      <c r="L891" t="s">
        <v>38</v>
      </c>
      <c r="M891">
        <v>0</v>
      </c>
    </row>
    <row r="892" spans="11:13" x14ac:dyDescent="0.2">
      <c r="K892" t="s">
        <v>42</v>
      </c>
      <c r="L892" t="s">
        <v>38</v>
      </c>
      <c r="M892">
        <v>0</v>
      </c>
    </row>
    <row r="893" spans="11:13" x14ac:dyDescent="0.2">
      <c r="K893" t="s">
        <v>41</v>
      </c>
      <c r="L893" t="s">
        <v>37</v>
      </c>
      <c r="M893">
        <v>0</v>
      </c>
    </row>
    <row r="894" spans="11:13" x14ac:dyDescent="0.2">
      <c r="K894" t="s">
        <v>42</v>
      </c>
      <c r="L894" t="s">
        <v>38</v>
      </c>
      <c r="M894">
        <v>0</v>
      </c>
    </row>
    <row r="895" spans="11:13" x14ac:dyDescent="0.2">
      <c r="K895" t="s">
        <v>41</v>
      </c>
      <c r="L895" t="s">
        <v>37</v>
      </c>
      <c r="M895">
        <v>0</v>
      </c>
    </row>
    <row r="896" spans="11:13" x14ac:dyDescent="0.2">
      <c r="K896" t="s">
        <v>41</v>
      </c>
      <c r="L896" t="s">
        <v>37</v>
      </c>
      <c r="M896">
        <v>0</v>
      </c>
    </row>
    <row r="897" spans="11:13" x14ac:dyDescent="0.2">
      <c r="K897" t="s">
        <v>41</v>
      </c>
      <c r="L897" t="s">
        <v>37</v>
      </c>
      <c r="M897">
        <v>0</v>
      </c>
    </row>
    <row r="898" spans="11:13" x14ac:dyDescent="0.2">
      <c r="K898" t="s">
        <v>42</v>
      </c>
      <c r="L898" t="s">
        <v>38</v>
      </c>
      <c r="M898">
        <v>0</v>
      </c>
    </row>
    <row r="899" spans="11:13" x14ac:dyDescent="0.2">
      <c r="K899" t="s">
        <v>41</v>
      </c>
      <c r="L899" t="s">
        <v>37</v>
      </c>
      <c r="M899">
        <v>0</v>
      </c>
    </row>
    <row r="900" spans="11:13" x14ac:dyDescent="0.2">
      <c r="K900" t="s">
        <v>42</v>
      </c>
      <c r="L900" t="s">
        <v>38</v>
      </c>
      <c r="M900">
        <v>0</v>
      </c>
    </row>
    <row r="901" spans="11:13" x14ac:dyDescent="0.2">
      <c r="K901" t="s">
        <v>42</v>
      </c>
      <c r="L901" t="s">
        <v>38</v>
      </c>
      <c r="M901">
        <v>0</v>
      </c>
    </row>
    <row r="902" spans="11:13" x14ac:dyDescent="0.2">
      <c r="K902" t="s">
        <v>41</v>
      </c>
      <c r="L902" t="s">
        <v>37</v>
      </c>
      <c r="M902">
        <v>0</v>
      </c>
    </row>
    <row r="903" spans="11:13" x14ac:dyDescent="0.2">
      <c r="K903" t="s">
        <v>41</v>
      </c>
      <c r="L903" t="s">
        <v>37</v>
      </c>
      <c r="M903">
        <v>0</v>
      </c>
    </row>
    <row r="904" spans="11:13" x14ac:dyDescent="0.2">
      <c r="K904" t="s">
        <v>42</v>
      </c>
      <c r="L904" t="s">
        <v>38</v>
      </c>
      <c r="M904">
        <v>0</v>
      </c>
    </row>
    <row r="905" spans="11:13" x14ac:dyDescent="0.2">
      <c r="K905" t="s">
        <v>42</v>
      </c>
      <c r="L905" t="s">
        <v>38</v>
      </c>
      <c r="M905">
        <v>0</v>
      </c>
    </row>
    <row r="906" spans="11:13" x14ac:dyDescent="0.2">
      <c r="K906" t="s">
        <v>42</v>
      </c>
      <c r="L906" t="s">
        <v>38</v>
      </c>
      <c r="M906">
        <v>0</v>
      </c>
    </row>
    <row r="907" spans="11:13" x14ac:dyDescent="0.2">
      <c r="K907" t="s">
        <v>42</v>
      </c>
      <c r="L907" t="s">
        <v>38</v>
      </c>
      <c r="M907">
        <v>0</v>
      </c>
    </row>
    <row r="908" spans="11:13" x14ac:dyDescent="0.2">
      <c r="K908" t="s">
        <v>41</v>
      </c>
      <c r="L908" t="s">
        <v>37</v>
      </c>
      <c r="M908">
        <v>0</v>
      </c>
    </row>
    <row r="909" spans="11:13" x14ac:dyDescent="0.2">
      <c r="K909" t="s">
        <v>41</v>
      </c>
      <c r="L909" t="s">
        <v>37</v>
      </c>
      <c r="M909">
        <v>0</v>
      </c>
    </row>
    <row r="910" spans="11:13" x14ac:dyDescent="0.2">
      <c r="K910" t="s">
        <v>41</v>
      </c>
      <c r="L910" t="s">
        <v>37</v>
      </c>
      <c r="M910">
        <v>0</v>
      </c>
    </row>
    <row r="911" spans="11:13" x14ac:dyDescent="0.2">
      <c r="K911" t="s">
        <v>42</v>
      </c>
      <c r="L911" t="s">
        <v>38</v>
      </c>
      <c r="M911">
        <v>0</v>
      </c>
    </row>
    <row r="912" spans="11:13" x14ac:dyDescent="0.2">
      <c r="K912" t="s">
        <v>41</v>
      </c>
      <c r="L912" t="s">
        <v>37</v>
      </c>
      <c r="M912">
        <v>0</v>
      </c>
    </row>
    <row r="913" spans="11:13" x14ac:dyDescent="0.2">
      <c r="K913" t="s">
        <v>41</v>
      </c>
      <c r="L913" t="s">
        <v>37</v>
      </c>
      <c r="M913">
        <v>1</v>
      </c>
    </row>
    <row r="914" spans="11:13" x14ac:dyDescent="0.2">
      <c r="K914" t="s">
        <v>42</v>
      </c>
      <c r="L914" t="s">
        <v>38</v>
      </c>
      <c r="M914">
        <v>0</v>
      </c>
    </row>
    <row r="915" spans="11:13" x14ac:dyDescent="0.2">
      <c r="K915" t="s">
        <v>41</v>
      </c>
      <c r="L915" t="s">
        <v>37</v>
      </c>
      <c r="M915">
        <v>0</v>
      </c>
    </row>
    <row r="916" spans="11:13" x14ac:dyDescent="0.2">
      <c r="K916" t="s">
        <v>42</v>
      </c>
      <c r="L916" t="s">
        <v>38</v>
      </c>
      <c r="M916">
        <v>0</v>
      </c>
    </row>
    <row r="917" spans="11:13" x14ac:dyDescent="0.2">
      <c r="K917" t="s">
        <v>42</v>
      </c>
      <c r="L917" t="s">
        <v>38</v>
      </c>
      <c r="M917">
        <v>0</v>
      </c>
    </row>
    <row r="918" spans="11:13" x14ac:dyDescent="0.2">
      <c r="K918" t="s">
        <v>41</v>
      </c>
      <c r="L918" t="s">
        <v>37</v>
      </c>
      <c r="M918">
        <v>0</v>
      </c>
    </row>
    <row r="919" spans="11:13" x14ac:dyDescent="0.2">
      <c r="K919" t="s">
        <v>41</v>
      </c>
      <c r="L919" t="s">
        <v>37</v>
      </c>
      <c r="M919">
        <v>0</v>
      </c>
    </row>
    <row r="920" spans="11:13" x14ac:dyDescent="0.2">
      <c r="K920" t="s">
        <v>41</v>
      </c>
      <c r="L920" t="s">
        <v>37</v>
      </c>
      <c r="M920">
        <v>0</v>
      </c>
    </row>
    <row r="921" spans="11:13" x14ac:dyDescent="0.2">
      <c r="K921" t="s">
        <v>41</v>
      </c>
      <c r="L921" t="s">
        <v>37</v>
      </c>
      <c r="M921">
        <v>0</v>
      </c>
    </row>
    <row r="922" spans="11:13" x14ac:dyDescent="0.2">
      <c r="K922" t="s">
        <v>41</v>
      </c>
      <c r="L922" t="s">
        <v>37</v>
      </c>
      <c r="M922">
        <v>0</v>
      </c>
    </row>
    <row r="923" spans="11:13" x14ac:dyDescent="0.2">
      <c r="K923" t="s">
        <v>42</v>
      </c>
      <c r="L923" t="s">
        <v>38</v>
      </c>
      <c r="M923">
        <v>0</v>
      </c>
    </row>
    <row r="924" spans="11:13" x14ac:dyDescent="0.2">
      <c r="K924" t="s">
        <v>41</v>
      </c>
      <c r="L924" t="s">
        <v>37</v>
      </c>
      <c r="M924">
        <v>0</v>
      </c>
    </row>
    <row r="925" spans="11:13" x14ac:dyDescent="0.2">
      <c r="K925" t="s">
        <v>42</v>
      </c>
      <c r="L925" t="s">
        <v>38</v>
      </c>
      <c r="M925">
        <v>0</v>
      </c>
    </row>
    <row r="926" spans="11:13" x14ac:dyDescent="0.2">
      <c r="K926" t="s">
        <v>42</v>
      </c>
      <c r="L926" t="s">
        <v>38</v>
      </c>
      <c r="M926">
        <v>0</v>
      </c>
    </row>
    <row r="927" spans="11:13" x14ac:dyDescent="0.2">
      <c r="K927" t="s">
        <v>41</v>
      </c>
      <c r="L927" t="s">
        <v>37</v>
      </c>
      <c r="M927">
        <v>0</v>
      </c>
    </row>
    <row r="928" spans="11:13" x14ac:dyDescent="0.2">
      <c r="K928" t="s">
        <v>42</v>
      </c>
      <c r="L928" t="s">
        <v>38</v>
      </c>
      <c r="M928">
        <v>0</v>
      </c>
    </row>
    <row r="929" spans="11:13" x14ac:dyDescent="0.2">
      <c r="K929" t="s">
        <v>42</v>
      </c>
      <c r="L929" t="s">
        <v>38</v>
      </c>
      <c r="M929">
        <v>0</v>
      </c>
    </row>
    <row r="930" spans="11:13" x14ac:dyDescent="0.2">
      <c r="K930" t="s">
        <v>41</v>
      </c>
      <c r="L930" t="s">
        <v>37</v>
      </c>
      <c r="M930">
        <v>0</v>
      </c>
    </row>
    <row r="931" spans="11:13" x14ac:dyDescent="0.2">
      <c r="K931" t="s">
        <v>41</v>
      </c>
      <c r="L931" t="s">
        <v>37</v>
      </c>
      <c r="M931">
        <v>0</v>
      </c>
    </row>
    <row r="932" spans="11:13" x14ac:dyDescent="0.2">
      <c r="K932" t="s">
        <v>41</v>
      </c>
      <c r="L932" t="s">
        <v>37</v>
      </c>
      <c r="M932">
        <v>0</v>
      </c>
    </row>
    <row r="933" spans="11:13" x14ac:dyDescent="0.2">
      <c r="K933" t="s">
        <v>41</v>
      </c>
      <c r="L933" t="s">
        <v>37</v>
      </c>
      <c r="M933">
        <v>0</v>
      </c>
    </row>
    <row r="934" spans="11:13" x14ac:dyDescent="0.2">
      <c r="K934" t="s">
        <v>42</v>
      </c>
      <c r="L934" t="s">
        <v>38</v>
      </c>
      <c r="M934">
        <v>0</v>
      </c>
    </row>
    <row r="935" spans="11:13" x14ac:dyDescent="0.2">
      <c r="K935" t="s">
        <v>42</v>
      </c>
      <c r="L935" t="s">
        <v>38</v>
      </c>
      <c r="M935">
        <v>0</v>
      </c>
    </row>
    <row r="936" spans="11:13" x14ac:dyDescent="0.2">
      <c r="K936" t="s">
        <v>42</v>
      </c>
      <c r="L936" t="s">
        <v>38</v>
      </c>
      <c r="M936">
        <v>0</v>
      </c>
    </row>
    <row r="937" spans="11:13" x14ac:dyDescent="0.2">
      <c r="K937" t="s">
        <v>41</v>
      </c>
      <c r="L937" t="s">
        <v>37</v>
      </c>
      <c r="M937">
        <v>0</v>
      </c>
    </row>
    <row r="938" spans="11:13" x14ac:dyDescent="0.2">
      <c r="K938" t="s">
        <v>42</v>
      </c>
      <c r="L938" t="s">
        <v>38</v>
      </c>
      <c r="M938">
        <v>0</v>
      </c>
    </row>
    <row r="939" spans="11:13" x14ac:dyDescent="0.2">
      <c r="K939" t="s">
        <v>42</v>
      </c>
      <c r="L939" t="s">
        <v>38</v>
      </c>
      <c r="M939">
        <v>0</v>
      </c>
    </row>
    <row r="940" spans="11:13" x14ac:dyDescent="0.2">
      <c r="K940" t="s">
        <v>42</v>
      </c>
      <c r="L940" t="s">
        <v>38</v>
      </c>
      <c r="M940">
        <v>0</v>
      </c>
    </row>
    <row r="941" spans="11:13" x14ac:dyDescent="0.2">
      <c r="K941" t="s">
        <v>42</v>
      </c>
      <c r="L941" t="s">
        <v>38</v>
      </c>
      <c r="M941">
        <v>0</v>
      </c>
    </row>
    <row r="942" spans="11:13" x14ac:dyDescent="0.2">
      <c r="K942" t="s">
        <v>41</v>
      </c>
      <c r="L942" t="s">
        <v>37</v>
      </c>
      <c r="M942">
        <v>0</v>
      </c>
    </row>
    <row r="943" spans="11:13" x14ac:dyDescent="0.2">
      <c r="K943" t="s">
        <v>42</v>
      </c>
      <c r="L943" t="s">
        <v>38</v>
      </c>
      <c r="M943">
        <v>0</v>
      </c>
    </row>
    <row r="944" spans="11:13" x14ac:dyDescent="0.2">
      <c r="K944" t="s">
        <v>41</v>
      </c>
      <c r="L944" t="s">
        <v>37</v>
      </c>
      <c r="M944">
        <v>0</v>
      </c>
    </row>
    <row r="945" spans="11:13" x14ac:dyDescent="0.2">
      <c r="K945" t="s">
        <v>42</v>
      </c>
      <c r="L945" t="s">
        <v>38</v>
      </c>
      <c r="M945">
        <v>0</v>
      </c>
    </row>
    <row r="946" spans="11:13" x14ac:dyDescent="0.2">
      <c r="K946" t="s">
        <v>41</v>
      </c>
      <c r="L946" t="s">
        <v>37</v>
      </c>
      <c r="M946">
        <v>0</v>
      </c>
    </row>
    <row r="947" spans="11:13" x14ac:dyDescent="0.2">
      <c r="K947" t="s">
        <v>41</v>
      </c>
      <c r="L947" t="s">
        <v>37</v>
      </c>
      <c r="M947">
        <v>0</v>
      </c>
    </row>
    <row r="948" spans="11:13" x14ac:dyDescent="0.2">
      <c r="K948" t="s">
        <v>42</v>
      </c>
      <c r="L948" t="s">
        <v>38</v>
      </c>
      <c r="M948">
        <v>0</v>
      </c>
    </row>
    <row r="949" spans="11:13" x14ac:dyDescent="0.2">
      <c r="K949" t="s">
        <v>42</v>
      </c>
      <c r="L949" t="s">
        <v>38</v>
      </c>
      <c r="M949">
        <v>0</v>
      </c>
    </row>
    <row r="950" spans="11:13" x14ac:dyDescent="0.2">
      <c r="K950" t="s">
        <v>42</v>
      </c>
      <c r="L950" t="s">
        <v>38</v>
      </c>
      <c r="M950">
        <v>0</v>
      </c>
    </row>
    <row r="951" spans="11:13" x14ac:dyDescent="0.2">
      <c r="K951" t="s">
        <v>41</v>
      </c>
      <c r="L951" t="s">
        <v>37</v>
      </c>
      <c r="M951">
        <v>0</v>
      </c>
    </row>
    <row r="952" spans="11:13" x14ac:dyDescent="0.2">
      <c r="K952" t="s">
        <v>42</v>
      </c>
      <c r="L952" t="s">
        <v>38</v>
      </c>
      <c r="M952">
        <v>0</v>
      </c>
    </row>
    <row r="953" spans="11:13" x14ac:dyDescent="0.2">
      <c r="K953" t="s">
        <v>41</v>
      </c>
      <c r="L953" t="s">
        <v>37</v>
      </c>
      <c r="M953">
        <v>0</v>
      </c>
    </row>
    <row r="954" spans="11:13" x14ac:dyDescent="0.2">
      <c r="K954" t="s">
        <v>41</v>
      </c>
      <c r="L954" t="s">
        <v>37</v>
      </c>
      <c r="M954">
        <v>0</v>
      </c>
    </row>
    <row r="955" spans="11:13" x14ac:dyDescent="0.2">
      <c r="K955" t="s">
        <v>41</v>
      </c>
      <c r="L955" t="s">
        <v>37</v>
      </c>
      <c r="M955">
        <v>0</v>
      </c>
    </row>
    <row r="956" spans="11:13" x14ac:dyDescent="0.2">
      <c r="K956" t="s">
        <v>42</v>
      </c>
      <c r="L956" t="s">
        <v>38</v>
      </c>
      <c r="M956">
        <v>0</v>
      </c>
    </row>
    <row r="957" spans="11:13" x14ac:dyDescent="0.2">
      <c r="K957" t="s">
        <v>42</v>
      </c>
      <c r="L957" t="s">
        <v>38</v>
      </c>
      <c r="M957">
        <v>0</v>
      </c>
    </row>
    <row r="958" spans="11:13" x14ac:dyDescent="0.2">
      <c r="K958" t="s">
        <v>42</v>
      </c>
      <c r="L958" t="s">
        <v>38</v>
      </c>
      <c r="M958">
        <v>0</v>
      </c>
    </row>
    <row r="959" spans="11:13" x14ac:dyDescent="0.2">
      <c r="K959" t="s">
        <v>42</v>
      </c>
      <c r="L959" t="s">
        <v>38</v>
      </c>
      <c r="M959">
        <v>0</v>
      </c>
    </row>
    <row r="960" spans="11:13" x14ac:dyDescent="0.2">
      <c r="K960" t="s">
        <v>41</v>
      </c>
      <c r="L960" t="s">
        <v>37</v>
      </c>
      <c r="M960">
        <v>0</v>
      </c>
    </row>
    <row r="961" spans="11:13" x14ac:dyDescent="0.2">
      <c r="K961" t="s">
        <v>42</v>
      </c>
      <c r="L961" t="s">
        <v>38</v>
      </c>
      <c r="M961">
        <v>0</v>
      </c>
    </row>
    <row r="962" spans="11:13" x14ac:dyDescent="0.2">
      <c r="K962" t="s">
        <v>41</v>
      </c>
      <c r="L962" t="s">
        <v>37</v>
      </c>
      <c r="M962">
        <v>0</v>
      </c>
    </row>
    <row r="963" spans="11:13" x14ac:dyDescent="0.2">
      <c r="K963" t="s">
        <v>41</v>
      </c>
      <c r="L963" t="s">
        <v>37</v>
      </c>
      <c r="M963">
        <v>0</v>
      </c>
    </row>
    <row r="964" spans="11:13" x14ac:dyDescent="0.2">
      <c r="K964" t="s">
        <v>42</v>
      </c>
      <c r="L964" t="s">
        <v>38</v>
      </c>
      <c r="M964">
        <v>0</v>
      </c>
    </row>
    <row r="965" spans="11:13" x14ac:dyDescent="0.2">
      <c r="K965" t="s">
        <v>42</v>
      </c>
      <c r="L965" t="s">
        <v>38</v>
      </c>
      <c r="M965">
        <v>1</v>
      </c>
    </row>
    <row r="966" spans="11:13" x14ac:dyDescent="0.2">
      <c r="K966" t="s">
        <v>42</v>
      </c>
      <c r="L966" t="s">
        <v>38</v>
      </c>
      <c r="M966">
        <v>0</v>
      </c>
    </row>
    <row r="967" spans="11:13" x14ac:dyDescent="0.2">
      <c r="K967" t="s">
        <v>41</v>
      </c>
      <c r="L967" t="s">
        <v>37</v>
      </c>
      <c r="M967">
        <v>0</v>
      </c>
    </row>
    <row r="968" spans="11:13" x14ac:dyDescent="0.2">
      <c r="K968" t="s">
        <v>42</v>
      </c>
      <c r="L968" t="s">
        <v>38</v>
      </c>
      <c r="M968">
        <v>0</v>
      </c>
    </row>
    <row r="969" spans="11:13" x14ac:dyDescent="0.2">
      <c r="K969" t="s">
        <v>41</v>
      </c>
      <c r="L969" t="s">
        <v>37</v>
      </c>
      <c r="M969">
        <v>0</v>
      </c>
    </row>
    <row r="970" spans="11:13" x14ac:dyDescent="0.2">
      <c r="K970" t="s">
        <v>42</v>
      </c>
      <c r="L970" t="s">
        <v>38</v>
      </c>
      <c r="M970">
        <v>0</v>
      </c>
    </row>
    <row r="971" spans="11:13" x14ac:dyDescent="0.2">
      <c r="K971" t="s">
        <v>42</v>
      </c>
      <c r="L971" t="s">
        <v>38</v>
      </c>
      <c r="M971">
        <v>0</v>
      </c>
    </row>
    <row r="972" spans="11:13" x14ac:dyDescent="0.2">
      <c r="K972" t="s">
        <v>42</v>
      </c>
      <c r="L972" t="s">
        <v>38</v>
      </c>
      <c r="M972">
        <v>0</v>
      </c>
    </row>
    <row r="973" spans="11:13" x14ac:dyDescent="0.2">
      <c r="K973" t="s">
        <v>42</v>
      </c>
      <c r="L973" t="s">
        <v>38</v>
      </c>
      <c r="M973">
        <v>0</v>
      </c>
    </row>
    <row r="974" spans="11:13" x14ac:dyDescent="0.2">
      <c r="K974" t="s">
        <v>42</v>
      </c>
      <c r="L974" t="s">
        <v>38</v>
      </c>
      <c r="M974">
        <v>0</v>
      </c>
    </row>
    <row r="975" spans="11:13" x14ac:dyDescent="0.2">
      <c r="K975" t="s">
        <v>42</v>
      </c>
      <c r="L975" t="s">
        <v>38</v>
      </c>
      <c r="M975">
        <v>0</v>
      </c>
    </row>
    <row r="976" spans="11:13" x14ac:dyDescent="0.2">
      <c r="K976" t="s">
        <v>42</v>
      </c>
      <c r="L976" t="s">
        <v>38</v>
      </c>
      <c r="M976">
        <v>0</v>
      </c>
    </row>
    <row r="977" spans="11:13" x14ac:dyDescent="0.2">
      <c r="K977" t="s">
        <v>42</v>
      </c>
      <c r="L977" t="s">
        <v>38</v>
      </c>
      <c r="M977">
        <v>0</v>
      </c>
    </row>
    <row r="978" spans="11:13" x14ac:dyDescent="0.2">
      <c r="K978" t="s">
        <v>42</v>
      </c>
      <c r="L978" t="s">
        <v>38</v>
      </c>
      <c r="M978">
        <v>0</v>
      </c>
    </row>
    <row r="979" spans="11:13" x14ac:dyDescent="0.2">
      <c r="K979" t="s">
        <v>42</v>
      </c>
      <c r="L979" t="s">
        <v>38</v>
      </c>
      <c r="M979">
        <v>0</v>
      </c>
    </row>
    <row r="980" spans="11:13" x14ac:dyDescent="0.2">
      <c r="K980" t="s">
        <v>41</v>
      </c>
      <c r="L980" t="s">
        <v>37</v>
      </c>
      <c r="M980">
        <v>0</v>
      </c>
    </row>
    <row r="981" spans="11:13" x14ac:dyDescent="0.2">
      <c r="K981" t="s">
        <v>41</v>
      </c>
      <c r="L981" t="s">
        <v>37</v>
      </c>
      <c r="M981">
        <v>0</v>
      </c>
    </row>
    <row r="982" spans="11:13" x14ac:dyDescent="0.2">
      <c r="K982" t="s">
        <v>42</v>
      </c>
      <c r="L982" t="s">
        <v>38</v>
      </c>
      <c r="M982">
        <v>0</v>
      </c>
    </row>
    <row r="983" spans="11:13" x14ac:dyDescent="0.2">
      <c r="K983" t="s">
        <v>41</v>
      </c>
      <c r="L983" t="s">
        <v>37</v>
      </c>
      <c r="M983">
        <v>0</v>
      </c>
    </row>
    <row r="984" spans="11:13" x14ac:dyDescent="0.2">
      <c r="K984" t="s">
        <v>42</v>
      </c>
      <c r="L984" t="s">
        <v>38</v>
      </c>
      <c r="M984">
        <v>0</v>
      </c>
    </row>
    <row r="985" spans="11:13" x14ac:dyDescent="0.2">
      <c r="K985" t="s">
        <v>41</v>
      </c>
      <c r="L985" t="s">
        <v>37</v>
      </c>
      <c r="M985">
        <v>0</v>
      </c>
    </row>
    <row r="986" spans="11:13" x14ac:dyDescent="0.2">
      <c r="K986" t="s">
        <v>41</v>
      </c>
      <c r="L986" t="s">
        <v>37</v>
      </c>
      <c r="M986">
        <v>0</v>
      </c>
    </row>
    <row r="987" spans="11:13" x14ac:dyDescent="0.2">
      <c r="K987" t="s">
        <v>42</v>
      </c>
      <c r="L987" t="s">
        <v>38</v>
      </c>
      <c r="M987">
        <v>0</v>
      </c>
    </row>
    <row r="988" spans="11:13" x14ac:dyDescent="0.2">
      <c r="K988" t="s">
        <v>42</v>
      </c>
      <c r="L988" t="s">
        <v>38</v>
      </c>
      <c r="M988">
        <v>0</v>
      </c>
    </row>
    <row r="989" spans="11:13" x14ac:dyDescent="0.2">
      <c r="K989" t="s">
        <v>41</v>
      </c>
      <c r="L989" t="s">
        <v>37</v>
      </c>
      <c r="M989">
        <v>0</v>
      </c>
    </row>
    <row r="990" spans="11:13" x14ac:dyDescent="0.2">
      <c r="K990" t="s">
        <v>41</v>
      </c>
      <c r="L990" t="s">
        <v>37</v>
      </c>
      <c r="M990">
        <v>0</v>
      </c>
    </row>
    <row r="991" spans="11:13" x14ac:dyDescent="0.2">
      <c r="K991" t="s">
        <v>42</v>
      </c>
      <c r="L991" t="s">
        <v>38</v>
      </c>
      <c r="M991">
        <v>0</v>
      </c>
    </row>
    <row r="992" spans="11:13" x14ac:dyDescent="0.2">
      <c r="K992" t="s">
        <v>41</v>
      </c>
      <c r="L992" t="s">
        <v>37</v>
      </c>
      <c r="M992">
        <v>0</v>
      </c>
    </row>
    <row r="993" spans="11:13" x14ac:dyDescent="0.2">
      <c r="K993" t="s">
        <v>42</v>
      </c>
      <c r="L993" t="s">
        <v>38</v>
      </c>
      <c r="M993">
        <v>0</v>
      </c>
    </row>
    <row r="994" spans="11:13" x14ac:dyDescent="0.2">
      <c r="K994" t="s">
        <v>42</v>
      </c>
      <c r="L994" t="s">
        <v>38</v>
      </c>
      <c r="M994">
        <v>0</v>
      </c>
    </row>
    <row r="995" spans="11:13" x14ac:dyDescent="0.2">
      <c r="K995" t="s">
        <v>41</v>
      </c>
      <c r="L995" t="s">
        <v>37</v>
      </c>
      <c r="M995">
        <v>0</v>
      </c>
    </row>
    <row r="996" spans="11:13" x14ac:dyDescent="0.2">
      <c r="K996" t="s">
        <v>41</v>
      </c>
      <c r="L996" t="s">
        <v>37</v>
      </c>
      <c r="M996">
        <v>0</v>
      </c>
    </row>
    <row r="997" spans="11:13" x14ac:dyDescent="0.2">
      <c r="K997" t="s">
        <v>41</v>
      </c>
      <c r="L997" t="s">
        <v>37</v>
      </c>
      <c r="M997">
        <v>0</v>
      </c>
    </row>
    <row r="998" spans="11:13" x14ac:dyDescent="0.2">
      <c r="K998" t="s">
        <v>41</v>
      </c>
      <c r="L998" t="s">
        <v>37</v>
      </c>
      <c r="M998">
        <v>0</v>
      </c>
    </row>
    <row r="999" spans="11:13" x14ac:dyDescent="0.2">
      <c r="K999" t="s">
        <v>42</v>
      </c>
      <c r="L999" t="s">
        <v>38</v>
      </c>
      <c r="M999">
        <v>0</v>
      </c>
    </row>
    <row r="1000" spans="11:13" x14ac:dyDescent="0.2">
      <c r="K1000" t="s">
        <v>41</v>
      </c>
      <c r="L1000" t="s">
        <v>37</v>
      </c>
      <c r="M1000">
        <v>0</v>
      </c>
    </row>
    <row r="1001" spans="11:13" x14ac:dyDescent="0.2">
      <c r="K1001" t="s">
        <v>41</v>
      </c>
      <c r="L1001" t="s">
        <v>37</v>
      </c>
      <c r="M1001">
        <v>0</v>
      </c>
    </row>
    <row r="1002" spans="11:13" x14ac:dyDescent="0.2">
      <c r="K1002" t="s">
        <v>42</v>
      </c>
      <c r="L1002" t="s">
        <v>38</v>
      </c>
      <c r="M1002">
        <v>0</v>
      </c>
    </row>
    <row r="1003" spans="11:13" x14ac:dyDescent="0.2">
      <c r="K1003" t="s">
        <v>41</v>
      </c>
      <c r="L1003" t="s">
        <v>37</v>
      </c>
      <c r="M1003">
        <v>0</v>
      </c>
    </row>
    <row r="1004" spans="11:13" x14ac:dyDescent="0.2">
      <c r="K1004" t="s">
        <v>42</v>
      </c>
      <c r="L1004" t="s">
        <v>38</v>
      </c>
      <c r="M1004">
        <v>0</v>
      </c>
    </row>
    <row r="1005" spans="11:13" x14ac:dyDescent="0.2">
      <c r="K1005" t="s">
        <v>42</v>
      </c>
      <c r="L1005" t="s">
        <v>38</v>
      </c>
      <c r="M1005">
        <v>0</v>
      </c>
    </row>
    <row r="1006" spans="11:13" x14ac:dyDescent="0.2">
      <c r="K1006" t="s">
        <v>41</v>
      </c>
      <c r="L1006" t="s">
        <v>37</v>
      </c>
      <c r="M1006">
        <v>0</v>
      </c>
    </row>
    <row r="1007" spans="11:13" x14ac:dyDescent="0.2">
      <c r="K1007" t="s">
        <v>41</v>
      </c>
      <c r="L1007" t="s">
        <v>37</v>
      </c>
      <c r="M1007">
        <v>0</v>
      </c>
    </row>
    <row r="1008" spans="11:13" x14ac:dyDescent="0.2">
      <c r="K1008" t="s">
        <v>41</v>
      </c>
      <c r="L1008" t="s">
        <v>37</v>
      </c>
      <c r="M1008">
        <v>0</v>
      </c>
    </row>
    <row r="1009" spans="11:13" x14ac:dyDescent="0.2">
      <c r="K1009" t="s">
        <v>42</v>
      </c>
      <c r="L1009" t="s">
        <v>38</v>
      </c>
      <c r="M1009">
        <v>1</v>
      </c>
    </row>
    <row r="1010" spans="11:13" x14ac:dyDescent="0.2">
      <c r="K1010" t="s">
        <v>42</v>
      </c>
      <c r="L1010" t="s">
        <v>38</v>
      </c>
      <c r="M1010">
        <v>0</v>
      </c>
    </row>
    <row r="1011" spans="11:13" x14ac:dyDescent="0.2">
      <c r="K1011" t="s">
        <v>41</v>
      </c>
      <c r="L1011" t="s">
        <v>37</v>
      </c>
      <c r="M1011">
        <v>0</v>
      </c>
    </row>
    <row r="1012" spans="11:13" x14ac:dyDescent="0.2">
      <c r="K1012" t="s">
        <v>41</v>
      </c>
      <c r="L1012" t="s">
        <v>37</v>
      </c>
      <c r="M1012">
        <v>0</v>
      </c>
    </row>
    <row r="1013" spans="11:13" x14ac:dyDescent="0.2">
      <c r="K1013" t="s">
        <v>42</v>
      </c>
      <c r="L1013" t="s">
        <v>38</v>
      </c>
      <c r="M1013">
        <v>0</v>
      </c>
    </row>
    <row r="1014" spans="11:13" x14ac:dyDescent="0.2">
      <c r="K1014" t="s">
        <v>42</v>
      </c>
      <c r="L1014" t="s">
        <v>38</v>
      </c>
      <c r="M1014">
        <v>0</v>
      </c>
    </row>
    <row r="1015" spans="11:13" x14ac:dyDescent="0.2">
      <c r="K1015" t="s">
        <v>41</v>
      </c>
      <c r="L1015" t="s">
        <v>37</v>
      </c>
      <c r="M1015">
        <v>0</v>
      </c>
    </row>
    <row r="1016" spans="11:13" x14ac:dyDescent="0.2">
      <c r="K1016" t="s">
        <v>42</v>
      </c>
      <c r="L1016" t="s">
        <v>38</v>
      </c>
      <c r="M1016">
        <v>0</v>
      </c>
    </row>
    <row r="1017" spans="11:13" x14ac:dyDescent="0.2">
      <c r="K1017" t="s">
        <v>41</v>
      </c>
      <c r="L1017" t="s">
        <v>37</v>
      </c>
      <c r="M1017">
        <v>0</v>
      </c>
    </row>
    <row r="1018" spans="11:13" x14ac:dyDescent="0.2">
      <c r="K1018" t="s">
        <v>42</v>
      </c>
      <c r="L1018" t="s">
        <v>38</v>
      </c>
      <c r="M1018">
        <v>0</v>
      </c>
    </row>
    <row r="1019" spans="11:13" x14ac:dyDescent="0.2">
      <c r="K1019" t="s">
        <v>41</v>
      </c>
      <c r="L1019" t="s">
        <v>37</v>
      </c>
      <c r="M1019">
        <v>0</v>
      </c>
    </row>
    <row r="1020" spans="11:13" x14ac:dyDescent="0.2">
      <c r="K1020" t="s">
        <v>41</v>
      </c>
      <c r="L1020" t="s">
        <v>37</v>
      </c>
      <c r="M1020">
        <v>0</v>
      </c>
    </row>
    <row r="1021" spans="11:13" x14ac:dyDescent="0.2">
      <c r="K1021" t="s">
        <v>41</v>
      </c>
      <c r="L1021" t="s">
        <v>37</v>
      </c>
      <c r="M1021">
        <v>0</v>
      </c>
    </row>
    <row r="1022" spans="11:13" x14ac:dyDescent="0.2">
      <c r="K1022" t="s">
        <v>42</v>
      </c>
      <c r="L1022" t="s">
        <v>38</v>
      </c>
      <c r="M1022">
        <v>0</v>
      </c>
    </row>
    <row r="1023" spans="11:13" x14ac:dyDescent="0.2">
      <c r="K1023" t="s">
        <v>41</v>
      </c>
      <c r="L1023" t="s">
        <v>37</v>
      </c>
      <c r="M1023">
        <v>0</v>
      </c>
    </row>
    <row r="1024" spans="11:13" x14ac:dyDescent="0.2">
      <c r="K1024" t="s">
        <v>41</v>
      </c>
      <c r="L1024" t="s">
        <v>37</v>
      </c>
      <c r="M1024">
        <v>0</v>
      </c>
    </row>
    <row r="1025" spans="11:13" x14ac:dyDescent="0.2">
      <c r="K1025" t="s">
        <v>41</v>
      </c>
      <c r="L1025" t="s">
        <v>37</v>
      </c>
      <c r="M1025">
        <v>0</v>
      </c>
    </row>
    <row r="1026" spans="11:13" x14ac:dyDescent="0.2">
      <c r="K1026" t="s">
        <v>42</v>
      </c>
      <c r="L1026" t="s">
        <v>38</v>
      </c>
      <c r="M1026">
        <v>0</v>
      </c>
    </row>
    <row r="1027" spans="11:13" x14ac:dyDescent="0.2">
      <c r="K1027" t="s">
        <v>41</v>
      </c>
      <c r="L1027" t="s">
        <v>37</v>
      </c>
      <c r="M1027">
        <v>0</v>
      </c>
    </row>
    <row r="1028" spans="11:13" x14ac:dyDescent="0.2">
      <c r="K1028" t="s">
        <v>42</v>
      </c>
      <c r="L1028" t="s">
        <v>38</v>
      </c>
      <c r="M1028">
        <v>1</v>
      </c>
    </row>
    <row r="1029" spans="11:13" x14ac:dyDescent="0.2">
      <c r="K1029" t="s">
        <v>42</v>
      </c>
      <c r="L1029" t="s">
        <v>38</v>
      </c>
      <c r="M1029">
        <v>0</v>
      </c>
    </row>
    <row r="1030" spans="11:13" x14ac:dyDescent="0.2">
      <c r="K1030" t="s">
        <v>42</v>
      </c>
      <c r="L1030" t="s">
        <v>38</v>
      </c>
      <c r="M1030">
        <v>0</v>
      </c>
    </row>
    <row r="1031" spans="11:13" x14ac:dyDescent="0.2">
      <c r="K1031" t="s">
        <v>42</v>
      </c>
      <c r="L1031" t="s">
        <v>38</v>
      </c>
      <c r="M1031">
        <v>0</v>
      </c>
    </row>
    <row r="1032" spans="11:13" x14ac:dyDescent="0.2">
      <c r="K1032" t="s">
        <v>42</v>
      </c>
      <c r="L1032" t="s">
        <v>38</v>
      </c>
      <c r="M1032">
        <v>0</v>
      </c>
    </row>
    <row r="1033" spans="11:13" x14ac:dyDescent="0.2">
      <c r="K1033" t="s">
        <v>42</v>
      </c>
      <c r="L1033" t="s">
        <v>38</v>
      </c>
      <c r="M1033">
        <v>0</v>
      </c>
    </row>
    <row r="1034" spans="11:13" x14ac:dyDescent="0.2">
      <c r="K1034" t="s">
        <v>41</v>
      </c>
      <c r="L1034" t="s">
        <v>37</v>
      </c>
      <c r="M1034">
        <v>0</v>
      </c>
    </row>
    <row r="1035" spans="11:13" x14ac:dyDescent="0.2">
      <c r="K1035" t="s">
        <v>42</v>
      </c>
      <c r="L1035" t="s">
        <v>38</v>
      </c>
      <c r="M1035">
        <v>0</v>
      </c>
    </row>
    <row r="1036" spans="11:13" x14ac:dyDescent="0.2">
      <c r="K1036" t="s">
        <v>42</v>
      </c>
      <c r="L1036" t="s">
        <v>38</v>
      </c>
      <c r="M1036">
        <v>0</v>
      </c>
    </row>
    <row r="1037" spans="11:13" x14ac:dyDescent="0.2">
      <c r="K1037" t="s">
        <v>41</v>
      </c>
      <c r="L1037" t="s">
        <v>37</v>
      </c>
      <c r="M1037">
        <v>0</v>
      </c>
    </row>
    <row r="1038" spans="11:13" x14ac:dyDescent="0.2">
      <c r="K1038" t="s">
        <v>41</v>
      </c>
      <c r="L1038" t="s">
        <v>37</v>
      </c>
      <c r="M1038">
        <v>0</v>
      </c>
    </row>
    <row r="1039" spans="11:13" x14ac:dyDescent="0.2">
      <c r="K1039" t="s">
        <v>42</v>
      </c>
      <c r="L1039" t="s">
        <v>38</v>
      </c>
      <c r="M1039">
        <v>0</v>
      </c>
    </row>
    <row r="1040" spans="11:13" x14ac:dyDescent="0.2">
      <c r="K1040" t="s">
        <v>42</v>
      </c>
      <c r="L1040" t="s">
        <v>38</v>
      </c>
      <c r="M1040">
        <v>0</v>
      </c>
    </row>
    <row r="1041" spans="11:13" x14ac:dyDescent="0.2">
      <c r="K1041" t="s">
        <v>41</v>
      </c>
      <c r="L1041" t="s">
        <v>37</v>
      </c>
      <c r="M1041">
        <v>0</v>
      </c>
    </row>
    <row r="1042" spans="11:13" x14ac:dyDescent="0.2">
      <c r="K1042" t="s">
        <v>41</v>
      </c>
      <c r="L1042" t="s">
        <v>37</v>
      </c>
      <c r="M1042">
        <v>0</v>
      </c>
    </row>
    <row r="1043" spans="11:13" x14ac:dyDescent="0.2">
      <c r="K1043" t="s">
        <v>41</v>
      </c>
      <c r="L1043" t="s">
        <v>37</v>
      </c>
      <c r="M1043">
        <v>0</v>
      </c>
    </row>
    <row r="1044" spans="11:13" x14ac:dyDescent="0.2">
      <c r="K1044" t="s">
        <v>42</v>
      </c>
      <c r="L1044" t="s">
        <v>38</v>
      </c>
      <c r="M1044">
        <v>0</v>
      </c>
    </row>
    <row r="1045" spans="11:13" x14ac:dyDescent="0.2">
      <c r="K1045" t="s">
        <v>41</v>
      </c>
      <c r="L1045" t="s">
        <v>37</v>
      </c>
      <c r="M1045">
        <v>0</v>
      </c>
    </row>
    <row r="1046" spans="11:13" x14ac:dyDescent="0.2">
      <c r="K1046" t="s">
        <v>42</v>
      </c>
      <c r="L1046" t="s">
        <v>38</v>
      </c>
      <c r="M1046">
        <v>0</v>
      </c>
    </row>
    <row r="1047" spans="11:13" x14ac:dyDescent="0.2">
      <c r="K1047" t="s">
        <v>41</v>
      </c>
      <c r="L1047" t="s">
        <v>37</v>
      </c>
      <c r="M1047">
        <v>0</v>
      </c>
    </row>
    <row r="1048" spans="11:13" x14ac:dyDescent="0.2">
      <c r="K1048" t="s">
        <v>42</v>
      </c>
      <c r="L1048" t="s">
        <v>38</v>
      </c>
      <c r="M1048">
        <v>0</v>
      </c>
    </row>
    <row r="1049" spans="11:13" x14ac:dyDescent="0.2">
      <c r="K1049" t="s">
        <v>42</v>
      </c>
      <c r="L1049" t="s">
        <v>38</v>
      </c>
      <c r="M1049">
        <v>0</v>
      </c>
    </row>
    <row r="1050" spans="11:13" x14ac:dyDescent="0.2">
      <c r="K1050" t="s">
        <v>41</v>
      </c>
      <c r="L1050" t="s">
        <v>37</v>
      </c>
      <c r="M1050">
        <v>0</v>
      </c>
    </row>
    <row r="1051" spans="11:13" x14ac:dyDescent="0.2">
      <c r="K1051" t="s">
        <v>42</v>
      </c>
      <c r="L1051" t="s">
        <v>38</v>
      </c>
      <c r="M1051">
        <v>0</v>
      </c>
    </row>
    <row r="1052" spans="11:13" x14ac:dyDescent="0.2">
      <c r="K1052" t="s">
        <v>41</v>
      </c>
      <c r="L1052" t="s">
        <v>37</v>
      </c>
      <c r="M1052">
        <v>0</v>
      </c>
    </row>
    <row r="1053" spans="11:13" x14ac:dyDescent="0.2">
      <c r="K1053" t="s">
        <v>42</v>
      </c>
      <c r="L1053" t="s">
        <v>38</v>
      </c>
      <c r="M1053">
        <v>0</v>
      </c>
    </row>
    <row r="1054" spans="11:13" x14ac:dyDescent="0.2">
      <c r="K1054" t="s">
        <v>41</v>
      </c>
      <c r="L1054" t="s">
        <v>37</v>
      </c>
      <c r="M1054">
        <v>0</v>
      </c>
    </row>
    <row r="1055" spans="11:13" x14ac:dyDescent="0.2">
      <c r="K1055" t="s">
        <v>41</v>
      </c>
      <c r="L1055" t="s">
        <v>37</v>
      </c>
      <c r="M1055">
        <v>0</v>
      </c>
    </row>
    <row r="1056" spans="11:13" x14ac:dyDescent="0.2">
      <c r="K1056" t="s">
        <v>42</v>
      </c>
      <c r="L1056" t="s">
        <v>38</v>
      </c>
      <c r="M1056">
        <v>0</v>
      </c>
    </row>
    <row r="1057" spans="11:13" x14ac:dyDescent="0.2">
      <c r="K1057" t="s">
        <v>42</v>
      </c>
      <c r="L1057" t="s">
        <v>38</v>
      </c>
      <c r="M1057">
        <v>0</v>
      </c>
    </row>
    <row r="1058" spans="11:13" x14ac:dyDescent="0.2">
      <c r="K1058" t="s">
        <v>41</v>
      </c>
      <c r="L1058" t="s">
        <v>37</v>
      </c>
      <c r="M1058">
        <v>0</v>
      </c>
    </row>
    <row r="1059" spans="11:13" x14ac:dyDescent="0.2">
      <c r="K1059" t="s">
        <v>42</v>
      </c>
      <c r="L1059" t="s">
        <v>38</v>
      </c>
      <c r="M1059">
        <v>0</v>
      </c>
    </row>
    <row r="1060" spans="11:13" x14ac:dyDescent="0.2">
      <c r="K1060" t="s">
        <v>42</v>
      </c>
      <c r="L1060" t="s">
        <v>38</v>
      </c>
      <c r="M1060">
        <v>0</v>
      </c>
    </row>
    <row r="1061" spans="11:13" x14ac:dyDescent="0.2">
      <c r="K1061" t="s">
        <v>41</v>
      </c>
      <c r="L1061" t="s">
        <v>37</v>
      </c>
      <c r="M1061">
        <v>1</v>
      </c>
    </row>
    <row r="1062" spans="11:13" x14ac:dyDescent="0.2">
      <c r="K1062" t="s">
        <v>41</v>
      </c>
      <c r="L1062" t="s">
        <v>37</v>
      </c>
      <c r="M1062">
        <v>0</v>
      </c>
    </row>
    <row r="1063" spans="11:13" x14ac:dyDescent="0.2">
      <c r="K1063" t="s">
        <v>41</v>
      </c>
      <c r="L1063" t="s">
        <v>37</v>
      </c>
      <c r="M1063">
        <v>0</v>
      </c>
    </row>
    <row r="1064" spans="11:13" x14ac:dyDescent="0.2">
      <c r="K1064" t="s">
        <v>42</v>
      </c>
      <c r="L1064" t="s">
        <v>38</v>
      </c>
      <c r="M1064">
        <v>1</v>
      </c>
    </row>
    <row r="1065" spans="11:13" x14ac:dyDescent="0.2">
      <c r="K1065" t="s">
        <v>42</v>
      </c>
      <c r="L1065" t="s">
        <v>38</v>
      </c>
      <c r="M1065">
        <v>0</v>
      </c>
    </row>
    <row r="1066" spans="11:13" x14ac:dyDescent="0.2">
      <c r="K1066" t="s">
        <v>42</v>
      </c>
      <c r="L1066" t="s">
        <v>38</v>
      </c>
      <c r="M1066">
        <v>0</v>
      </c>
    </row>
    <row r="1067" spans="11:13" x14ac:dyDescent="0.2">
      <c r="K1067" t="s">
        <v>41</v>
      </c>
      <c r="L1067" t="s">
        <v>37</v>
      </c>
      <c r="M1067">
        <v>0</v>
      </c>
    </row>
    <row r="1068" spans="11:13" x14ac:dyDescent="0.2">
      <c r="K1068" t="s">
        <v>41</v>
      </c>
      <c r="L1068" t="s">
        <v>37</v>
      </c>
      <c r="M1068">
        <v>0</v>
      </c>
    </row>
    <row r="1069" spans="11:13" x14ac:dyDescent="0.2">
      <c r="K1069" t="s">
        <v>41</v>
      </c>
      <c r="L1069" t="s">
        <v>37</v>
      </c>
      <c r="M1069">
        <v>0</v>
      </c>
    </row>
    <row r="1070" spans="11:13" x14ac:dyDescent="0.2">
      <c r="K1070" t="s">
        <v>41</v>
      </c>
      <c r="L1070" t="s">
        <v>37</v>
      </c>
      <c r="M1070">
        <v>0</v>
      </c>
    </row>
    <row r="1071" spans="11:13" x14ac:dyDescent="0.2">
      <c r="K1071" t="s">
        <v>42</v>
      </c>
      <c r="L1071" t="s">
        <v>38</v>
      </c>
      <c r="M1071">
        <v>0</v>
      </c>
    </row>
    <row r="1072" spans="11:13" x14ac:dyDescent="0.2">
      <c r="K1072" t="s">
        <v>42</v>
      </c>
      <c r="L1072" t="s">
        <v>38</v>
      </c>
      <c r="M1072">
        <v>0</v>
      </c>
    </row>
    <row r="1073" spans="11:13" x14ac:dyDescent="0.2">
      <c r="K1073" t="s">
        <v>42</v>
      </c>
      <c r="L1073" t="s">
        <v>38</v>
      </c>
      <c r="M1073">
        <v>0</v>
      </c>
    </row>
    <row r="1074" spans="11:13" x14ac:dyDescent="0.2">
      <c r="K1074" t="s">
        <v>41</v>
      </c>
      <c r="L1074" t="s">
        <v>37</v>
      </c>
      <c r="M1074">
        <v>0</v>
      </c>
    </row>
    <row r="1075" spans="11:13" x14ac:dyDescent="0.2">
      <c r="K1075" t="s">
        <v>41</v>
      </c>
      <c r="L1075" t="s">
        <v>37</v>
      </c>
      <c r="M1075">
        <v>0</v>
      </c>
    </row>
    <row r="1076" spans="11:13" x14ac:dyDescent="0.2">
      <c r="K1076" t="s">
        <v>42</v>
      </c>
      <c r="L1076" t="s">
        <v>38</v>
      </c>
      <c r="M1076">
        <v>0</v>
      </c>
    </row>
    <row r="1077" spans="11:13" x14ac:dyDescent="0.2">
      <c r="K1077" t="s">
        <v>41</v>
      </c>
      <c r="L1077" t="s">
        <v>37</v>
      </c>
      <c r="M1077">
        <v>0</v>
      </c>
    </row>
    <row r="1078" spans="11:13" x14ac:dyDescent="0.2">
      <c r="K1078" t="s">
        <v>41</v>
      </c>
      <c r="L1078" t="s">
        <v>37</v>
      </c>
      <c r="M1078">
        <v>0</v>
      </c>
    </row>
    <row r="1079" spans="11:13" x14ac:dyDescent="0.2">
      <c r="K1079" t="s">
        <v>42</v>
      </c>
      <c r="L1079" t="s">
        <v>38</v>
      </c>
      <c r="M1079">
        <v>0</v>
      </c>
    </row>
    <row r="1080" spans="11:13" x14ac:dyDescent="0.2">
      <c r="K1080" t="s">
        <v>41</v>
      </c>
      <c r="L1080" t="s">
        <v>37</v>
      </c>
      <c r="M1080">
        <v>0</v>
      </c>
    </row>
    <row r="1081" spans="11:13" x14ac:dyDescent="0.2">
      <c r="K1081" t="s">
        <v>41</v>
      </c>
      <c r="L1081" t="s">
        <v>37</v>
      </c>
      <c r="M1081">
        <v>0</v>
      </c>
    </row>
    <row r="1082" spans="11:13" x14ac:dyDescent="0.2">
      <c r="K1082" t="s">
        <v>41</v>
      </c>
      <c r="L1082" t="s">
        <v>37</v>
      </c>
      <c r="M1082">
        <v>1</v>
      </c>
    </row>
    <row r="1083" spans="11:13" x14ac:dyDescent="0.2">
      <c r="K1083" t="s">
        <v>41</v>
      </c>
      <c r="L1083" t="s">
        <v>37</v>
      </c>
      <c r="M1083">
        <v>0</v>
      </c>
    </row>
    <row r="1084" spans="11:13" x14ac:dyDescent="0.2">
      <c r="K1084" t="s">
        <v>42</v>
      </c>
      <c r="L1084" t="s">
        <v>38</v>
      </c>
      <c r="M1084">
        <v>0</v>
      </c>
    </row>
    <row r="1085" spans="11:13" x14ac:dyDescent="0.2">
      <c r="K1085" t="s">
        <v>41</v>
      </c>
      <c r="L1085" t="s">
        <v>37</v>
      </c>
      <c r="M1085">
        <v>0</v>
      </c>
    </row>
    <row r="1086" spans="11:13" x14ac:dyDescent="0.2">
      <c r="K1086" t="s">
        <v>42</v>
      </c>
      <c r="L1086" t="s">
        <v>38</v>
      </c>
      <c r="M1086">
        <v>0</v>
      </c>
    </row>
    <row r="1087" spans="11:13" x14ac:dyDescent="0.2">
      <c r="K1087" t="s">
        <v>41</v>
      </c>
      <c r="L1087" t="s">
        <v>37</v>
      </c>
      <c r="M1087">
        <v>0</v>
      </c>
    </row>
    <row r="1088" spans="11:13" x14ac:dyDescent="0.2">
      <c r="K1088" t="s">
        <v>41</v>
      </c>
      <c r="L1088" t="s">
        <v>37</v>
      </c>
      <c r="M1088">
        <v>0</v>
      </c>
    </row>
    <row r="1089" spans="11:13" x14ac:dyDescent="0.2">
      <c r="K1089" t="s">
        <v>41</v>
      </c>
      <c r="L1089" t="s">
        <v>37</v>
      </c>
      <c r="M1089">
        <v>0</v>
      </c>
    </row>
    <row r="1090" spans="11:13" x14ac:dyDescent="0.2">
      <c r="K1090" t="s">
        <v>42</v>
      </c>
      <c r="L1090" t="s">
        <v>38</v>
      </c>
      <c r="M1090">
        <v>0</v>
      </c>
    </row>
    <row r="1091" spans="11:13" x14ac:dyDescent="0.2">
      <c r="K1091" t="s">
        <v>41</v>
      </c>
      <c r="L1091" t="s">
        <v>37</v>
      </c>
      <c r="M1091">
        <v>0</v>
      </c>
    </row>
    <row r="1092" spans="11:13" x14ac:dyDescent="0.2">
      <c r="K1092" t="s">
        <v>41</v>
      </c>
      <c r="L1092" t="s">
        <v>37</v>
      </c>
      <c r="M1092">
        <v>0</v>
      </c>
    </row>
    <row r="1093" spans="11:13" x14ac:dyDescent="0.2">
      <c r="K1093" t="s">
        <v>41</v>
      </c>
      <c r="L1093" t="s">
        <v>37</v>
      </c>
      <c r="M1093">
        <v>0</v>
      </c>
    </row>
    <row r="1094" spans="11:13" x14ac:dyDescent="0.2">
      <c r="K1094" t="s">
        <v>42</v>
      </c>
      <c r="L1094" t="s">
        <v>38</v>
      </c>
      <c r="M1094">
        <v>0</v>
      </c>
    </row>
    <row r="1095" spans="11:13" x14ac:dyDescent="0.2">
      <c r="K1095" t="s">
        <v>42</v>
      </c>
      <c r="L1095" t="s">
        <v>38</v>
      </c>
      <c r="M1095">
        <v>0</v>
      </c>
    </row>
    <row r="1096" spans="11:13" x14ac:dyDescent="0.2">
      <c r="K1096" t="s">
        <v>41</v>
      </c>
      <c r="L1096" t="s">
        <v>37</v>
      </c>
      <c r="M1096">
        <v>0</v>
      </c>
    </row>
    <row r="1097" spans="11:13" x14ac:dyDescent="0.2">
      <c r="K1097" t="s">
        <v>41</v>
      </c>
      <c r="L1097" t="s">
        <v>37</v>
      </c>
      <c r="M1097">
        <v>0</v>
      </c>
    </row>
    <row r="1098" spans="11:13" x14ac:dyDescent="0.2">
      <c r="K1098" t="s">
        <v>41</v>
      </c>
      <c r="L1098" t="s">
        <v>37</v>
      </c>
      <c r="M1098">
        <v>0</v>
      </c>
    </row>
    <row r="1099" spans="11:13" x14ac:dyDescent="0.2">
      <c r="K1099" t="s">
        <v>42</v>
      </c>
      <c r="L1099" t="s">
        <v>38</v>
      </c>
      <c r="M1099">
        <v>0</v>
      </c>
    </row>
    <row r="1100" spans="11:13" x14ac:dyDescent="0.2">
      <c r="K1100" t="s">
        <v>41</v>
      </c>
      <c r="L1100" t="s">
        <v>37</v>
      </c>
      <c r="M1100">
        <v>0</v>
      </c>
    </row>
    <row r="1101" spans="11:13" x14ac:dyDescent="0.2">
      <c r="K1101" t="s">
        <v>42</v>
      </c>
      <c r="L1101" t="s">
        <v>38</v>
      </c>
      <c r="M1101">
        <v>0</v>
      </c>
    </row>
    <row r="1102" spans="11:13" x14ac:dyDescent="0.2">
      <c r="K1102" t="s">
        <v>41</v>
      </c>
      <c r="L1102" t="s">
        <v>37</v>
      </c>
      <c r="M1102">
        <v>0</v>
      </c>
    </row>
    <row r="1103" spans="11:13" x14ac:dyDescent="0.2">
      <c r="K1103" t="s">
        <v>41</v>
      </c>
      <c r="L1103" t="s">
        <v>37</v>
      </c>
      <c r="M1103">
        <v>0</v>
      </c>
    </row>
    <row r="1104" spans="11:13" x14ac:dyDescent="0.2">
      <c r="K1104" t="s">
        <v>42</v>
      </c>
      <c r="L1104" t="s">
        <v>38</v>
      </c>
      <c r="M1104">
        <v>0</v>
      </c>
    </row>
    <row r="1105" spans="11:13" x14ac:dyDescent="0.2">
      <c r="K1105" t="s">
        <v>41</v>
      </c>
      <c r="L1105" t="s">
        <v>37</v>
      </c>
      <c r="M1105">
        <v>0</v>
      </c>
    </row>
    <row r="1106" spans="11:13" x14ac:dyDescent="0.2">
      <c r="K1106" t="s">
        <v>42</v>
      </c>
      <c r="L1106" t="s">
        <v>38</v>
      </c>
      <c r="M1106">
        <v>0</v>
      </c>
    </row>
    <row r="1107" spans="11:13" x14ac:dyDescent="0.2">
      <c r="K1107" t="s">
        <v>41</v>
      </c>
      <c r="L1107" t="s">
        <v>37</v>
      </c>
      <c r="M1107">
        <v>0</v>
      </c>
    </row>
    <row r="1108" spans="11:13" x14ac:dyDescent="0.2">
      <c r="K1108" t="s">
        <v>41</v>
      </c>
      <c r="L1108" t="s">
        <v>37</v>
      </c>
      <c r="M1108">
        <v>0</v>
      </c>
    </row>
    <row r="1109" spans="11:13" x14ac:dyDescent="0.2">
      <c r="K1109" t="s">
        <v>42</v>
      </c>
      <c r="L1109" t="s">
        <v>38</v>
      </c>
      <c r="M1109">
        <v>0</v>
      </c>
    </row>
    <row r="1110" spans="11:13" x14ac:dyDescent="0.2">
      <c r="K1110" t="s">
        <v>42</v>
      </c>
      <c r="L1110" t="s">
        <v>38</v>
      </c>
      <c r="M1110">
        <v>1</v>
      </c>
    </row>
    <row r="1111" spans="11:13" x14ac:dyDescent="0.2">
      <c r="K1111" t="s">
        <v>41</v>
      </c>
      <c r="L1111" t="s">
        <v>37</v>
      </c>
      <c r="M1111">
        <v>0</v>
      </c>
    </row>
    <row r="1112" spans="11:13" x14ac:dyDescent="0.2">
      <c r="K1112" t="s">
        <v>41</v>
      </c>
      <c r="L1112" t="s">
        <v>37</v>
      </c>
      <c r="M1112">
        <v>0</v>
      </c>
    </row>
    <row r="1113" spans="11:13" x14ac:dyDescent="0.2">
      <c r="K1113" t="s">
        <v>41</v>
      </c>
      <c r="L1113" t="s">
        <v>37</v>
      </c>
      <c r="M1113">
        <v>0</v>
      </c>
    </row>
    <row r="1114" spans="11:13" x14ac:dyDescent="0.2">
      <c r="K1114" t="s">
        <v>42</v>
      </c>
      <c r="L1114" t="s">
        <v>38</v>
      </c>
      <c r="M1114">
        <v>0</v>
      </c>
    </row>
    <row r="1115" spans="11:13" x14ac:dyDescent="0.2">
      <c r="K1115" t="s">
        <v>42</v>
      </c>
      <c r="L1115" t="s">
        <v>38</v>
      </c>
      <c r="M1115">
        <v>0</v>
      </c>
    </row>
    <row r="1116" spans="11:13" x14ac:dyDescent="0.2">
      <c r="K1116" t="s">
        <v>41</v>
      </c>
      <c r="L1116" t="s">
        <v>37</v>
      </c>
      <c r="M1116">
        <v>0</v>
      </c>
    </row>
    <row r="1117" spans="11:13" x14ac:dyDescent="0.2">
      <c r="K1117" t="s">
        <v>41</v>
      </c>
      <c r="L1117" t="s">
        <v>37</v>
      </c>
      <c r="M1117">
        <v>0</v>
      </c>
    </row>
    <row r="1118" spans="11:13" x14ac:dyDescent="0.2">
      <c r="K1118" t="s">
        <v>41</v>
      </c>
      <c r="L1118" t="s">
        <v>37</v>
      </c>
      <c r="M1118">
        <v>0</v>
      </c>
    </row>
    <row r="1119" spans="11:13" x14ac:dyDescent="0.2">
      <c r="K1119" t="s">
        <v>42</v>
      </c>
      <c r="L1119" t="s">
        <v>38</v>
      </c>
      <c r="M1119">
        <v>0</v>
      </c>
    </row>
    <row r="1120" spans="11:13" x14ac:dyDescent="0.2">
      <c r="K1120" t="s">
        <v>41</v>
      </c>
      <c r="L1120" t="s">
        <v>37</v>
      </c>
      <c r="M1120">
        <v>0</v>
      </c>
    </row>
    <row r="1121" spans="11:13" x14ac:dyDescent="0.2">
      <c r="K1121" t="s">
        <v>41</v>
      </c>
      <c r="L1121" t="s">
        <v>37</v>
      </c>
      <c r="M1121">
        <v>1</v>
      </c>
    </row>
    <row r="1122" spans="11:13" x14ac:dyDescent="0.2">
      <c r="K1122" t="s">
        <v>42</v>
      </c>
      <c r="L1122" t="s">
        <v>38</v>
      </c>
      <c r="M1122">
        <v>0</v>
      </c>
    </row>
    <row r="1123" spans="11:13" x14ac:dyDescent="0.2">
      <c r="K1123" t="s">
        <v>42</v>
      </c>
      <c r="L1123" t="s">
        <v>38</v>
      </c>
      <c r="M1123">
        <v>0</v>
      </c>
    </row>
    <row r="1124" spans="11:13" x14ac:dyDescent="0.2">
      <c r="K1124" t="s">
        <v>42</v>
      </c>
      <c r="L1124" t="s">
        <v>38</v>
      </c>
      <c r="M1124">
        <v>1</v>
      </c>
    </row>
    <row r="1125" spans="11:13" x14ac:dyDescent="0.2">
      <c r="K1125" t="s">
        <v>42</v>
      </c>
      <c r="L1125" t="s">
        <v>38</v>
      </c>
      <c r="M1125">
        <v>0</v>
      </c>
    </row>
    <row r="1126" spans="11:13" x14ac:dyDescent="0.2">
      <c r="K1126" t="s">
        <v>41</v>
      </c>
      <c r="L1126" t="s">
        <v>37</v>
      </c>
      <c r="M1126">
        <v>0</v>
      </c>
    </row>
    <row r="1127" spans="11:13" x14ac:dyDescent="0.2">
      <c r="K1127" t="s">
        <v>42</v>
      </c>
      <c r="L1127" t="s">
        <v>38</v>
      </c>
      <c r="M1127">
        <v>0</v>
      </c>
    </row>
    <row r="1128" spans="11:13" x14ac:dyDescent="0.2">
      <c r="K1128" t="s">
        <v>42</v>
      </c>
      <c r="L1128" t="s">
        <v>38</v>
      </c>
      <c r="M1128">
        <v>0</v>
      </c>
    </row>
    <row r="1129" spans="11:13" x14ac:dyDescent="0.2">
      <c r="K1129" t="s">
        <v>42</v>
      </c>
      <c r="L1129" t="s">
        <v>38</v>
      </c>
      <c r="M1129">
        <v>0</v>
      </c>
    </row>
    <row r="1130" spans="11:13" x14ac:dyDescent="0.2">
      <c r="K1130" t="s">
        <v>41</v>
      </c>
      <c r="L1130" t="s">
        <v>37</v>
      </c>
      <c r="M1130">
        <v>0</v>
      </c>
    </row>
    <row r="1131" spans="11:13" x14ac:dyDescent="0.2">
      <c r="K1131" t="s">
        <v>42</v>
      </c>
      <c r="L1131" t="s">
        <v>38</v>
      </c>
      <c r="M1131">
        <v>0</v>
      </c>
    </row>
    <row r="1132" spans="11:13" x14ac:dyDescent="0.2">
      <c r="K1132" t="s">
        <v>42</v>
      </c>
      <c r="L1132" t="s">
        <v>38</v>
      </c>
      <c r="M1132">
        <v>0</v>
      </c>
    </row>
    <row r="1133" spans="11:13" x14ac:dyDescent="0.2">
      <c r="K1133" t="s">
        <v>41</v>
      </c>
      <c r="L1133" t="s">
        <v>37</v>
      </c>
      <c r="M1133">
        <v>0</v>
      </c>
    </row>
    <row r="1134" spans="11:13" x14ac:dyDescent="0.2">
      <c r="K1134" t="s">
        <v>42</v>
      </c>
      <c r="L1134" t="s">
        <v>38</v>
      </c>
      <c r="M1134">
        <v>0</v>
      </c>
    </row>
    <row r="1135" spans="11:13" x14ac:dyDescent="0.2">
      <c r="K1135" t="s">
        <v>41</v>
      </c>
      <c r="L1135" t="s">
        <v>37</v>
      </c>
      <c r="M1135">
        <v>0</v>
      </c>
    </row>
    <row r="1136" spans="11:13" x14ac:dyDescent="0.2">
      <c r="K1136" t="s">
        <v>41</v>
      </c>
      <c r="L1136" t="s">
        <v>37</v>
      </c>
      <c r="M1136">
        <v>0</v>
      </c>
    </row>
    <row r="1137" spans="11:13" x14ac:dyDescent="0.2">
      <c r="K1137" t="s">
        <v>42</v>
      </c>
      <c r="L1137" t="s">
        <v>38</v>
      </c>
      <c r="M1137">
        <v>0</v>
      </c>
    </row>
    <row r="1138" spans="11:13" x14ac:dyDescent="0.2">
      <c r="K1138" t="s">
        <v>41</v>
      </c>
      <c r="L1138" t="s">
        <v>37</v>
      </c>
      <c r="M1138">
        <v>0</v>
      </c>
    </row>
    <row r="1139" spans="11:13" x14ac:dyDescent="0.2">
      <c r="K1139" t="s">
        <v>41</v>
      </c>
      <c r="L1139" t="s">
        <v>37</v>
      </c>
      <c r="M1139">
        <v>0</v>
      </c>
    </row>
    <row r="1140" spans="11:13" x14ac:dyDescent="0.2">
      <c r="K1140" t="s">
        <v>41</v>
      </c>
      <c r="L1140" t="s">
        <v>37</v>
      </c>
      <c r="M1140">
        <v>0</v>
      </c>
    </row>
    <row r="1141" spans="11:13" x14ac:dyDescent="0.2">
      <c r="K1141" t="s">
        <v>41</v>
      </c>
      <c r="L1141" t="s">
        <v>37</v>
      </c>
      <c r="M1141">
        <v>0</v>
      </c>
    </row>
    <row r="1142" spans="11:13" x14ac:dyDescent="0.2">
      <c r="K1142" t="s">
        <v>41</v>
      </c>
      <c r="L1142" t="s">
        <v>37</v>
      </c>
      <c r="M1142">
        <v>0</v>
      </c>
    </row>
    <row r="1143" spans="11:13" x14ac:dyDescent="0.2">
      <c r="K1143" t="s">
        <v>42</v>
      </c>
      <c r="L1143" t="s">
        <v>38</v>
      </c>
      <c r="M1143">
        <v>0</v>
      </c>
    </row>
    <row r="1144" spans="11:13" x14ac:dyDescent="0.2">
      <c r="K1144" t="s">
        <v>42</v>
      </c>
      <c r="L1144" t="s">
        <v>38</v>
      </c>
      <c r="M1144">
        <v>0</v>
      </c>
    </row>
    <row r="1145" spans="11:13" x14ac:dyDescent="0.2">
      <c r="K1145" t="s">
        <v>42</v>
      </c>
      <c r="L1145" t="s">
        <v>38</v>
      </c>
      <c r="M1145">
        <v>0</v>
      </c>
    </row>
    <row r="1146" spans="11:13" x14ac:dyDescent="0.2">
      <c r="K1146" t="s">
        <v>41</v>
      </c>
      <c r="L1146" t="s">
        <v>37</v>
      </c>
      <c r="M1146">
        <v>0</v>
      </c>
    </row>
    <row r="1147" spans="11:13" x14ac:dyDescent="0.2">
      <c r="K1147" t="s">
        <v>42</v>
      </c>
      <c r="L1147" t="s">
        <v>38</v>
      </c>
      <c r="M1147">
        <v>0</v>
      </c>
    </row>
    <row r="1148" spans="11:13" x14ac:dyDescent="0.2">
      <c r="K1148" t="s">
        <v>41</v>
      </c>
      <c r="L1148" t="s">
        <v>37</v>
      </c>
      <c r="M1148">
        <v>0</v>
      </c>
    </row>
    <row r="1149" spans="11:13" x14ac:dyDescent="0.2">
      <c r="K1149" t="s">
        <v>42</v>
      </c>
      <c r="L1149" t="s">
        <v>38</v>
      </c>
      <c r="M1149">
        <v>0</v>
      </c>
    </row>
    <row r="1150" spans="11:13" x14ac:dyDescent="0.2">
      <c r="K1150" t="s">
        <v>42</v>
      </c>
      <c r="L1150" t="s">
        <v>38</v>
      </c>
      <c r="M1150">
        <v>0</v>
      </c>
    </row>
    <row r="1151" spans="11:13" x14ac:dyDescent="0.2">
      <c r="K1151" t="s">
        <v>41</v>
      </c>
      <c r="L1151" t="s">
        <v>37</v>
      </c>
      <c r="M1151">
        <v>0</v>
      </c>
    </row>
    <row r="1152" spans="11:13" x14ac:dyDescent="0.2">
      <c r="K1152" t="s">
        <v>42</v>
      </c>
      <c r="L1152" t="s">
        <v>38</v>
      </c>
      <c r="M1152">
        <v>0</v>
      </c>
    </row>
    <row r="1153" spans="11:13" x14ac:dyDescent="0.2">
      <c r="K1153" t="s">
        <v>42</v>
      </c>
      <c r="L1153" t="s">
        <v>38</v>
      </c>
      <c r="M1153">
        <v>0</v>
      </c>
    </row>
    <row r="1154" spans="11:13" x14ac:dyDescent="0.2">
      <c r="K1154" t="s">
        <v>42</v>
      </c>
      <c r="L1154" t="s">
        <v>38</v>
      </c>
      <c r="M1154">
        <v>0</v>
      </c>
    </row>
    <row r="1155" spans="11:13" x14ac:dyDescent="0.2">
      <c r="K1155" t="s">
        <v>41</v>
      </c>
      <c r="L1155" t="s">
        <v>37</v>
      </c>
      <c r="M1155">
        <v>1</v>
      </c>
    </row>
    <row r="1156" spans="11:13" x14ac:dyDescent="0.2">
      <c r="K1156" t="s">
        <v>41</v>
      </c>
      <c r="L1156" t="s">
        <v>37</v>
      </c>
      <c r="M1156">
        <v>0</v>
      </c>
    </row>
    <row r="1157" spans="11:13" x14ac:dyDescent="0.2">
      <c r="K1157" t="s">
        <v>41</v>
      </c>
      <c r="L1157" t="s">
        <v>37</v>
      </c>
      <c r="M1157">
        <v>0</v>
      </c>
    </row>
    <row r="1158" spans="11:13" x14ac:dyDescent="0.2">
      <c r="K1158" t="s">
        <v>42</v>
      </c>
      <c r="L1158" t="s">
        <v>38</v>
      </c>
      <c r="M1158">
        <v>0</v>
      </c>
    </row>
    <row r="1159" spans="11:13" x14ac:dyDescent="0.2">
      <c r="K1159" t="s">
        <v>41</v>
      </c>
      <c r="L1159" t="s">
        <v>37</v>
      </c>
      <c r="M1159">
        <v>0</v>
      </c>
    </row>
    <row r="1160" spans="11:13" x14ac:dyDescent="0.2">
      <c r="K1160" t="s">
        <v>42</v>
      </c>
      <c r="L1160" t="s">
        <v>38</v>
      </c>
      <c r="M1160">
        <v>0</v>
      </c>
    </row>
    <row r="1161" spans="11:13" x14ac:dyDescent="0.2">
      <c r="K1161" t="s">
        <v>42</v>
      </c>
      <c r="L1161" t="s">
        <v>38</v>
      </c>
      <c r="M1161">
        <v>0</v>
      </c>
    </row>
    <row r="1162" spans="11:13" x14ac:dyDescent="0.2">
      <c r="K1162" t="s">
        <v>42</v>
      </c>
      <c r="L1162" t="s">
        <v>38</v>
      </c>
      <c r="M1162">
        <v>0</v>
      </c>
    </row>
    <row r="1163" spans="11:13" x14ac:dyDescent="0.2">
      <c r="K1163" t="s">
        <v>42</v>
      </c>
      <c r="L1163" t="s">
        <v>38</v>
      </c>
      <c r="M1163">
        <v>0</v>
      </c>
    </row>
    <row r="1164" spans="11:13" x14ac:dyDescent="0.2">
      <c r="K1164" t="s">
        <v>41</v>
      </c>
      <c r="L1164" t="s">
        <v>37</v>
      </c>
      <c r="M1164">
        <v>0</v>
      </c>
    </row>
    <row r="1165" spans="11:13" x14ac:dyDescent="0.2">
      <c r="K1165" t="s">
        <v>42</v>
      </c>
      <c r="L1165" t="s">
        <v>38</v>
      </c>
      <c r="M1165">
        <v>0</v>
      </c>
    </row>
    <row r="1166" spans="11:13" x14ac:dyDescent="0.2">
      <c r="K1166" t="s">
        <v>41</v>
      </c>
      <c r="L1166" t="s">
        <v>37</v>
      </c>
      <c r="M1166">
        <v>0</v>
      </c>
    </row>
    <row r="1167" spans="11:13" x14ac:dyDescent="0.2">
      <c r="K1167" t="s">
        <v>42</v>
      </c>
      <c r="L1167" t="s">
        <v>38</v>
      </c>
      <c r="M1167">
        <v>0</v>
      </c>
    </row>
    <row r="1168" spans="11:13" x14ac:dyDescent="0.2">
      <c r="K1168" t="s">
        <v>41</v>
      </c>
      <c r="L1168" t="s">
        <v>37</v>
      </c>
      <c r="M1168">
        <v>0</v>
      </c>
    </row>
    <row r="1169" spans="11:13" x14ac:dyDescent="0.2">
      <c r="K1169" t="s">
        <v>42</v>
      </c>
      <c r="L1169" t="s">
        <v>38</v>
      </c>
      <c r="M1169">
        <v>0</v>
      </c>
    </row>
    <row r="1170" spans="11:13" x14ac:dyDescent="0.2">
      <c r="K1170" t="s">
        <v>41</v>
      </c>
      <c r="L1170" t="s">
        <v>37</v>
      </c>
      <c r="M1170">
        <v>0</v>
      </c>
    </row>
    <row r="1171" spans="11:13" x14ac:dyDescent="0.2">
      <c r="K1171" t="s">
        <v>42</v>
      </c>
      <c r="L1171" t="s">
        <v>38</v>
      </c>
      <c r="M1171">
        <v>0</v>
      </c>
    </row>
    <row r="1172" spans="11:13" x14ac:dyDescent="0.2">
      <c r="K1172" t="s">
        <v>42</v>
      </c>
      <c r="L1172" t="s">
        <v>38</v>
      </c>
      <c r="M1172">
        <v>0</v>
      </c>
    </row>
    <row r="1173" spans="11:13" x14ac:dyDescent="0.2">
      <c r="K1173" t="s">
        <v>41</v>
      </c>
      <c r="L1173" t="s">
        <v>37</v>
      </c>
      <c r="M1173">
        <v>0</v>
      </c>
    </row>
    <row r="1174" spans="11:13" x14ac:dyDescent="0.2">
      <c r="K1174" t="s">
        <v>41</v>
      </c>
      <c r="L1174" t="s">
        <v>37</v>
      </c>
      <c r="M1174">
        <v>0</v>
      </c>
    </row>
    <row r="1175" spans="11:13" x14ac:dyDescent="0.2">
      <c r="K1175" t="s">
        <v>41</v>
      </c>
      <c r="L1175" t="s">
        <v>37</v>
      </c>
      <c r="M1175">
        <v>0</v>
      </c>
    </row>
    <row r="1176" spans="11:13" x14ac:dyDescent="0.2">
      <c r="K1176" t="s">
        <v>42</v>
      </c>
      <c r="L1176" t="s">
        <v>38</v>
      </c>
      <c r="M1176">
        <v>0</v>
      </c>
    </row>
    <row r="1177" spans="11:13" x14ac:dyDescent="0.2">
      <c r="K1177" t="s">
        <v>42</v>
      </c>
      <c r="L1177" t="s">
        <v>38</v>
      </c>
      <c r="M1177">
        <v>0</v>
      </c>
    </row>
    <row r="1178" spans="11:13" x14ac:dyDescent="0.2">
      <c r="K1178" t="s">
        <v>41</v>
      </c>
      <c r="L1178" t="s">
        <v>37</v>
      </c>
      <c r="M1178">
        <v>0</v>
      </c>
    </row>
    <row r="1179" spans="11:13" x14ac:dyDescent="0.2">
      <c r="K1179" t="s">
        <v>42</v>
      </c>
      <c r="L1179" t="s">
        <v>38</v>
      </c>
      <c r="M1179">
        <v>0</v>
      </c>
    </row>
    <row r="1180" spans="11:13" x14ac:dyDescent="0.2">
      <c r="K1180" t="s">
        <v>42</v>
      </c>
      <c r="L1180" t="s">
        <v>38</v>
      </c>
      <c r="M1180">
        <v>0</v>
      </c>
    </row>
    <row r="1181" spans="11:13" x14ac:dyDescent="0.2">
      <c r="K1181" t="s">
        <v>41</v>
      </c>
      <c r="L1181" t="s">
        <v>37</v>
      </c>
      <c r="M1181">
        <v>0</v>
      </c>
    </row>
    <row r="1182" spans="11:13" x14ac:dyDescent="0.2">
      <c r="K1182" t="s">
        <v>42</v>
      </c>
      <c r="L1182" t="s">
        <v>38</v>
      </c>
      <c r="M1182">
        <v>0</v>
      </c>
    </row>
    <row r="1183" spans="11:13" x14ac:dyDescent="0.2">
      <c r="K1183" t="s">
        <v>41</v>
      </c>
      <c r="L1183" t="s">
        <v>37</v>
      </c>
      <c r="M1183">
        <v>0</v>
      </c>
    </row>
    <row r="1184" spans="11:13" x14ac:dyDescent="0.2">
      <c r="K1184" t="s">
        <v>41</v>
      </c>
      <c r="L1184" t="s">
        <v>37</v>
      </c>
      <c r="M1184">
        <v>0</v>
      </c>
    </row>
    <row r="1185" spans="11:13" x14ac:dyDescent="0.2">
      <c r="K1185" t="s">
        <v>41</v>
      </c>
      <c r="L1185" t="s">
        <v>37</v>
      </c>
      <c r="M1185">
        <v>0</v>
      </c>
    </row>
    <row r="1186" spans="11:13" x14ac:dyDescent="0.2">
      <c r="K1186" t="s">
        <v>42</v>
      </c>
      <c r="L1186" t="s">
        <v>38</v>
      </c>
      <c r="M1186">
        <v>0</v>
      </c>
    </row>
    <row r="1187" spans="11:13" x14ac:dyDescent="0.2">
      <c r="K1187" t="s">
        <v>42</v>
      </c>
      <c r="L1187" t="s">
        <v>38</v>
      </c>
      <c r="M1187">
        <v>0</v>
      </c>
    </row>
    <row r="1188" spans="11:13" x14ac:dyDescent="0.2">
      <c r="K1188" t="s">
        <v>42</v>
      </c>
      <c r="L1188" t="s">
        <v>38</v>
      </c>
      <c r="M1188">
        <v>0</v>
      </c>
    </row>
    <row r="1189" spans="11:13" x14ac:dyDescent="0.2">
      <c r="K1189" t="s">
        <v>41</v>
      </c>
      <c r="L1189" t="s">
        <v>37</v>
      </c>
      <c r="M1189">
        <v>0</v>
      </c>
    </row>
    <row r="1190" spans="11:13" x14ac:dyDescent="0.2">
      <c r="K1190" t="s">
        <v>41</v>
      </c>
      <c r="L1190" t="s">
        <v>37</v>
      </c>
      <c r="M1190">
        <v>0</v>
      </c>
    </row>
    <row r="1191" spans="11:13" x14ac:dyDescent="0.2">
      <c r="K1191" t="s">
        <v>42</v>
      </c>
      <c r="L1191" t="s">
        <v>38</v>
      </c>
      <c r="M1191">
        <v>0</v>
      </c>
    </row>
    <row r="1192" spans="11:13" x14ac:dyDescent="0.2">
      <c r="K1192" t="s">
        <v>41</v>
      </c>
      <c r="L1192" t="s">
        <v>37</v>
      </c>
      <c r="M1192">
        <v>0</v>
      </c>
    </row>
    <row r="1193" spans="11:13" x14ac:dyDescent="0.2">
      <c r="K1193" t="s">
        <v>42</v>
      </c>
      <c r="L1193" t="s">
        <v>38</v>
      </c>
      <c r="M1193">
        <v>0</v>
      </c>
    </row>
    <row r="1194" spans="11:13" x14ac:dyDescent="0.2">
      <c r="K1194" t="s">
        <v>42</v>
      </c>
      <c r="L1194" t="s">
        <v>38</v>
      </c>
      <c r="M1194">
        <v>0</v>
      </c>
    </row>
    <row r="1195" spans="11:13" x14ac:dyDescent="0.2">
      <c r="K1195" t="s">
        <v>42</v>
      </c>
      <c r="L1195" t="s">
        <v>38</v>
      </c>
      <c r="M1195">
        <v>0</v>
      </c>
    </row>
    <row r="1196" spans="11:13" x14ac:dyDescent="0.2">
      <c r="K1196" t="s">
        <v>42</v>
      </c>
      <c r="L1196" t="s">
        <v>38</v>
      </c>
      <c r="M1196">
        <v>0</v>
      </c>
    </row>
    <row r="1197" spans="11:13" x14ac:dyDescent="0.2">
      <c r="K1197" t="s">
        <v>42</v>
      </c>
      <c r="L1197" t="s">
        <v>38</v>
      </c>
      <c r="M1197">
        <v>0</v>
      </c>
    </row>
    <row r="1198" spans="11:13" x14ac:dyDescent="0.2">
      <c r="K1198" t="s">
        <v>41</v>
      </c>
      <c r="L1198" t="s">
        <v>37</v>
      </c>
      <c r="M1198">
        <v>0</v>
      </c>
    </row>
    <row r="1199" spans="11:13" x14ac:dyDescent="0.2">
      <c r="K1199" t="s">
        <v>41</v>
      </c>
      <c r="L1199" t="s">
        <v>37</v>
      </c>
      <c r="M1199">
        <v>0</v>
      </c>
    </row>
    <row r="1200" spans="11:13" x14ac:dyDescent="0.2">
      <c r="K1200" t="s">
        <v>42</v>
      </c>
      <c r="L1200" t="s">
        <v>38</v>
      </c>
      <c r="M1200">
        <v>0</v>
      </c>
    </row>
    <row r="1201" spans="11:13" x14ac:dyDescent="0.2">
      <c r="K1201" t="s">
        <v>42</v>
      </c>
      <c r="L1201" t="s">
        <v>38</v>
      </c>
      <c r="M1201">
        <v>0</v>
      </c>
    </row>
    <row r="1202" spans="11:13" x14ac:dyDescent="0.2">
      <c r="K1202" t="s">
        <v>42</v>
      </c>
      <c r="L1202" t="s">
        <v>38</v>
      </c>
      <c r="M1202">
        <v>0</v>
      </c>
    </row>
    <row r="1203" spans="11:13" x14ac:dyDescent="0.2">
      <c r="K1203" t="s">
        <v>42</v>
      </c>
      <c r="L1203" t="s">
        <v>38</v>
      </c>
      <c r="M1203">
        <v>0</v>
      </c>
    </row>
    <row r="1204" spans="11:13" x14ac:dyDescent="0.2">
      <c r="K1204" t="s">
        <v>42</v>
      </c>
      <c r="L1204" t="s">
        <v>38</v>
      </c>
      <c r="M1204">
        <v>0</v>
      </c>
    </row>
    <row r="1205" spans="11:13" x14ac:dyDescent="0.2">
      <c r="K1205" t="s">
        <v>41</v>
      </c>
      <c r="L1205" t="s">
        <v>37</v>
      </c>
      <c r="M1205">
        <v>0</v>
      </c>
    </row>
    <row r="1206" spans="11:13" x14ac:dyDescent="0.2">
      <c r="K1206" t="s">
        <v>41</v>
      </c>
      <c r="L1206" t="s">
        <v>37</v>
      </c>
      <c r="M1206">
        <v>0</v>
      </c>
    </row>
    <row r="1207" spans="11:13" x14ac:dyDescent="0.2">
      <c r="K1207" t="s">
        <v>41</v>
      </c>
      <c r="L1207" t="s">
        <v>37</v>
      </c>
      <c r="M1207">
        <v>0</v>
      </c>
    </row>
    <row r="1208" spans="11:13" x14ac:dyDescent="0.2">
      <c r="K1208" t="s">
        <v>41</v>
      </c>
      <c r="L1208" t="s">
        <v>37</v>
      </c>
      <c r="M1208">
        <v>0</v>
      </c>
    </row>
    <row r="1209" spans="11:13" x14ac:dyDescent="0.2">
      <c r="K1209" t="s">
        <v>42</v>
      </c>
      <c r="L1209" t="s">
        <v>38</v>
      </c>
      <c r="M1209">
        <v>0</v>
      </c>
    </row>
    <row r="1210" spans="11:13" x14ac:dyDescent="0.2">
      <c r="K1210" t="s">
        <v>41</v>
      </c>
      <c r="L1210" t="s">
        <v>37</v>
      </c>
      <c r="M1210">
        <v>0</v>
      </c>
    </row>
    <row r="1211" spans="11:13" x14ac:dyDescent="0.2">
      <c r="K1211" t="s">
        <v>42</v>
      </c>
      <c r="L1211" t="s">
        <v>38</v>
      </c>
      <c r="M1211">
        <v>1</v>
      </c>
    </row>
    <row r="1212" spans="11:13" x14ac:dyDescent="0.2">
      <c r="K1212" t="s">
        <v>42</v>
      </c>
      <c r="L1212" t="s">
        <v>38</v>
      </c>
      <c r="M1212">
        <v>0</v>
      </c>
    </row>
    <row r="1213" spans="11:13" x14ac:dyDescent="0.2">
      <c r="K1213" t="s">
        <v>42</v>
      </c>
      <c r="L1213" t="s">
        <v>38</v>
      </c>
      <c r="M1213">
        <v>0</v>
      </c>
    </row>
    <row r="1214" spans="11:13" x14ac:dyDescent="0.2">
      <c r="K1214" t="s">
        <v>41</v>
      </c>
      <c r="L1214" t="s">
        <v>37</v>
      </c>
      <c r="M1214">
        <v>0</v>
      </c>
    </row>
    <row r="1215" spans="11:13" x14ac:dyDescent="0.2">
      <c r="K1215" t="s">
        <v>41</v>
      </c>
      <c r="L1215" t="s">
        <v>37</v>
      </c>
      <c r="M1215">
        <v>0</v>
      </c>
    </row>
    <row r="1216" spans="11:13" x14ac:dyDescent="0.2">
      <c r="K1216" t="s">
        <v>41</v>
      </c>
      <c r="L1216" t="s">
        <v>37</v>
      </c>
      <c r="M1216">
        <v>0</v>
      </c>
    </row>
    <row r="1217" spans="11:13" x14ac:dyDescent="0.2">
      <c r="K1217" t="s">
        <v>42</v>
      </c>
      <c r="L1217" t="s">
        <v>38</v>
      </c>
      <c r="M1217">
        <v>0</v>
      </c>
    </row>
    <row r="1218" spans="11:13" x14ac:dyDescent="0.2">
      <c r="K1218" t="s">
        <v>42</v>
      </c>
      <c r="L1218" t="s">
        <v>38</v>
      </c>
      <c r="M1218">
        <v>0</v>
      </c>
    </row>
    <row r="1219" spans="11:13" x14ac:dyDescent="0.2">
      <c r="K1219" t="s">
        <v>41</v>
      </c>
      <c r="L1219" t="s">
        <v>37</v>
      </c>
      <c r="M1219">
        <v>0</v>
      </c>
    </row>
    <row r="1220" spans="11:13" x14ac:dyDescent="0.2">
      <c r="K1220" t="s">
        <v>42</v>
      </c>
      <c r="L1220" t="s">
        <v>38</v>
      </c>
      <c r="M1220">
        <v>0</v>
      </c>
    </row>
    <row r="1221" spans="11:13" x14ac:dyDescent="0.2">
      <c r="K1221" t="s">
        <v>42</v>
      </c>
      <c r="L1221" t="s">
        <v>38</v>
      </c>
      <c r="M1221">
        <v>0</v>
      </c>
    </row>
    <row r="1222" spans="11:13" x14ac:dyDescent="0.2">
      <c r="K1222" t="s">
        <v>41</v>
      </c>
      <c r="L1222" t="s">
        <v>37</v>
      </c>
      <c r="M1222">
        <v>0</v>
      </c>
    </row>
    <row r="1223" spans="11:13" x14ac:dyDescent="0.2">
      <c r="K1223" t="s">
        <v>41</v>
      </c>
      <c r="L1223" t="s">
        <v>37</v>
      </c>
      <c r="M1223">
        <v>1</v>
      </c>
    </row>
    <row r="1224" spans="11:13" x14ac:dyDescent="0.2">
      <c r="K1224" t="s">
        <v>42</v>
      </c>
      <c r="L1224" t="s">
        <v>38</v>
      </c>
      <c r="M1224">
        <v>0</v>
      </c>
    </row>
    <row r="1225" spans="11:13" x14ac:dyDescent="0.2">
      <c r="K1225" t="s">
        <v>42</v>
      </c>
      <c r="L1225" t="s">
        <v>38</v>
      </c>
      <c r="M1225">
        <v>0</v>
      </c>
    </row>
    <row r="1226" spans="11:13" x14ac:dyDescent="0.2">
      <c r="K1226" t="s">
        <v>41</v>
      </c>
      <c r="L1226" t="s">
        <v>37</v>
      </c>
      <c r="M1226">
        <v>0</v>
      </c>
    </row>
    <row r="1227" spans="11:13" x14ac:dyDescent="0.2">
      <c r="K1227" t="s">
        <v>41</v>
      </c>
      <c r="L1227" t="s">
        <v>37</v>
      </c>
      <c r="M1227">
        <v>0</v>
      </c>
    </row>
    <row r="1228" spans="11:13" x14ac:dyDescent="0.2">
      <c r="K1228" t="s">
        <v>42</v>
      </c>
      <c r="L1228" t="s">
        <v>38</v>
      </c>
      <c r="M1228">
        <v>0</v>
      </c>
    </row>
    <row r="1229" spans="11:13" x14ac:dyDescent="0.2">
      <c r="K1229" t="s">
        <v>41</v>
      </c>
      <c r="L1229" t="s">
        <v>37</v>
      </c>
      <c r="M1229">
        <v>0</v>
      </c>
    </row>
    <row r="1230" spans="11:13" x14ac:dyDescent="0.2">
      <c r="K1230" t="s">
        <v>41</v>
      </c>
      <c r="L1230" t="s">
        <v>37</v>
      </c>
      <c r="M1230">
        <v>0</v>
      </c>
    </row>
    <row r="1231" spans="11:13" x14ac:dyDescent="0.2">
      <c r="K1231" t="s">
        <v>41</v>
      </c>
      <c r="L1231" t="s">
        <v>37</v>
      </c>
      <c r="M1231">
        <v>0</v>
      </c>
    </row>
    <row r="1232" spans="11:13" x14ac:dyDescent="0.2">
      <c r="K1232" t="s">
        <v>41</v>
      </c>
      <c r="L1232" t="s">
        <v>37</v>
      </c>
      <c r="M1232">
        <v>0</v>
      </c>
    </row>
    <row r="1233" spans="11:13" x14ac:dyDescent="0.2">
      <c r="K1233" t="s">
        <v>41</v>
      </c>
      <c r="L1233" t="s">
        <v>37</v>
      </c>
      <c r="M1233">
        <v>0</v>
      </c>
    </row>
    <row r="1234" spans="11:13" x14ac:dyDescent="0.2">
      <c r="K1234" t="s">
        <v>41</v>
      </c>
      <c r="L1234" t="s">
        <v>37</v>
      </c>
      <c r="M1234">
        <v>0</v>
      </c>
    </row>
    <row r="1235" spans="11:13" x14ac:dyDescent="0.2">
      <c r="K1235" t="s">
        <v>42</v>
      </c>
      <c r="L1235" t="s">
        <v>38</v>
      </c>
      <c r="M1235">
        <v>0</v>
      </c>
    </row>
    <row r="1236" spans="11:13" x14ac:dyDescent="0.2">
      <c r="K1236" t="s">
        <v>42</v>
      </c>
      <c r="L1236" t="s">
        <v>38</v>
      </c>
      <c r="M1236">
        <v>0</v>
      </c>
    </row>
    <row r="1237" spans="11:13" x14ac:dyDescent="0.2">
      <c r="K1237" t="s">
        <v>41</v>
      </c>
      <c r="L1237" t="s">
        <v>37</v>
      </c>
      <c r="M1237">
        <v>0</v>
      </c>
    </row>
    <row r="1238" spans="11:13" x14ac:dyDescent="0.2">
      <c r="K1238" t="s">
        <v>42</v>
      </c>
      <c r="L1238" t="s">
        <v>38</v>
      </c>
      <c r="M1238">
        <v>0</v>
      </c>
    </row>
    <row r="1239" spans="11:13" x14ac:dyDescent="0.2">
      <c r="K1239" t="s">
        <v>41</v>
      </c>
      <c r="L1239" t="s">
        <v>37</v>
      </c>
      <c r="M1239">
        <v>0</v>
      </c>
    </row>
    <row r="1240" spans="11:13" x14ac:dyDescent="0.2">
      <c r="K1240" t="s">
        <v>41</v>
      </c>
      <c r="L1240" t="s">
        <v>37</v>
      </c>
      <c r="M1240">
        <v>1</v>
      </c>
    </row>
    <row r="1241" spans="11:13" x14ac:dyDescent="0.2">
      <c r="K1241" t="s">
        <v>41</v>
      </c>
      <c r="L1241" t="s">
        <v>37</v>
      </c>
      <c r="M1241">
        <v>0</v>
      </c>
    </row>
    <row r="1242" spans="11:13" x14ac:dyDescent="0.2">
      <c r="K1242" t="s">
        <v>41</v>
      </c>
      <c r="L1242" t="s">
        <v>37</v>
      </c>
      <c r="M1242">
        <v>0</v>
      </c>
    </row>
    <row r="1243" spans="11:13" x14ac:dyDescent="0.2">
      <c r="K1243" t="s">
        <v>42</v>
      </c>
      <c r="L1243" t="s">
        <v>38</v>
      </c>
      <c r="M1243">
        <v>0</v>
      </c>
    </row>
    <row r="1244" spans="11:13" x14ac:dyDescent="0.2">
      <c r="K1244" t="s">
        <v>42</v>
      </c>
      <c r="L1244" t="s">
        <v>38</v>
      </c>
      <c r="M1244">
        <v>0</v>
      </c>
    </row>
    <row r="1245" spans="11:13" x14ac:dyDescent="0.2">
      <c r="K1245" t="s">
        <v>42</v>
      </c>
      <c r="L1245" t="s">
        <v>38</v>
      </c>
      <c r="M1245">
        <v>0</v>
      </c>
    </row>
    <row r="1246" spans="11:13" x14ac:dyDescent="0.2">
      <c r="K1246" t="s">
        <v>41</v>
      </c>
      <c r="L1246" t="s">
        <v>37</v>
      </c>
      <c r="M1246">
        <v>0</v>
      </c>
    </row>
    <row r="1247" spans="11:13" x14ac:dyDescent="0.2">
      <c r="K1247" t="s">
        <v>42</v>
      </c>
      <c r="L1247" t="s">
        <v>38</v>
      </c>
      <c r="M1247">
        <v>0</v>
      </c>
    </row>
    <row r="1248" spans="11:13" x14ac:dyDescent="0.2">
      <c r="K1248" t="s">
        <v>41</v>
      </c>
      <c r="L1248" t="s">
        <v>37</v>
      </c>
      <c r="M1248">
        <v>0</v>
      </c>
    </row>
    <row r="1249" spans="11:13" x14ac:dyDescent="0.2">
      <c r="K1249" t="s">
        <v>42</v>
      </c>
      <c r="L1249" t="s">
        <v>38</v>
      </c>
      <c r="M1249">
        <v>0</v>
      </c>
    </row>
    <row r="1250" spans="11:13" x14ac:dyDescent="0.2">
      <c r="K1250" t="s">
        <v>42</v>
      </c>
      <c r="L1250" t="s">
        <v>38</v>
      </c>
      <c r="M1250">
        <v>0</v>
      </c>
    </row>
    <row r="1251" spans="11:13" x14ac:dyDescent="0.2">
      <c r="K1251" t="s">
        <v>42</v>
      </c>
      <c r="L1251" t="s">
        <v>38</v>
      </c>
      <c r="M1251">
        <v>0</v>
      </c>
    </row>
    <row r="1252" spans="11:13" x14ac:dyDescent="0.2">
      <c r="K1252" t="s">
        <v>42</v>
      </c>
      <c r="L1252" t="s">
        <v>38</v>
      </c>
      <c r="M1252">
        <v>0</v>
      </c>
    </row>
    <row r="1253" spans="11:13" x14ac:dyDescent="0.2">
      <c r="K1253" t="s">
        <v>41</v>
      </c>
      <c r="L1253" t="s">
        <v>37</v>
      </c>
      <c r="M1253">
        <v>0</v>
      </c>
    </row>
    <row r="1254" spans="11:13" x14ac:dyDescent="0.2">
      <c r="K1254" t="s">
        <v>42</v>
      </c>
      <c r="L1254" t="s">
        <v>38</v>
      </c>
      <c r="M1254">
        <v>1</v>
      </c>
    </row>
    <row r="1255" spans="11:13" x14ac:dyDescent="0.2">
      <c r="K1255" t="s">
        <v>42</v>
      </c>
      <c r="L1255" t="s">
        <v>38</v>
      </c>
      <c r="M1255">
        <v>0</v>
      </c>
    </row>
    <row r="1256" spans="11:13" x14ac:dyDescent="0.2">
      <c r="K1256" t="s">
        <v>42</v>
      </c>
      <c r="L1256" t="s">
        <v>38</v>
      </c>
      <c r="M1256">
        <v>0</v>
      </c>
    </row>
    <row r="1257" spans="11:13" x14ac:dyDescent="0.2">
      <c r="K1257" t="s">
        <v>41</v>
      </c>
      <c r="L1257" t="s">
        <v>37</v>
      </c>
      <c r="M1257">
        <v>0</v>
      </c>
    </row>
    <row r="1258" spans="11:13" x14ac:dyDescent="0.2">
      <c r="K1258" t="s">
        <v>42</v>
      </c>
      <c r="L1258" t="s">
        <v>38</v>
      </c>
      <c r="M1258">
        <v>0</v>
      </c>
    </row>
    <row r="1259" spans="11:13" x14ac:dyDescent="0.2">
      <c r="K1259" t="s">
        <v>42</v>
      </c>
      <c r="L1259" t="s">
        <v>38</v>
      </c>
      <c r="M1259">
        <v>0</v>
      </c>
    </row>
    <row r="1260" spans="11:13" x14ac:dyDescent="0.2">
      <c r="K1260" t="s">
        <v>41</v>
      </c>
      <c r="L1260" t="s">
        <v>37</v>
      </c>
      <c r="M1260">
        <v>0</v>
      </c>
    </row>
    <row r="1261" spans="11:13" x14ac:dyDescent="0.2">
      <c r="K1261" t="s">
        <v>42</v>
      </c>
      <c r="L1261" t="s">
        <v>38</v>
      </c>
      <c r="M1261">
        <v>0</v>
      </c>
    </row>
    <row r="1262" spans="11:13" x14ac:dyDescent="0.2">
      <c r="K1262" t="s">
        <v>42</v>
      </c>
      <c r="L1262" t="s">
        <v>38</v>
      </c>
      <c r="M1262">
        <v>1</v>
      </c>
    </row>
    <row r="1263" spans="11:13" x14ac:dyDescent="0.2">
      <c r="K1263" t="s">
        <v>41</v>
      </c>
      <c r="L1263" t="s">
        <v>37</v>
      </c>
      <c r="M1263">
        <v>0</v>
      </c>
    </row>
    <row r="1264" spans="11:13" x14ac:dyDescent="0.2">
      <c r="K1264" t="s">
        <v>41</v>
      </c>
      <c r="L1264" t="s">
        <v>37</v>
      </c>
      <c r="M1264">
        <v>0</v>
      </c>
    </row>
    <row r="1265" spans="11:13" x14ac:dyDescent="0.2">
      <c r="K1265" t="s">
        <v>42</v>
      </c>
      <c r="L1265" t="s">
        <v>38</v>
      </c>
      <c r="M1265">
        <v>0</v>
      </c>
    </row>
    <row r="1266" spans="11:13" x14ac:dyDescent="0.2">
      <c r="K1266" t="s">
        <v>42</v>
      </c>
      <c r="L1266" t="s">
        <v>38</v>
      </c>
      <c r="M1266">
        <v>0</v>
      </c>
    </row>
    <row r="1267" spans="11:13" x14ac:dyDescent="0.2">
      <c r="K1267" t="s">
        <v>42</v>
      </c>
      <c r="L1267" t="s">
        <v>38</v>
      </c>
      <c r="M1267">
        <v>0</v>
      </c>
    </row>
    <row r="1268" spans="11:13" x14ac:dyDescent="0.2">
      <c r="K1268" t="s">
        <v>42</v>
      </c>
      <c r="L1268" t="s">
        <v>38</v>
      </c>
      <c r="M1268">
        <v>0</v>
      </c>
    </row>
    <row r="1269" spans="11:13" x14ac:dyDescent="0.2">
      <c r="K1269" t="s">
        <v>42</v>
      </c>
      <c r="L1269" t="s">
        <v>38</v>
      </c>
      <c r="M1269">
        <v>0</v>
      </c>
    </row>
    <row r="1270" spans="11:13" x14ac:dyDescent="0.2">
      <c r="K1270" t="s">
        <v>42</v>
      </c>
      <c r="L1270" t="s">
        <v>38</v>
      </c>
      <c r="M1270">
        <v>0</v>
      </c>
    </row>
    <row r="1271" spans="11:13" x14ac:dyDescent="0.2">
      <c r="K1271" t="s">
        <v>42</v>
      </c>
      <c r="L1271" t="s">
        <v>38</v>
      </c>
      <c r="M1271">
        <v>0</v>
      </c>
    </row>
    <row r="1272" spans="11:13" x14ac:dyDescent="0.2">
      <c r="K1272" t="s">
        <v>42</v>
      </c>
      <c r="L1272" t="s">
        <v>38</v>
      </c>
      <c r="M1272">
        <v>0</v>
      </c>
    </row>
    <row r="1273" spans="11:13" x14ac:dyDescent="0.2">
      <c r="K1273" t="s">
        <v>42</v>
      </c>
      <c r="L1273" t="s">
        <v>38</v>
      </c>
      <c r="M1273">
        <v>0</v>
      </c>
    </row>
    <row r="1274" spans="11:13" x14ac:dyDescent="0.2">
      <c r="K1274" t="s">
        <v>42</v>
      </c>
      <c r="L1274" t="s">
        <v>38</v>
      </c>
      <c r="M1274">
        <v>0</v>
      </c>
    </row>
    <row r="1275" spans="11:13" x14ac:dyDescent="0.2">
      <c r="K1275" t="s">
        <v>42</v>
      </c>
      <c r="L1275" t="s">
        <v>38</v>
      </c>
      <c r="M1275">
        <v>0</v>
      </c>
    </row>
    <row r="1276" spans="11:13" x14ac:dyDescent="0.2">
      <c r="K1276" t="s">
        <v>42</v>
      </c>
      <c r="L1276" t="s">
        <v>38</v>
      </c>
      <c r="M1276">
        <v>0</v>
      </c>
    </row>
    <row r="1277" spans="11:13" x14ac:dyDescent="0.2">
      <c r="K1277" t="s">
        <v>41</v>
      </c>
      <c r="L1277" t="s">
        <v>37</v>
      </c>
      <c r="M1277">
        <v>0</v>
      </c>
    </row>
    <row r="1278" spans="11:13" x14ac:dyDescent="0.2">
      <c r="K1278" t="s">
        <v>41</v>
      </c>
      <c r="L1278" t="s">
        <v>37</v>
      </c>
      <c r="M1278">
        <v>0</v>
      </c>
    </row>
    <row r="1279" spans="11:13" x14ac:dyDescent="0.2">
      <c r="K1279" t="s">
        <v>42</v>
      </c>
      <c r="L1279" t="s">
        <v>38</v>
      </c>
      <c r="M1279">
        <v>0</v>
      </c>
    </row>
    <row r="1280" spans="11:13" x14ac:dyDescent="0.2">
      <c r="K1280" t="s">
        <v>41</v>
      </c>
      <c r="L1280" t="s">
        <v>37</v>
      </c>
      <c r="M1280">
        <v>0</v>
      </c>
    </row>
    <row r="1281" spans="11:13" x14ac:dyDescent="0.2">
      <c r="K1281" t="s">
        <v>42</v>
      </c>
      <c r="L1281" t="s">
        <v>38</v>
      </c>
      <c r="M1281">
        <v>0</v>
      </c>
    </row>
    <row r="1282" spans="11:13" x14ac:dyDescent="0.2">
      <c r="K1282" t="s">
        <v>41</v>
      </c>
      <c r="L1282" t="s">
        <v>37</v>
      </c>
      <c r="M1282">
        <v>0</v>
      </c>
    </row>
    <row r="1283" spans="11:13" x14ac:dyDescent="0.2">
      <c r="K1283" t="s">
        <v>41</v>
      </c>
      <c r="L1283" t="s">
        <v>37</v>
      </c>
      <c r="M1283">
        <v>0</v>
      </c>
    </row>
    <row r="1284" spans="11:13" x14ac:dyDescent="0.2">
      <c r="K1284" t="s">
        <v>41</v>
      </c>
      <c r="L1284" t="s">
        <v>37</v>
      </c>
      <c r="M1284">
        <v>0</v>
      </c>
    </row>
    <row r="1285" spans="11:13" x14ac:dyDescent="0.2">
      <c r="K1285" t="s">
        <v>41</v>
      </c>
      <c r="L1285" t="s">
        <v>37</v>
      </c>
      <c r="M1285">
        <v>0</v>
      </c>
    </row>
    <row r="1286" spans="11:13" x14ac:dyDescent="0.2">
      <c r="K1286" t="s">
        <v>42</v>
      </c>
      <c r="L1286" t="s">
        <v>38</v>
      </c>
      <c r="M1286">
        <v>0</v>
      </c>
    </row>
    <row r="1287" spans="11:13" x14ac:dyDescent="0.2">
      <c r="K1287" t="s">
        <v>41</v>
      </c>
      <c r="L1287" t="s">
        <v>37</v>
      </c>
      <c r="M1287">
        <v>0</v>
      </c>
    </row>
    <row r="1288" spans="11:13" x14ac:dyDescent="0.2">
      <c r="K1288" t="s">
        <v>41</v>
      </c>
      <c r="L1288" t="s">
        <v>37</v>
      </c>
      <c r="M1288">
        <v>0</v>
      </c>
    </row>
    <row r="1289" spans="11:13" x14ac:dyDescent="0.2">
      <c r="K1289" t="s">
        <v>41</v>
      </c>
      <c r="L1289" t="s">
        <v>37</v>
      </c>
      <c r="M1289">
        <v>0</v>
      </c>
    </row>
    <row r="1290" spans="11:13" x14ac:dyDescent="0.2">
      <c r="K1290" t="s">
        <v>41</v>
      </c>
      <c r="L1290" t="s">
        <v>37</v>
      </c>
      <c r="M1290">
        <v>0</v>
      </c>
    </row>
    <row r="1291" spans="11:13" x14ac:dyDescent="0.2">
      <c r="K1291" t="s">
        <v>42</v>
      </c>
      <c r="L1291" t="s">
        <v>38</v>
      </c>
      <c r="M1291">
        <v>0</v>
      </c>
    </row>
    <row r="1292" spans="11:13" x14ac:dyDescent="0.2">
      <c r="K1292" t="s">
        <v>42</v>
      </c>
      <c r="L1292" t="s">
        <v>38</v>
      </c>
      <c r="M1292">
        <v>0</v>
      </c>
    </row>
    <row r="1293" spans="11:13" x14ac:dyDescent="0.2">
      <c r="K1293" t="s">
        <v>41</v>
      </c>
      <c r="L1293" t="s">
        <v>37</v>
      </c>
      <c r="M1293">
        <v>0</v>
      </c>
    </row>
    <row r="1294" spans="11:13" x14ac:dyDescent="0.2">
      <c r="K1294" t="s">
        <v>41</v>
      </c>
      <c r="L1294" t="s">
        <v>37</v>
      </c>
      <c r="M1294">
        <v>0</v>
      </c>
    </row>
    <row r="1295" spans="11:13" x14ac:dyDescent="0.2">
      <c r="K1295" t="s">
        <v>41</v>
      </c>
      <c r="L1295" t="s">
        <v>37</v>
      </c>
      <c r="M1295">
        <v>0</v>
      </c>
    </row>
    <row r="1296" spans="11:13" x14ac:dyDescent="0.2">
      <c r="K1296" t="s">
        <v>42</v>
      </c>
      <c r="L1296" t="s">
        <v>38</v>
      </c>
      <c r="M1296">
        <v>0</v>
      </c>
    </row>
    <row r="1297" spans="11:13" x14ac:dyDescent="0.2">
      <c r="K1297" t="s">
        <v>41</v>
      </c>
      <c r="L1297" t="s">
        <v>37</v>
      </c>
      <c r="M1297">
        <v>0</v>
      </c>
    </row>
    <row r="1298" spans="11:13" x14ac:dyDescent="0.2">
      <c r="K1298" t="s">
        <v>41</v>
      </c>
      <c r="L1298" t="s">
        <v>37</v>
      </c>
      <c r="M1298">
        <v>0</v>
      </c>
    </row>
    <row r="1299" spans="11:13" x14ac:dyDescent="0.2">
      <c r="K1299" t="s">
        <v>42</v>
      </c>
      <c r="L1299" t="s">
        <v>38</v>
      </c>
      <c r="M1299">
        <v>0</v>
      </c>
    </row>
    <row r="1300" spans="11:13" x14ac:dyDescent="0.2">
      <c r="K1300" t="s">
        <v>42</v>
      </c>
      <c r="L1300" t="s">
        <v>38</v>
      </c>
      <c r="M1300">
        <v>0</v>
      </c>
    </row>
    <row r="1301" spans="11:13" x14ac:dyDescent="0.2">
      <c r="K1301" t="s">
        <v>42</v>
      </c>
      <c r="L1301" t="s">
        <v>38</v>
      </c>
      <c r="M1301">
        <v>0</v>
      </c>
    </row>
    <row r="1302" spans="11:13" x14ac:dyDescent="0.2">
      <c r="K1302" t="s">
        <v>41</v>
      </c>
      <c r="L1302" t="s">
        <v>37</v>
      </c>
      <c r="M1302">
        <v>1</v>
      </c>
    </row>
    <row r="1303" spans="11:13" x14ac:dyDescent="0.2">
      <c r="K1303" t="s">
        <v>42</v>
      </c>
      <c r="L1303" t="s">
        <v>38</v>
      </c>
      <c r="M1303">
        <v>0</v>
      </c>
    </row>
    <row r="1304" spans="11:13" x14ac:dyDescent="0.2">
      <c r="K1304" t="s">
        <v>41</v>
      </c>
      <c r="L1304" t="s">
        <v>37</v>
      </c>
      <c r="M1304">
        <v>0</v>
      </c>
    </row>
    <row r="1305" spans="11:13" x14ac:dyDescent="0.2">
      <c r="K1305" t="s">
        <v>42</v>
      </c>
      <c r="L1305" t="s">
        <v>38</v>
      </c>
      <c r="M1305">
        <v>1</v>
      </c>
    </row>
    <row r="1306" spans="11:13" x14ac:dyDescent="0.2">
      <c r="K1306" t="s">
        <v>42</v>
      </c>
      <c r="L1306" t="s">
        <v>38</v>
      </c>
      <c r="M1306">
        <v>0</v>
      </c>
    </row>
    <row r="1307" spans="11:13" x14ac:dyDescent="0.2">
      <c r="K1307" t="s">
        <v>42</v>
      </c>
      <c r="L1307" t="s">
        <v>38</v>
      </c>
      <c r="M1307">
        <v>0</v>
      </c>
    </row>
    <row r="1308" spans="11:13" x14ac:dyDescent="0.2">
      <c r="K1308" t="s">
        <v>42</v>
      </c>
      <c r="L1308" t="s">
        <v>38</v>
      </c>
      <c r="M1308">
        <v>0</v>
      </c>
    </row>
    <row r="1309" spans="11:13" x14ac:dyDescent="0.2">
      <c r="K1309" t="s">
        <v>42</v>
      </c>
      <c r="L1309" t="s">
        <v>38</v>
      </c>
      <c r="M1309">
        <v>0</v>
      </c>
    </row>
    <row r="1310" spans="11:13" x14ac:dyDescent="0.2">
      <c r="K1310" t="s">
        <v>41</v>
      </c>
      <c r="L1310" t="s">
        <v>37</v>
      </c>
      <c r="M1310">
        <v>0</v>
      </c>
    </row>
    <row r="1311" spans="11:13" x14ac:dyDescent="0.2">
      <c r="K1311" t="s">
        <v>41</v>
      </c>
      <c r="L1311" t="s">
        <v>37</v>
      </c>
      <c r="M1311">
        <v>0</v>
      </c>
    </row>
    <row r="1312" spans="11:13" x14ac:dyDescent="0.2">
      <c r="K1312" t="s">
        <v>41</v>
      </c>
      <c r="L1312" t="s">
        <v>37</v>
      </c>
      <c r="M1312">
        <v>0</v>
      </c>
    </row>
    <row r="1313" spans="11:13" x14ac:dyDescent="0.2">
      <c r="K1313" t="s">
        <v>42</v>
      </c>
      <c r="L1313" t="s">
        <v>38</v>
      </c>
      <c r="M1313">
        <v>0</v>
      </c>
    </row>
    <row r="1314" spans="11:13" x14ac:dyDescent="0.2">
      <c r="K1314" t="s">
        <v>41</v>
      </c>
      <c r="L1314" t="s">
        <v>37</v>
      </c>
      <c r="M1314">
        <v>0</v>
      </c>
    </row>
    <row r="1315" spans="11:13" x14ac:dyDescent="0.2">
      <c r="K1315" t="s">
        <v>42</v>
      </c>
      <c r="L1315" t="s">
        <v>38</v>
      </c>
      <c r="M1315">
        <v>0</v>
      </c>
    </row>
    <row r="1316" spans="11:13" x14ac:dyDescent="0.2">
      <c r="K1316" t="s">
        <v>41</v>
      </c>
      <c r="L1316" t="s">
        <v>37</v>
      </c>
      <c r="M1316">
        <v>0</v>
      </c>
    </row>
    <row r="1317" spans="11:13" x14ac:dyDescent="0.2">
      <c r="K1317" t="s">
        <v>41</v>
      </c>
      <c r="L1317" t="s">
        <v>37</v>
      </c>
      <c r="M1317">
        <v>0</v>
      </c>
    </row>
    <row r="1318" spans="11:13" x14ac:dyDescent="0.2">
      <c r="K1318" t="s">
        <v>42</v>
      </c>
      <c r="L1318" t="s">
        <v>38</v>
      </c>
      <c r="M1318">
        <v>0</v>
      </c>
    </row>
    <row r="1319" spans="11:13" x14ac:dyDescent="0.2">
      <c r="K1319" t="s">
        <v>42</v>
      </c>
      <c r="L1319" t="s">
        <v>38</v>
      </c>
      <c r="M1319">
        <v>0</v>
      </c>
    </row>
    <row r="1320" spans="11:13" x14ac:dyDescent="0.2">
      <c r="K1320" t="s">
        <v>41</v>
      </c>
      <c r="L1320" t="s">
        <v>37</v>
      </c>
      <c r="M1320">
        <v>0</v>
      </c>
    </row>
    <row r="1321" spans="11:13" x14ac:dyDescent="0.2">
      <c r="K1321" t="s">
        <v>42</v>
      </c>
      <c r="L1321" t="s">
        <v>38</v>
      </c>
      <c r="M1321">
        <v>0</v>
      </c>
    </row>
    <row r="1322" spans="11:13" x14ac:dyDescent="0.2">
      <c r="K1322" t="s">
        <v>41</v>
      </c>
      <c r="L1322" t="s">
        <v>37</v>
      </c>
      <c r="M1322">
        <v>1</v>
      </c>
    </row>
    <row r="1323" spans="11:13" x14ac:dyDescent="0.2">
      <c r="K1323" t="s">
        <v>42</v>
      </c>
      <c r="L1323" t="s">
        <v>38</v>
      </c>
      <c r="M1323">
        <v>0</v>
      </c>
    </row>
    <row r="1324" spans="11:13" x14ac:dyDescent="0.2">
      <c r="K1324" t="s">
        <v>42</v>
      </c>
      <c r="L1324" t="s">
        <v>38</v>
      </c>
      <c r="M1324">
        <v>0</v>
      </c>
    </row>
    <row r="1325" spans="11:13" x14ac:dyDescent="0.2">
      <c r="K1325" t="s">
        <v>42</v>
      </c>
      <c r="L1325" t="s">
        <v>38</v>
      </c>
      <c r="M1325">
        <v>0</v>
      </c>
    </row>
    <row r="1326" spans="11:13" x14ac:dyDescent="0.2">
      <c r="K1326" t="s">
        <v>42</v>
      </c>
      <c r="L1326" t="s">
        <v>38</v>
      </c>
      <c r="M1326">
        <v>0</v>
      </c>
    </row>
    <row r="1327" spans="11:13" x14ac:dyDescent="0.2">
      <c r="K1327" t="s">
        <v>42</v>
      </c>
      <c r="L1327" t="s">
        <v>38</v>
      </c>
      <c r="M1327">
        <v>0</v>
      </c>
    </row>
    <row r="1328" spans="11:13" x14ac:dyDescent="0.2">
      <c r="K1328" t="s">
        <v>41</v>
      </c>
      <c r="L1328" t="s">
        <v>37</v>
      </c>
      <c r="M1328">
        <v>0</v>
      </c>
    </row>
    <row r="1329" spans="11:13" x14ac:dyDescent="0.2">
      <c r="K1329" t="s">
        <v>41</v>
      </c>
      <c r="L1329" t="s">
        <v>37</v>
      </c>
      <c r="M1329">
        <v>0</v>
      </c>
    </row>
    <row r="1330" spans="11:13" x14ac:dyDescent="0.2">
      <c r="K1330" t="s">
        <v>41</v>
      </c>
      <c r="L1330" t="s">
        <v>37</v>
      </c>
      <c r="M1330">
        <v>0</v>
      </c>
    </row>
    <row r="1331" spans="11:13" x14ac:dyDescent="0.2">
      <c r="K1331" t="s">
        <v>41</v>
      </c>
      <c r="L1331" t="s">
        <v>37</v>
      </c>
      <c r="M1331">
        <v>0</v>
      </c>
    </row>
    <row r="1332" spans="11:13" x14ac:dyDescent="0.2">
      <c r="K1332" t="s">
        <v>42</v>
      </c>
      <c r="L1332" t="s">
        <v>38</v>
      </c>
      <c r="M1332">
        <v>0</v>
      </c>
    </row>
    <row r="1333" spans="11:13" x14ac:dyDescent="0.2">
      <c r="K1333" t="s">
        <v>41</v>
      </c>
      <c r="L1333" t="s">
        <v>37</v>
      </c>
      <c r="M1333">
        <v>0</v>
      </c>
    </row>
    <row r="1334" spans="11:13" x14ac:dyDescent="0.2">
      <c r="K1334" t="s">
        <v>41</v>
      </c>
      <c r="L1334" t="s">
        <v>37</v>
      </c>
      <c r="M1334">
        <v>0</v>
      </c>
    </row>
    <row r="1335" spans="11:13" x14ac:dyDescent="0.2">
      <c r="K1335" t="s">
        <v>42</v>
      </c>
      <c r="L1335" t="s">
        <v>38</v>
      </c>
      <c r="M1335">
        <v>0</v>
      </c>
    </row>
    <row r="1336" spans="11:13" x14ac:dyDescent="0.2">
      <c r="K1336" t="s">
        <v>42</v>
      </c>
      <c r="L1336" t="s">
        <v>38</v>
      </c>
      <c r="M1336">
        <v>0</v>
      </c>
    </row>
    <row r="1337" spans="11:13" x14ac:dyDescent="0.2">
      <c r="K1337" t="s">
        <v>42</v>
      </c>
      <c r="L1337" t="s">
        <v>38</v>
      </c>
      <c r="M1337">
        <v>0</v>
      </c>
    </row>
    <row r="1338" spans="11:13" x14ac:dyDescent="0.2">
      <c r="K1338" t="s">
        <v>42</v>
      </c>
      <c r="L1338" t="s">
        <v>38</v>
      </c>
      <c r="M1338">
        <v>0</v>
      </c>
    </row>
    <row r="1339" spans="11:13" x14ac:dyDescent="0.2">
      <c r="K1339" t="s">
        <v>41</v>
      </c>
      <c r="L1339" t="s">
        <v>37</v>
      </c>
      <c r="M1339">
        <v>0</v>
      </c>
    </row>
    <row r="1340" spans="11:13" x14ac:dyDescent="0.2">
      <c r="K1340" t="s">
        <v>42</v>
      </c>
      <c r="L1340" t="s">
        <v>38</v>
      </c>
      <c r="M1340">
        <v>0</v>
      </c>
    </row>
    <row r="1341" spans="11:13" x14ac:dyDescent="0.2">
      <c r="K1341" t="s">
        <v>41</v>
      </c>
      <c r="L1341" t="s">
        <v>37</v>
      </c>
      <c r="M1341">
        <v>0</v>
      </c>
    </row>
    <row r="1342" spans="11:13" x14ac:dyDescent="0.2">
      <c r="K1342" t="s">
        <v>41</v>
      </c>
      <c r="L1342" t="s">
        <v>37</v>
      </c>
      <c r="M1342">
        <v>0</v>
      </c>
    </row>
    <row r="1343" spans="11:13" x14ac:dyDescent="0.2">
      <c r="K1343" t="s">
        <v>42</v>
      </c>
      <c r="L1343" t="s">
        <v>38</v>
      </c>
      <c r="M1343">
        <v>0</v>
      </c>
    </row>
    <row r="1344" spans="11:13" x14ac:dyDescent="0.2">
      <c r="K1344" t="s">
        <v>41</v>
      </c>
      <c r="L1344" t="s">
        <v>37</v>
      </c>
      <c r="M1344">
        <v>0</v>
      </c>
    </row>
    <row r="1345" spans="11:13" x14ac:dyDescent="0.2">
      <c r="K1345" t="s">
        <v>42</v>
      </c>
      <c r="L1345" t="s">
        <v>38</v>
      </c>
      <c r="M1345">
        <v>0</v>
      </c>
    </row>
    <row r="1346" spans="11:13" x14ac:dyDescent="0.2">
      <c r="K1346" t="s">
        <v>41</v>
      </c>
      <c r="L1346" t="s">
        <v>37</v>
      </c>
      <c r="M1346">
        <v>0</v>
      </c>
    </row>
    <row r="1347" spans="11:13" x14ac:dyDescent="0.2">
      <c r="K1347" t="s">
        <v>42</v>
      </c>
      <c r="L1347" t="s">
        <v>38</v>
      </c>
      <c r="M1347">
        <v>0</v>
      </c>
    </row>
    <row r="1348" spans="11:13" x14ac:dyDescent="0.2">
      <c r="K1348" t="s">
        <v>41</v>
      </c>
      <c r="L1348" t="s">
        <v>37</v>
      </c>
      <c r="M1348">
        <v>0</v>
      </c>
    </row>
    <row r="1349" spans="11:13" x14ac:dyDescent="0.2">
      <c r="K1349" t="s">
        <v>42</v>
      </c>
      <c r="L1349" t="s">
        <v>38</v>
      </c>
      <c r="M1349">
        <v>0</v>
      </c>
    </row>
    <row r="1350" spans="11:13" x14ac:dyDescent="0.2">
      <c r="K1350" t="s">
        <v>42</v>
      </c>
      <c r="L1350" t="s">
        <v>38</v>
      </c>
      <c r="M1350">
        <v>0</v>
      </c>
    </row>
    <row r="1351" spans="11:13" x14ac:dyDescent="0.2">
      <c r="K1351" t="s">
        <v>42</v>
      </c>
      <c r="L1351" t="s">
        <v>38</v>
      </c>
      <c r="M1351">
        <v>0</v>
      </c>
    </row>
    <row r="1352" spans="11:13" x14ac:dyDescent="0.2">
      <c r="K1352" t="s">
        <v>42</v>
      </c>
      <c r="L1352" t="s">
        <v>38</v>
      </c>
      <c r="M1352">
        <v>0</v>
      </c>
    </row>
    <row r="1353" spans="11:13" x14ac:dyDescent="0.2">
      <c r="K1353" t="s">
        <v>41</v>
      </c>
      <c r="L1353" t="s">
        <v>37</v>
      </c>
      <c r="M1353">
        <v>0</v>
      </c>
    </row>
    <row r="1354" spans="11:13" x14ac:dyDescent="0.2">
      <c r="K1354" t="s">
        <v>41</v>
      </c>
      <c r="L1354" t="s">
        <v>37</v>
      </c>
      <c r="M1354">
        <v>0</v>
      </c>
    </row>
    <row r="1355" spans="11:13" x14ac:dyDescent="0.2">
      <c r="K1355" t="s">
        <v>42</v>
      </c>
      <c r="L1355" t="s">
        <v>38</v>
      </c>
      <c r="M1355">
        <v>0</v>
      </c>
    </row>
    <row r="1356" spans="11:13" x14ac:dyDescent="0.2">
      <c r="K1356" t="s">
        <v>42</v>
      </c>
      <c r="L1356" t="s">
        <v>38</v>
      </c>
      <c r="M1356">
        <v>0</v>
      </c>
    </row>
    <row r="1357" spans="11:13" x14ac:dyDescent="0.2">
      <c r="K1357" t="s">
        <v>42</v>
      </c>
      <c r="L1357" t="s">
        <v>38</v>
      </c>
      <c r="M1357">
        <v>0</v>
      </c>
    </row>
    <row r="1358" spans="11:13" x14ac:dyDescent="0.2">
      <c r="K1358" t="s">
        <v>41</v>
      </c>
      <c r="L1358" t="s">
        <v>37</v>
      </c>
      <c r="M1358">
        <v>0</v>
      </c>
    </row>
    <row r="1359" spans="11:13" x14ac:dyDescent="0.2">
      <c r="K1359" t="s">
        <v>41</v>
      </c>
      <c r="L1359" t="s">
        <v>37</v>
      </c>
      <c r="M1359">
        <v>0</v>
      </c>
    </row>
    <row r="1360" spans="11:13" x14ac:dyDescent="0.2">
      <c r="K1360" t="s">
        <v>42</v>
      </c>
      <c r="L1360" t="s">
        <v>38</v>
      </c>
      <c r="M1360">
        <v>0</v>
      </c>
    </row>
    <row r="1361" spans="11:13" x14ac:dyDescent="0.2">
      <c r="K1361" t="s">
        <v>41</v>
      </c>
      <c r="L1361" t="s">
        <v>37</v>
      </c>
      <c r="M1361">
        <v>0</v>
      </c>
    </row>
    <row r="1362" spans="11:13" x14ac:dyDescent="0.2">
      <c r="K1362" t="s">
        <v>42</v>
      </c>
      <c r="L1362" t="s">
        <v>38</v>
      </c>
      <c r="M1362">
        <v>0</v>
      </c>
    </row>
    <row r="1363" spans="11:13" x14ac:dyDescent="0.2">
      <c r="K1363" t="s">
        <v>42</v>
      </c>
      <c r="L1363" t="s">
        <v>38</v>
      </c>
      <c r="M1363">
        <v>0</v>
      </c>
    </row>
    <row r="1364" spans="11:13" x14ac:dyDescent="0.2">
      <c r="K1364" t="s">
        <v>41</v>
      </c>
      <c r="L1364" t="s">
        <v>37</v>
      </c>
      <c r="M1364">
        <v>0</v>
      </c>
    </row>
    <row r="1365" spans="11:13" x14ac:dyDescent="0.2">
      <c r="K1365" t="s">
        <v>42</v>
      </c>
      <c r="L1365" t="s">
        <v>38</v>
      </c>
      <c r="M1365">
        <v>0</v>
      </c>
    </row>
    <row r="1366" spans="11:13" x14ac:dyDescent="0.2">
      <c r="K1366" t="s">
        <v>41</v>
      </c>
      <c r="L1366" t="s">
        <v>37</v>
      </c>
      <c r="M1366">
        <v>0</v>
      </c>
    </row>
    <row r="1367" spans="11:13" x14ac:dyDescent="0.2">
      <c r="K1367" t="s">
        <v>41</v>
      </c>
      <c r="L1367" t="s">
        <v>37</v>
      </c>
      <c r="M1367">
        <v>0</v>
      </c>
    </row>
    <row r="1368" spans="11:13" x14ac:dyDescent="0.2">
      <c r="K1368" t="s">
        <v>42</v>
      </c>
      <c r="L1368" t="s">
        <v>38</v>
      </c>
      <c r="M1368">
        <v>1</v>
      </c>
    </row>
    <row r="1369" spans="11:13" x14ac:dyDescent="0.2">
      <c r="K1369" t="s">
        <v>41</v>
      </c>
      <c r="L1369" t="s">
        <v>37</v>
      </c>
      <c r="M1369">
        <v>0</v>
      </c>
    </row>
    <row r="1370" spans="11:13" x14ac:dyDescent="0.2">
      <c r="K1370" t="s">
        <v>41</v>
      </c>
      <c r="L1370" t="s">
        <v>37</v>
      </c>
      <c r="M1370">
        <v>0</v>
      </c>
    </row>
    <row r="1371" spans="11:13" x14ac:dyDescent="0.2">
      <c r="K1371" t="s">
        <v>42</v>
      </c>
      <c r="L1371" t="s">
        <v>38</v>
      </c>
      <c r="M1371">
        <v>0</v>
      </c>
    </row>
    <row r="1372" spans="11:13" x14ac:dyDescent="0.2">
      <c r="K1372" t="s">
        <v>42</v>
      </c>
      <c r="L1372" t="s">
        <v>38</v>
      </c>
      <c r="M1372">
        <v>0</v>
      </c>
    </row>
    <row r="1373" spans="11:13" x14ac:dyDescent="0.2">
      <c r="K1373" t="s">
        <v>41</v>
      </c>
      <c r="L1373" t="s">
        <v>37</v>
      </c>
      <c r="M1373">
        <v>0</v>
      </c>
    </row>
    <row r="1374" spans="11:13" x14ac:dyDescent="0.2">
      <c r="K1374" t="s">
        <v>42</v>
      </c>
      <c r="L1374" t="s">
        <v>38</v>
      </c>
      <c r="M1374">
        <v>1</v>
      </c>
    </row>
    <row r="1375" spans="11:13" x14ac:dyDescent="0.2">
      <c r="K1375" t="s">
        <v>41</v>
      </c>
      <c r="L1375" t="s">
        <v>37</v>
      </c>
      <c r="M1375">
        <v>0</v>
      </c>
    </row>
    <row r="1376" spans="11:13" x14ac:dyDescent="0.2">
      <c r="K1376" t="s">
        <v>41</v>
      </c>
      <c r="L1376" t="s">
        <v>37</v>
      </c>
      <c r="M1376">
        <v>0</v>
      </c>
    </row>
    <row r="1377" spans="11:13" x14ac:dyDescent="0.2">
      <c r="K1377" t="s">
        <v>42</v>
      </c>
      <c r="L1377" t="s">
        <v>38</v>
      </c>
      <c r="M1377">
        <v>0</v>
      </c>
    </row>
    <row r="1378" spans="11:13" x14ac:dyDescent="0.2">
      <c r="K1378" t="s">
        <v>42</v>
      </c>
      <c r="L1378" t="s">
        <v>38</v>
      </c>
      <c r="M1378">
        <v>0</v>
      </c>
    </row>
    <row r="1379" spans="11:13" x14ac:dyDescent="0.2">
      <c r="K1379" t="s">
        <v>42</v>
      </c>
      <c r="L1379" t="s">
        <v>38</v>
      </c>
      <c r="M1379">
        <v>0</v>
      </c>
    </row>
    <row r="1380" spans="11:13" x14ac:dyDescent="0.2">
      <c r="K1380" t="s">
        <v>41</v>
      </c>
      <c r="L1380" t="s">
        <v>37</v>
      </c>
      <c r="M1380">
        <v>0</v>
      </c>
    </row>
    <row r="1381" spans="11:13" x14ac:dyDescent="0.2">
      <c r="K1381" t="s">
        <v>42</v>
      </c>
      <c r="L1381" t="s">
        <v>38</v>
      </c>
      <c r="M1381">
        <v>0</v>
      </c>
    </row>
    <row r="1382" spans="11:13" x14ac:dyDescent="0.2">
      <c r="K1382" t="s">
        <v>42</v>
      </c>
      <c r="L1382" t="s">
        <v>38</v>
      </c>
      <c r="M1382">
        <v>0</v>
      </c>
    </row>
    <row r="1383" spans="11:13" x14ac:dyDescent="0.2">
      <c r="K1383" t="s">
        <v>41</v>
      </c>
      <c r="L1383" t="s">
        <v>37</v>
      </c>
      <c r="M1383">
        <v>0</v>
      </c>
    </row>
    <row r="1384" spans="11:13" x14ac:dyDescent="0.2">
      <c r="K1384" t="s">
        <v>42</v>
      </c>
      <c r="L1384" t="s">
        <v>38</v>
      </c>
      <c r="M1384">
        <v>0</v>
      </c>
    </row>
    <row r="1385" spans="11:13" x14ac:dyDescent="0.2">
      <c r="K1385" t="s">
        <v>41</v>
      </c>
      <c r="L1385" t="s">
        <v>37</v>
      </c>
      <c r="M1385">
        <v>0</v>
      </c>
    </row>
    <row r="1386" spans="11:13" x14ac:dyDescent="0.2">
      <c r="K1386" t="s">
        <v>42</v>
      </c>
      <c r="L1386" t="s">
        <v>38</v>
      </c>
      <c r="M1386">
        <v>0</v>
      </c>
    </row>
    <row r="1387" spans="11:13" x14ac:dyDescent="0.2">
      <c r="K1387" t="s">
        <v>42</v>
      </c>
      <c r="L1387" t="s">
        <v>38</v>
      </c>
      <c r="M1387">
        <v>0</v>
      </c>
    </row>
    <row r="1388" spans="11:13" x14ac:dyDescent="0.2">
      <c r="K1388" t="s">
        <v>42</v>
      </c>
      <c r="L1388" t="s">
        <v>38</v>
      </c>
      <c r="M1388">
        <v>0</v>
      </c>
    </row>
    <row r="1389" spans="11:13" x14ac:dyDescent="0.2">
      <c r="K1389" t="s">
        <v>41</v>
      </c>
      <c r="L1389" t="s">
        <v>37</v>
      </c>
      <c r="M1389">
        <v>0</v>
      </c>
    </row>
    <row r="1390" spans="11:13" x14ac:dyDescent="0.2">
      <c r="K1390" t="s">
        <v>42</v>
      </c>
      <c r="L1390" t="s">
        <v>38</v>
      </c>
      <c r="M1390">
        <v>0</v>
      </c>
    </row>
    <row r="1391" spans="11:13" x14ac:dyDescent="0.2">
      <c r="K1391" t="s">
        <v>41</v>
      </c>
      <c r="L1391" t="s">
        <v>37</v>
      </c>
      <c r="M1391">
        <v>0</v>
      </c>
    </row>
    <row r="1392" spans="11:13" x14ac:dyDescent="0.2">
      <c r="K1392" t="s">
        <v>41</v>
      </c>
      <c r="L1392" t="s">
        <v>37</v>
      </c>
      <c r="M1392">
        <v>0</v>
      </c>
    </row>
    <row r="1393" spans="11:13" x14ac:dyDescent="0.2">
      <c r="K1393" t="s">
        <v>42</v>
      </c>
      <c r="L1393" t="s">
        <v>38</v>
      </c>
      <c r="M1393">
        <v>0</v>
      </c>
    </row>
    <row r="1394" spans="11:13" x14ac:dyDescent="0.2">
      <c r="K1394" t="s">
        <v>41</v>
      </c>
      <c r="L1394" t="s">
        <v>37</v>
      </c>
      <c r="M1394">
        <v>0</v>
      </c>
    </row>
    <row r="1395" spans="11:13" x14ac:dyDescent="0.2">
      <c r="K1395" t="s">
        <v>42</v>
      </c>
      <c r="L1395" t="s">
        <v>38</v>
      </c>
      <c r="M1395">
        <v>0</v>
      </c>
    </row>
    <row r="1396" spans="11:13" x14ac:dyDescent="0.2">
      <c r="K1396" t="s">
        <v>41</v>
      </c>
      <c r="L1396" t="s">
        <v>37</v>
      </c>
      <c r="M1396">
        <v>0</v>
      </c>
    </row>
    <row r="1397" spans="11:13" x14ac:dyDescent="0.2">
      <c r="K1397" t="s">
        <v>41</v>
      </c>
      <c r="L1397" t="s">
        <v>37</v>
      </c>
      <c r="M1397">
        <v>0</v>
      </c>
    </row>
    <row r="1398" spans="11:13" x14ac:dyDescent="0.2">
      <c r="K1398" t="s">
        <v>42</v>
      </c>
      <c r="L1398" t="s">
        <v>38</v>
      </c>
      <c r="M1398">
        <v>0</v>
      </c>
    </row>
    <row r="1399" spans="11:13" x14ac:dyDescent="0.2">
      <c r="K1399" t="s">
        <v>42</v>
      </c>
      <c r="L1399" t="s">
        <v>38</v>
      </c>
      <c r="M1399">
        <v>0</v>
      </c>
    </row>
    <row r="1400" spans="11:13" x14ac:dyDescent="0.2">
      <c r="K1400" t="s">
        <v>42</v>
      </c>
      <c r="L1400" t="s">
        <v>38</v>
      </c>
      <c r="M1400">
        <v>0</v>
      </c>
    </row>
    <row r="1401" spans="11:13" x14ac:dyDescent="0.2">
      <c r="K1401" t="s">
        <v>41</v>
      </c>
      <c r="L1401" t="s">
        <v>37</v>
      </c>
      <c r="M1401">
        <v>0</v>
      </c>
    </row>
    <row r="1402" spans="11:13" x14ac:dyDescent="0.2">
      <c r="K1402" t="s">
        <v>42</v>
      </c>
      <c r="L1402" t="s">
        <v>38</v>
      </c>
      <c r="M1402">
        <v>0</v>
      </c>
    </row>
    <row r="1403" spans="11:13" x14ac:dyDescent="0.2">
      <c r="K1403" t="s">
        <v>42</v>
      </c>
      <c r="L1403" t="s">
        <v>38</v>
      </c>
      <c r="M1403">
        <v>0</v>
      </c>
    </row>
    <row r="1404" spans="11:13" x14ac:dyDescent="0.2">
      <c r="K1404" t="s">
        <v>42</v>
      </c>
      <c r="L1404" t="s">
        <v>38</v>
      </c>
      <c r="M1404">
        <v>1</v>
      </c>
    </row>
    <row r="1405" spans="11:13" x14ac:dyDescent="0.2">
      <c r="K1405" t="s">
        <v>42</v>
      </c>
      <c r="L1405" t="s">
        <v>38</v>
      </c>
      <c r="M1405">
        <v>0</v>
      </c>
    </row>
    <row r="1406" spans="11:13" x14ac:dyDescent="0.2">
      <c r="K1406" t="s">
        <v>41</v>
      </c>
      <c r="L1406" t="s">
        <v>37</v>
      </c>
      <c r="M1406">
        <v>0</v>
      </c>
    </row>
    <row r="1407" spans="11:13" x14ac:dyDescent="0.2">
      <c r="K1407" t="s">
        <v>42</v>
      </c>
      <c r="L1407" t="s">
        <v>38</v>
      </c>
      <c r="M1407">
        <v>0</v>
      </c>
    </row>
    <row r="1408" spans="11:13" x14ac:dyDescent="0.2">
      <c r="K1408" t="s">
        <v>41</v>
      </c>
      <c r="L1408" t="s">
        <v>37</v>
      </c>
      <c r="M1408">
        <v>0</v>
      </c>
    </row>
    <row r="1409" spans="11:13" x14ac:dyDescent="0.2">
      <c r="K1409" t="s">
        <v>41</v>
      </c>
      <c r="L1409" t="s">
        <v>37</v>
      </c>
      <c r="M1409">
        <v>0</v>
      </c>
    </row>
    <row r="1410" spans="11:13" x14ac:dyDescent="0.2">
      <c r="K1410" t="s">
        <v>42</v>
      </c>
      <c r="L1410" t="s">
        <v>38</v>
      </c>
      <c r="M1410">
        <v>0</v>
      </c>
    </row>
    <row r="1411" spans="11:13" x14ac:dyDescent="0.2">
      <c r="K1411" t="s">
        <v>41</v>
      </c>
      <c r="L1411" t="s">
        <v>37</v>
      </c>
      <c r="M1411">
        <v>0</v>
      </c>
    </row>
    <row r="1412" spans="11:13" x14ac:dyDescent="0.2">
      <c r="K1412" t="s">
        <v>42</v>
      </c>
      <c r="L1412" t="s">
        <v>38</v>
      </c>
      <c r="M1412">
        <v>0</v>
      </c>
    </row>
    <row r="1413" spans="11:13" x14ac:dyDescent="0.2">
      <c r="K1413" t="s">
        <v>42</v>
      </c>
      <c r="L1413" t="s">
        <v>38</v>
      </c>
      <c r="M1413">
        <v>0</v>
      </c>
    </row>
    <row r="1414" spans="11:13" x14ac:dyDescent="0.2">
      <c r="K1414" t="s">
        <v>41</v>
      </c>
      <c r="L1414" t="s">
        <v>37</v>
      </c>
      <c r="M1414">
        <v>0</v>
      </c>
    </row>
    <row r="1415" spans="11:13" x14ac:dyDescent="0.2">
      <c r="K1415" t="s">
        <v>42</v>
      </c>
      <c r="L1415" t="s">
        <v>38</v>
      </c>
      <c r="M1415">
        <v>0</v>
      </c>
    </row>
    <row r="1416" spans="11:13" x14ac:dyDescent="0.2">
      <c r="K1416" t="s">
        <v>41</v>
      </c>
      <c r="L1416" t="s">
        <v>37</v>
      </c>
      <c r="M1416">
        <v>0</v>
      </c>
    </row>
    <row r="1417" spans="11:13" x14ac:dyDescent="0.2">
      <c r="K1417" t="s">
        <v>41</v>
      </c>
      <c r="L1417" t="s">
        <v>37</v>
      </c>
      <c r="M1417">
        <v>0</v>
      </c>
    </row>
    <row r="1418" spans="11:13" x14ac:dyDescent="0.2">
      <c r="K1418" t="s">
        <v>41</v>
      </c>
      <c r="L1418" t="s">
        <v>37</v>
      </c>
      <c r="M1418">
        <v>0</v>
      </c>
    </row>
    <row r="1419" spans="11:13" x14ac:dyDescent="0.2">
      <c r="K1419" t="s">
        <v>42</v>
      </c>
      <c r="L1419" t="s">
        <v>38</v>
      </c>
      <c r="M1419">
        <v>0</v>
      </c>
    </row>
    <row r="1420" spans="11:13" x14ac:dyDescent="0.2">
      <c r="K1420" t="s">
        <v>41</v>
      </c>
      <c r="L1420" t="s">
        <v>37</v>
      </c>
      <c r="M1420">
        <v>0</v>
      </c>
    </row>
    <row r="1421" spans="11:13" x14ac:dyDescent="0.2">
      <c r="K1421" t="s">
        <v>41</v>
      </c>
      <c r="L1421" t="s">
        <v>37</v>
      </c>
      <c r="M1421">
        <v>1</v>
      </c>
    </row>
    <row r="1422" spans="11:13" x14ac:dyDescent="0.2">
      <c r="K1422" t="s">
        <v>42</v>
      </c>
      <c r="L1422" t="s">
        <v>38</v>
      </c>
      <c r="M1422">
        <v>0</v>
      </c>
    </row>
    <row r="1423" spans="11:13" x14ac:dyDescent="0.2">
      <c r="K1423" t="s">
        <v>41</v>
      </c>
      <c r="L1423" t="s">
        <v>37</v>
      </c>
      <c r="M1423">
        <v>0</v>
      </c>
    </row>
    <row r="1424" spans="11:13" x14ac:dyDescent="0.2">
      <c r="K1424" t="s">
        <v>41</v>
      </c>
      <c r="L1424" t="s">
        <v>37</v>
      </c>
      <c r="M1424">
        <v>0</v>
      </c>
    </row>
    <row r="1425" spans="11:13" x14ac:dyDescent="0.2">
      <c r="K1425" t="s">
        <v>41</v>
      </c>
      <c r="L1425" t="s">
        <v>37</v>
      </c>
      <c r="M1425">
        <v>0</v>
      </c>
    </row>
    <row r="1426" spans="11:13" x14ac:dyDescent="0.2">
      <c r="K1426" t="s">
        <v>42</v>
      </c>
      <c r="L1426" t="s">
        <v>38</v>
      </c>
      <c r="M1426">
        <v>0</v>
      </c>
    </row>
    <row r="1427" spans="11:13" x14ac:dyDescent="0.2">
      <c r="K1427" t="s">
        <v>42</v>
      </c>
      <c r="L1427" t="s">
        <v>38</v>
      </c>
      <c r="M1427">
        <v>0</v>
      </c>
    </row>
    <row r="1428" spans="11:13" x14ac:dyDescent="0.2">
      <c r="K1428" t="s">
        <v>41</v>
      </c>
      <c r="L1428" t="s">
        <v>37</v>
      </c>
      <c r="M1428">
        <v>0</v>
      </c>
    </row>
    <row r="1429" spans="11:13" x14ac:dyDescent="0.2">
      <c r="K1429" t="s">
        <v>42</v>
      </c>
      <c r="L1429" t="s">
        <v>38</v>
      </c>
      <c r="M1429">
        <v>0</v>
      </c>
    </row>
    <row r="1430" spans="11:13" x14ac:dyDescent="0.2">
      <c r="K1430" t="s">
        <v>42</v>
      </c>
      <c r="L1430" t="s">
        <v>38</v>
      </c>
      <c r="M1430">
        <v>0</v>
      </c>
    </row>
    <row r="1431" spans="11:13" x14ac:dyDescent="0.2">
      <c r="K1431" t="s">
        <v>42</v>
      </c>
      <c r="L1431" t="s">
        <v>38</v>
      </c>
      <c r="M1431">
        <v>0</v>
      </c>
    </row>
    <row r="1432" spans="11:13" x14ac:dyDescent="0.2">
      <c r="K1432" t="s">
        <v>42</v>
      </c>
      <c r="L1432" t="s">
        <v>38</v>
      </c>
      <c r="M1432">
        <v>0</v>
      </c>
    </row>
    <row r="1433" spans="11:13" x14ac:dyDescent="0.2">
      <c r="K1433" t="s">
        <v>42</v>
      </c>
      <c r="L1433" t="s">
        <v>38</v>
      </c>
      <c r="M1433">
        <v>0</v>
      </c>
    </row>
    <row r="1434" spans="11:13" x14ac:dyDescent="0.2">
      <c r="K1434" t="s">
        <v>41</v>
      </c>
      <c r="L1434" t="s">
        <v>37</v>
      </c>
      <c r="M1434">
        <v>0</v>
      </c>
    </row>
    <row r="1435" spans="11:13" x14ac:dyDescent="0.2">
      <c r="K1435" t="s">
        <v>42</v>
      </c>
      <c r="L1435" t="s">
        <v>38</v>
      </c>
      <c r="M1435">
        <v>0</v>
      </c>
    </row>
    <row r="1436" spans="11:13" x14ac:dyDescent="0.2">
      <c r="K1436" t="s">
        <v>42</v>
      </c>
      <c r="L1436" t="s">
        <v>38</v>
      </c>
      <c r="M1436">
        <v>0</v>
      </c>
    </row>
    <row r="1437" spans="11:13" x14ac:dyDescent="0.2">
      <c r="K1437" t="s">
        <v>41</v>
      </c>
      <c r="L1437" t="s">
        <v>37</v>
      </c>
      <c r="M1437">
        <v>0</v>
      </c>
    </row>
    <row r="1438" spans="11:13" x14ac:dyDescent="0.2">
      <c r="K1438" t="s">
        <v>42</v>
      </c>
      <c r="L1438" t="s">
        <v>38</v>
      </c>
      <c r="M1438">
        <v>0</v>
      </c>
    </row>
    <row r="1439" spans="11:13" x14ac:dyDescent="0.2">
      <c r="K1439" t="s">
        <v>42</v>
      </c>
      <c r="L1439" t="s">
        <v>38</v>
      </c>
      <c r="M1439">
        <v>0</v>
      </c>
    </row>
    <row r="1440" spans="11:13" x14ac:dyDescent="0.2">
      <c r="K1440" t="s">
        <v>42</v>
      </c>
      <c r="L1440" t="s">
        <v>38</v>
      </c>
      <c r="M1440">
        <v>0</v>
      </c>
    </row>
    <row r="1441" spans="11:13" x14ac:dyDescent="0.2">
      <c r="K1441" t="s">
        <v>42</v>
      </c>
      <c r="L1441" t="s">
        <v>38</v>
      </c>
      <c r="M1441">
        <v>0</v>
      </c>
    </row>
    <row r="1442" spans="11:13" x14ac:dyDescent="0.2">
      <c r="K1442" t="s">
        <v>41</v>
      </c>
      <c r="L1442" t="s">
        <v>37</v>
      </c>
      <c r="M1442">
        <v>0</v>
      </c>
    </row>
    <row r="1443" spans="11:13" x14ac:dyDescent="0.2">
      <c r="K1443" t="s">
        <v>42</v>
      </c>
      <c r="L1443" t="s">
        <v>38</v>
      </c>
      <c r="M1443">
        <v>0</v>
      </c>
    </row>
    <row r="1444" spans="11:13" x14ac:dyDescent="0.2">
      <c r="K1444" t="s">
        <v>42</v>
      </c>
      <c r="L1444" t="s">
        <v>38</v>
      </c>
      <c r="M1444">
        <v>0</v>
      </c>
    </row>
    <row r="1445" spans="11:13" x14ac:dyDescent="0.2">
      <c r="K1445" t="s">
        <v>41</v>
      </c>
      <c r="L1445" t="s">
        <v>37</v>
      </c>
      <c r="M1445">
        <v>0</v>
      </c>
    </row>
    <row r="1446" spans="11:13" x14ac:dyDescent="0.2">
      <c r="K1446" t="s">
        <v>41</v>
      </c>
      <c r="L1446" t="s">
        <v>37</v>
      </c>
      <c r="M1446">
        <v>0</v>
      </c>
    </row>
    <row r="1447" spans="11:13" x14ac:dyDescent="0.2">
      <c r="K1447" t="s">
        <v>42</v>
      </c>
      <c r="L1447" t="s">
        <v>38</v>
      </c>
      <c r="M1447">
        <v>0</v>
      </c>
    </row>
    <row r="1448" spans="11:13" x14ac:dyDescent="0.2">
      <c r="K1448" t="s">
        <v>42</v>
      </c>
      <c r="L1448" t="s">
        <v>38</v>
      </c>
      <c r="M1448">
        <v>0</v>
      </c>
    </row>
    <row r="1449" spans="11:13" x14ac:dyDescent="0.2">
      <c r="K1449" t="s">
        <v>42</v>
      </c>
      <c r="L1449" t="s">
        <v>38</v>
      </c>
      <c r="M1449">
        <v>0</v>
      </c>
    </row>
    <row r="1450" spans="11:13" x14ac:dyDescent="0.2">
      <c r="K1450" t="s">
        <v>41</v>
      </c>
      <c r="L1450" t="s">
        <v>37</v>
      </c>
      <c r="M1450">
        <v>0</v>
      </c>
    </row>
    <row r="1451" spans="11:13" x14ac:dyDescent="0.2">
      <c r="K1451" t="s">
        <v>41</v>
      </c>
      <c r="L1451" t="s">
        <v>37</v>
      </c>
      <c r="M1451">
        <v>0</v>
      </c>
    </row>
    <row r="1452" spans="11:13" x14ac:dyDescent="0.2">
      <c r="K1452" t="s">
        <v>41</v>
      </c>
      <c r="L1452" t="s">
        <v>37</v>
      </c>
      <c r="M1452">
        <v>0</v>
      </c>
    </row>
    <row r="1453" spans="11:13" x14ac:dyDescent="0.2">
      <c r="K1453" t="s">
        <v>42</v>
      </c>
      <c r="L1453" t="s">
        <v>38</v>
      </c>
      <c r="M1453">
        <v>0</v>
      </c>
    </row>
    <row r="1454" spans="11:13" x14ac:dyDescent="0.2">
      <c r="K1454" t="s">
        <v>42</v>
      </c>
      <c r="L1454" t="s">
        <v>38</v>
      </c>
      <c r="M1454">
        <v>0</v>
      </c>
    </row>
    <row r="1455" spans="11:13" x14ac:dyDescent="0.2">
      <c r="K1455" t="s">
        <v>42</v>
      </c>
      <c r="L1455" t="s">
        <v>38</v>
      </c>
      <c r="M1455">
        <v>0</v>
      </c>
    </row>
    <row r="1456" spans="11:13" x14ac:dyDescent="0.2">
      <c r="K1456" t="s">
        <v>41</v>
      </c>
      <c r="L1456" t="s">
        <v>37</v>
      </c>
      <c r="M1456">
        <v>0</v>
      </c>
    </row>
    <row r="1457" spans="11:13" x14ac:dyDescent="0.2">
      <c r="K1457" t="s">
        <v>41</v>
      </c>
      <c r="L1457" t="s">
        <v>37</v>
      </c>
      <c r="M1457">
        <v>0</v>
      </c>
    </row>
    <row r="1458" spans="11:13" x14ac:dyDescent="0.2">
      <c r="K1458" t="s">
        <v>41</v>
      </c>
      <c r="L1458" t="s">
        <v>37</v>
      </c>
      <c r="M1458">
        <v>0</v>
      </c>
    </row>
    <row r="1459" spans="11:13" x14ac:dyDescent="0.2">
      <c r="K1459" t="s">
        <v>42</v>
      </c>
      <c r="L1459" t="s">
        <v>38</v>
      </c>
      <c r="M1459">
        <v>0</v>
      </c>
    </row>
    <row r="1460" spans="11:13" x14ac:dyDescent="0.2">
      <c r="K1460" t="s">
        <v>42</v>
      </c>
      <c r="L1460" t="s">
        <v>38</v>
      </c>
      <c r="M1460">
        <v>0</v>
      </c>
    </row>
    <row r="1461" spans="11:13" x14ac:dyDescent="0.2">
      <c r="K1461" t="s">
        <v>41</v>
      </c>
      <c r="L1461" t="s">
        <v>37</v>
      </c>
      <c r="M1461">
        <v>0</v>
      </c>
    </row>
    <row r="1462" spans="11:13" x14ac:dyDescent="0.2">
      <c r="K1462" t="s">
        <v>41</v>
      </c>
      <c r="L1462" t="s">
        <v>37</v>
      </c>
      <c r="M1462">
        <v>0</v>
      </c>
    </row>
    <row r="1463" spans="11:13" x14ac:dyDescent="0.2">
      <c r="K1463" t="s">
        <v>42</v>
      </c>
      <c r="L1463" t="s">
        <v>38</v>
      </c>
      <c r="M1463">
        <v>0</v>
      </c>
    </row>
    <row r="1464" spans="11:13" x14ac:dyDescent="0.2">
      <c r="K1464" t="s">
        <v>41</v>
      </c>
      <c r="L1464" t="s">
        <v>37</v>
      </c>
      <c r="M1464">
        <v>0</v>
      </c>
    </row>
    <row r="1465" spans="11:13" x14ac:dyDescent="0.2">
      <c r="K1465" t="s">
        <v>41</v>
      </c>
      <c r="L1465" t="s">
        <v>37</v>
      </c>
      <c r="M1465">
        <v>0</v>
      </c>
    </row>
    <row r="1466" spans="11:13" x14ac:dyDescent="0.2">
      <c r="K1466" t="s">
        <v>41</v>
      </c>
      <c r="L1466" t="s">
        <v>37</v>
      </c>
      <c r="M1466">
        <v>0</v>
      </c>
    </row>
    <row r="1467" spans="11:13" x14ac:dyDescent="0.2">
      <c r="K1467" t="s">
        <v>41</v>
      </c>
      <c r="L1467" t="s">
        <v>37</v>
      </c>
      <c r="M1467">
        <v>0</v>
      </c>
    </row>
    <row r="1468" spans="11:13" x14ac:dyDescent="0.2">
      <c r="K1468" t="s">
        <v>42</v>
      </c>
      <c r="L1468" t="s">
        <v>38</v>
      </c>
      <c r="M1468">
        <v>0</v>
      </c>
    </row>
    <row r="1469" spans="11:13" x14ac:dyDescent="0.2">
      <c r="K1469" t="s">
        <v>41</v>
      </c>
      <c r="L1469" t="s">
        <v>37</v>
      </c>
      <c r="M1469">
        <v>1</v>
      </c>
    </row>
    <row r="1470" spans="11:13" x14ac:dyDescent="0.2">
      <c r="K1470" t="s">
        <v>41</v>
      </c>
      <c r="L1470" t="s">
        <v>37</v>
      </c>
      <c r="M1470">
        <v>0</v>
      </c>
    </row>
    <row r="1471" spans="11:13" x14ac:dyDescent="0.2">
      <c r="K1471" t="s">
        <v>42</v>
      </c>
      <c r="L1471" t="s">
        <v>38</v>
      </c>
      <c r="M1471">
        <v>0</v>
      </c>
    </row>
    <row r="1472" spans="11:13" x14ac:dyDescent="0.2">
      <c r="K1472" t="s">
        <v>41</v>
      </c>
      <c r="L1472" t="s">
        <v>37</v>
      </c>
      <c r="M1472">
        <v>0</v>
      </c>
    </row>
    <row r="1473" spans="11:13" x14ac:dyDescent="0.2">
      <c r="K1473" t="s">
        <v>41</v>
      </c>
      <c r="L1473" t="s">
        <v>37</v>
      </c>
      <c r="M1473">
        <v>0</v>
      </c>
    </row>
    <row r="1474" spans="11:13" x14ac:dyDescent="0.2">
      <c r="K1474" t="s">
        <v>42</v>
      </c>
      <c r="L1474" t="s">
        <v>38</v>
      </c>
      <c r="M1474">
        <v>0</v>
      </c>
    </row>
    <row r="1475" spans="11:13" x14ac:dyDescent="0.2">
      <c r="K1475" t="s">
        <v>41</v>
      </c>
      <c r="L1475" t="s">
        <v>37</v>
      </c>
      <c r="M1475">
        <v>0</v>
      </c>
    </row>
    <row r="1476" spans="11:13" x14ac:dyDescent="0.2">
      <c r="K1476" t="s">
        <v>42</v>
      </c>
      <c r="L1476" t="s">
        <v>38</v>
      </c>
      <c r="M1476">
        <v>0</v>
      </c>
    </row>
    <row r="1477" spans="11:13" x14ac:dyDescent="0.2">
      <c r="K1477" t="s">
        <v>41</v>
      </c>
      <c r="L1477" t="s">
        <v>37</v>
      </c>
      <c r="M1477">
        <v>0</v>
      </c>
    </row>
    <row r="1478" spans="11:13" x14ac:dyDescent="0.2">
      <c r="K1478" t="s">
        <v>41</v>
      </c>
      <c r="L1478" t="s">
        <v>37</v>
      </c>
      <c r="M1478">
        <v>0</v>
      </c>
    </row>
    <row r="1479" spans="11:13" x14ac:dyDescent="0.2">
      <c r="K1479" t="s">
        <v>42</v>
      </c>
      <c r="L1479" t="s">
        <v>38</v>
      </c>
      <c r="M1479">
        <v>0</v>
      </c>
    </row>
    <row r="1480" spans="11:13" x14ac:dyDescent="0.2">
      <c r="K1480" t="s">
        <v>41</v>
      </c>
      <c r="L1480" t="s">
        <v>37</v>
      </c>
      <c r="M1480">
        <v>0</v>
      </c>
    </row>
    <row r="1481" spans="11:13" x14ac:dyDescent="0.2">
      <c r="K1481" t="s">
        <v>42</v>
      </c>
      <c r="L1481" t="s">
        <v>38</v>
      </c>
      <c r="M1481">
        <v>0</v>
      </c>
    </row>
    <row r="1482" spans="11:13" x14ac:dyDescent="0.2">
      <c r="K1482" t="s">
        <v>42</v>
      </c>
      <c r="L1482" t="s">
        <v>38</v>
      </c>
      <c r="M1482">
        <v>0</v>
      </c>
    </row>
    <row r="1483" spans="11:13" x14ac:dyDescent="0.2">
      <c r="K1483" t="s">
        <v>41</v>
      </c>
      <c r="L1483" t="s">
        <v>37</v>
      </c>
      <c r="M1483">
        <v>0</v>
      </c>
    </row>
    <row r="1484" spans="11:13" x14ac:dyDescent="0.2">
      <c r="K1484" t="s">
        <v>41</v>
      </c>
      <c r="L1484" t="s">
        <v>37</v>
      </c>
      <c r="M1484">
        <v>0</v>
      </c>
    </row>
    <row r="1485" spans="11:13" x14ac:dyDescent="0.2">
      <c r="K1485" t="s">
        <v>42</v>
      </c>
      <c r="L1485" t="s">
        <v>38</v>
      </c>
      <c r="M1485">
        <v>0</v>
      </c>
    </row>
    <row r="1486" spans="11:13" x14ac:dyDescent="0.2">
      <c r="K1486" t="s">
        <v>42</v>
      </c>
      <c r="L1486" t="s">
        <v>38</v>
      </c>
      <c r="M1486">
        <v>1</v>
      </c>
    </row>
    <row r="1487" spans="11:13" x14ac:dyDescent="0.2">
      <c r="K1487" t="s">
        <v>42</v>
      </c>
      <c r="L1487" t="s">
        <v>38</v>
      </c>
      <c r="M1487">
        <v>0</v>
      </c>
    </row>
    <row r="1488" spans="11:13" x14ac:dyDescent="0.2">
      <c r="K1488" t="s">
        <v>41</v>
      </c>
      <c r="L1488" t="s">
        <v>37</v>
      </c>
      <c r="M1488">
        <v>0</v>
      </c>
    </row>
    <row r="1489" spans="11:13" x14ac:dyDescent="0.2">
      <c r="K1489" t="s">
        <v>42</v>
      </c>
      <c r="L1489" t="s">
        <v>38</v>
      </c>
      <c r="M1489">
        <v>0</v>
      </c>
    </row>
    <row r="1490" spans="11:13" x14ac:dyDescent="0.2">
      <c r="K1490" t="s">
        <v>41</v>
      </c>
      <c r="L1490" t="s">
        <v>37</v>
      </c>
      <c r="M1490">
        <v>0</v>
      </c>
    </row>
    <row r="1491" spans="11:13" x14ac:dyDescent="0.2">
      <c r="K1491" t="s">
        <v>41</v>
      </c>
      <c r="L1491" t="s">
        <v>37</v>
      </c>
      <c r="M1491">
        <v>0</v>
      </c>
    </row>
    <row r="1492" spans="11:13" x14ac:dyDescent="0.2">
      <c r="K1492" t="s">
        <v>42</v>
      </c>
      <c r="L1492" t="s">
        <v>38</v>
      </c>
      <c r="M1492">
        <v>0</v>
      </c>
    </row>
    <row r="1493" spans="11:13" x14ac:dyDescent="0.2">
      <c r="K1493" t="s">
        <v>42</v>
      </c>
      <c r="L1493" t="s">
        <v>38</v>
      </c>
      <c r="M1493">
        <v>0</v>
      </c>
    </row>
    <row r="1494" spans="11:13" x14ac:dyDescent="0.2">
      <c r="K1494" t="s">
        <v>41</v>
      </c>
      <c r="L1494" t="s">
        <v>37</v>
      </c>
      <c r="M1494">
        <v>0</v>
      </c>
    </row>
    <row r="1495" spans="11:13" x14ac:dyDescent="0.2">
      <c r="K1495" t="s">
        <v>41</v>
      </c>
      <c r="L1495" t="s">
        <v>37</v>
      </c>
      <c r="M1495">
        <v>0</v>
      </c>
    </row>
    <row r="1496" spans="11:13" x14ac:dyDescent="0.2">
      <c r="K1496" t="s">
        <v>42</v>
      </c>
      <c r="L1496" t="s">
        <v>38</v>
      </c>
      <c r="M1496">
        <v>0</v>
      </c>
    </row>
    <row r="1497" spans="11:13" x14ac:dyDescent="0.2">
      <c r="K1497" t="s">
        <v>42</v>
      </c>
      <c r="L1497" t="s">
        <v>38</v>
      </c>
      <c r="M1497">
        <v>0</v>
      </c>
    </row>
    <row r="1498" spans="11:13" x14ac:dyDescent="0.2">
      <c r="K1498" t="s">
        <v>42</v>
      </c>
      <c r="L1498" t="s">
        <v>38</v>
      </c>
      <c r="M1498">
        <v>0</v>
      </c>
    </row>
    <row r="1499" spans="11:13" x14ac:dyDescent="0.2">
      <c r="K1499" t="s">
        <v>42</v>
      </c>
      <c r="L1499" t="s">
        <v>38</v>
      </c>
      <c r="M1499">
        <v>0</v>
      </c>
    </row>
    <row r="1500" spans="11:13" x14ac:dyDescent="0.2">
      <c r="K1500" t="s">
        <v>41</v>
      </c>
      <c r="L1500" t="s">
        <v>37</v>
      </c>
      <c r="M1500">
        <v>0</v>
      </c>
    </row>
    <row r="1501" spans="11:13" x14ac:dyDescent="0.2">
      <c r="K1501" t="s">
        <v>42</v>
      </c>
      <c r="L1501" t="s">
        <v>38</v>
      </c>
      <c r="M1501">
        <v>0</v>
      </c>
    </row>
    <row r="1502" spans="11:13" x14ac:dyDescent="0.2">
      <c r="K1502" t="s">
        <v>41</v>
      </c>
      <c r="L1502" t="s">
        <v>37</v>
      </c>
      <c r="M1502">
        <v>0</v>
      </c>
    </row>
    <row r="1503" spans="11:13" x14ac:dyDescent="0.2">
      <c r="K1503" t="s">
        <v>42</v>
      </c>
      <c r="L1503" t="s">
        <v>38</v>
      </c>
      <c r="M1503">
        <v>0</v>
      </c>
    </row>
    <row r="1504" spans="11:13" x14ac:dyDescent="0.2">
      <c r="K1504" t="s">
        <v>42</v>
      </c>
      <c r="L1504" t="s">
        <v>38</v>
      </c>
      <c r="M1504">
        <v>0</v>
      </c>
    </row>
    <row r="1505" spans="11:13" x14ac:dyDescent="0.2">
      <c r="K1505" t="s">
        <v>41</v>
      </c>
      <c r="L1505" t="s">
        <v>37</v>
      </c>
      <c r="M1505">
        <v>0</v>
      </c>
    </row>
    <row r="1506" spans="11:13" x14ac:dyDescent="0.2">
      <c r="K1506" t="s">
        <v>41</v>
      </c>
      <c r="L1506" t="s">
        <v>37</v>
      </c>
      <c r="M1506">
        <v>0</v>
      </c>
    </row>
    <row r="1507" spans="11:13" x14ac:dyDescent="0.2">
      <c r="K1507" t="s">
        <v>41</v>
      </c>
      <c r="L1507" t="s">
        <v>37</v>
      </c>
      <c r="M1507">
        <v>0</v>
      </c>
    </row>
    <row r="1508" spans="11:13" x14ac:dyDescent="0.2">
      <c r="K1508" t="s">
        <v>42</v>
      </c>
      <c r="L1508" t="s">
        <v>38</v>
      </c>
      <c r="M1508">
        <v>0</v>
      </c>
    </row>
    <row r="1509" spans="11:13" x14ac:dyDescent="0.2">
      <c r="K1509" t="s">
        <v>42</v>
      </c>
      <c r="L1509" t="s">
        <v>38</v>
      </c>
      <c r="M1509">
        <v>0</v>
      </c>
    </row>
    <row r="1510" spans="11:13" x14ac:dyDescent="0.2">
      <c r="K1510" t="s">
        <v>41</v>
      </c>
      <c r="L1510" t="s">
        <v>37</v>
      </c>
      <c r="M1510">
        <v>0</v>
      </c>
    </row>
    <row r="1511" spans="11:13" x14ac:dyDescent="0.2">
      <c r="K1511" t="s">
        <v>41</v>
      </c>
      <c r="L1511" t="s">
        <v>37</v>
      </c>
      <c r="M1511">
        <v>0</v>
      </c>
    </row>
    <row r="1512" spans="11:13" x14ac:dyDescent="0.2">
      <c r="K1512" t="s">
        <v>42</v>
      </c>
      <c r="L1512" t="s">
        <v>38</v>
      </c>
      <c r="M1512">
        <v>0</v>
      </c>
    </row>
    <row r="1513" spans="11:13" x14ac:dyDescent="0.2">
      <c r="K1513" t="s">
        <v>41</v>
      </c>
      <c r="L1513" t="s">
        <v>37</v>
      </c>
      <c r="M1513">
        <v>0</v>
      </c>
    </row>
    <row r="1514" spans="11:13" x14ac:dyDescent="0.2">
      <c r="K1514" t="s">
        <v>42</v>
      </c>
      <c r="L1514" t="s">
        <v>38</v>
      </c>
      <c r="M1514">
        <v>0</v>
      </c>
    </row>
    <row r="1515" spans="11:13" x14ac:dyDescent="0.2">
      <c r="K1515" t="s">
        <v>42</v>
      </c>
      <c r="L1515" t="s">
        <v>38</v>
      </c>
      <c r="M1515">
        <v>0</v>
      </c>
    </row>
    <row r="1516" spans="11:13" x14ac:dyDescent="0.2">
      <c r="K1516" t="s">
        <v>42</v>
      </c>
      <c r="L1516" t="s">
        <v>38</v>
      </c>
      <c r="M1516">
        <v>0</v>
      </c>
    </row>
    <row r="1517" spans="11:13" x14ac:dyDescent="0.2">
      <c r="K1517" t="s">
        <v>42</v>
      </c>
      <c r="L1517" t="s">
        <v>38</v>
      </c>
      <c r="M1517">
        <v>0</v>
      </c>
    </row>
    <row r="1518" spans="11:13" x14ac:dyDescent="0.2">
      <c r="K1518" t="s">
        <v>42</v>
      </c>
      <c r="L1518" t="s">
        <v>38</v>
      </c>
      <c r="M1518">
        <v>0</v>
      </c>
    </row>
    <row r="1519" spans="11:13" x14ac:dyDescent="0.2">
      <c r="K1519" t="s">
        <v>42</v>
      </c>
      <c r="L1519" t="s">
        <v>38</v>
      </c>
      <c r="M1519">
        <v>0</v>
      </c>
    </row>
    <row r="1520" spans="11:13" x14ac:dyDescent="0.2">
      <c r="K1520" t="s">
        <v>41</v>
      </c>
      <c r="L1520" t="s">
        <v>37</v>
      </c>
      <c r="M1520">
        <v>0</v>
      </c>
    </row>
    <row r="1521" spans="11:13" x14ac:dyDescent="0.2">
      <c r="K1521" t="s">
        <v>41</v>
      </c>
      <c r="L1521" t="s">
        <v>37</v>
      </c>
      <c r="M1521">
        <v>0</v>
      </c>
    </row>
    <row r="1522" spans="11:13" x14ac:dyDescent="0.2">
      <c r="K1522" t="s">
        <v>41</v>
      </c>
      <c r="L1522" t="s">
        <v>37</v>
      </c>
      <c r="M1522">
        <v>0</v>
      </c>
    </row>
    <row r="1523" spans="11:13" x14ac:dyDescent="0.2">
      <c r="K1523" t="s">
        <v>42</v>
      </c>
      <c r="L1523" t="s">
        <v>38</v>
      </c>
      <c r="M1523">
        <v>0</v>
      </c>
    </row>
    <row r="1524" spans="11:13" x14ac:dyDescent="0.2">
      <c r="K1524" t="s">
        <v>41</v>
      </c>
      <c r="L1524" t="s">
        <v>37</v>
      </c>
      <c r="M1524">
        <v>0</v>
      </c>
    </row>
    <row r="1525" spans="11:13" x14ac:dyDescent="0.2">
      <c r="K1525" t="s">
        <v>42</v>
      </c>
      <c r="L1525" t="s">
        <v>38</v>
      </c>
      <c r="M1525">
        <v>0</v>
      </c>
    </row>
    <row r="1526" spans="11:13" x14ac:dyDescent="0.2">
      <c r="K1526" t="s">
        <v>42</v>
      </c>
      <c r="L1526" t="s">
        <v>38</v>
      </c>
      <c r="M1526">
        <v>0</v>
      </c>
    </row>
    <row r="1527" spans="11:13" x14ac:dyDescent="0.2">
      <c r="K1527" t="s">
        <v>42</v>
      </c>
      <c r="L1527" t="s">
        <v>38</v>
      </c>
      <c r="M1527">
        <v>1</v>
      </c>
    </row>
    <row r="1528" spans="11:13" x14ac:dyDescent="0.2">
      <c r="K1528" t="s">
        <v>42</v>
      </c>
      <c r="L1528" t="s">
        <v>38</v>
      </c>
      <c r="M1528">
        <v>0</v>
      </c>
    </row>
    <row r="1529" spans="11:13" x14ac:dyDescent="0.2">
      <c r="K1529" t="s">
        <v>41</v>
      </c>
      <c r="L1529" t="s">
        <v>37</v>
      </c>
      <c r="M1529">
        <v>0</v>
      </c>
    </row>
    <row r="1530" spans="11:13" x14ac:dyDescent="0.2">
      <c r="K1530" t="s">
        <v>42</v>
      </c>
      <c r="L1530" t="s">
        <v>38</v>
      </c>
      <c r="M1530">
        <v>0</v>
      </c>
    </row>
    <row r="1531" spans="11:13" x14ac:dyDescent="0.2">
      <c r="K1531" t="s">
        <v>42</v>
      </c>
      <c r="L1531" t="s">
        <v>38</v>
      </c>
      <c r="M1531">
        <v>0</v>
      </c>
    </row>
    <row r="1532" spans="11:13" x14ac:dyDescent="0.2">
      <c r="K1532" t="s">
        <v>42</v>
      </c>
      <c r="L1532" t="s">
        <v>38</v>
      </c>
      <c r="M1532">
        <v>0</v>
      </c>
    </row>
    <row r="1533" spans="11:13" x14ac:dyDescent="0.2">
      <c r="K1533" t="s">
        <v>41</v>
      </c>
      <c r="L1533" t="s">
        <v>37</v>
      </c>
      <c r="M1533">
        <v>0</v>
      </c>
    </row>
    <row r="1534" spans="11:13" x14ac:dyDescent="0.2">
      <c r="K1534" t="s">
        <v>42</v>
      </c>
      <c r="L1534" t="s">
        <v>38</v>
      </c>
      <c r="M1534">
        <v>0</v>
      </c>
    </row>
    <row r="1535" spans="11:13" x14ac:dyDescent="0.2">
      <c r="K1535" t="s">
        <v>41</v>
      </c>
      <c r="L1535" t="s">
        <v>37</v>
      </c>
      <c r="M1535">
        <v>0</v>
      </c>
    </row>
    <row r="1536" spans="11:13" x14ac:dyDescent="0.2">
      <c r="K1536" t="s">
        <v>42</v>
      </c>
      <c r="L1536" t="s">
        <v>38</v>
      </c>
      <c r="M1536">
        <v>0</v>
      </c>
    </row>
    <row r="1537" spans="11:13" x14ac:dyDescent="0.2">
      <c r="K1537" t="s">
        <v>41</v>
      </c>
      <c r="L1537" t="s">
        <v>37</v>
      </c>
      <c r="M1537">
        <v>0</v>
      </c>
    </row>
    <row r="1538" spans="11:13" x14ac:dyDescent="0.2">
      <c r="K1538" t="s">
        <v>41</v>
      </c>
      <c r="L1538" t="s">
        <v>37</v>
      </c>
      <c r="M1538">
        <v>0</v>
      </c>
    </row>
    <row r="1539" spans="11:13" x14ac:dyDescent="0.2">
      <c r="K1539" t="s">
        <v>41</v>
      </c>
      <c r="L1539" t="s">
        <v>37</v>
      </c>
      <c r="M1539">
        <v>0</v>
      </c>
    </row>
    <row r="1540" spans="11:13" x14ac:dyDescent="0.2">
      <c r="K1540" t="s">
        <v>42</v>
      </c>
      <c r="L1540" t="s">
        <v>38</v>
      </c>
      <c r="M1540">
        <v>0</v>
      </c>
    </row>
    <row r="1541" spans="11:13" x14ac:dyDescent="0.2">
      <c r="K1541" t="s">
        <v>42</v>
      </c>
      <c r="L1541" t="s">
        <v>38</v>
      </c>
      <c r="M1541">
        <v>0</v>
      </c>
    </row>
    <row r="1542" spans="11:13" x14ac:dyDescent="0.2">
      <c r="K1542" t="s">
        <v>41</v>
      </c>
      <c r="L1542" t="s">
        <v>37</v>
      </c>
      <c r="M1542">
        <v>0</v>
      </c>
    </row>
    <row r="1543" spans="11:13" x14ac:dyDescent="0.2">
      <c r="K1543" t="s">
        <v>41</v>
      </c>
      <c r="L1543" t="s">
        <v>37</v>
      </c>
      <c r="M1543">
        <v>0</v>
      </c>
    </row>
    <row r="1544" spans="11:13" x14ac:dyDescent="0.2">
      <c r="K1544" t="s">
        <v>42</v>
      </c>
      <c r="L1544" t="s">
        <v>38</v>
      </c>
      <c r="M1544">
        <v>0</v>
      </c>
    </row>
    <row r="1545" spans="11:13" x14ac:dyDescent="0.2">
      <c r="K1545" t="s">
        <v>42</v>
      </c>
      <c r="L1545" t="s">
        <v>38</v>
      </c>
      <c r="M1545">
        <v>1</v>
      </c>
    </row>
    <row r="1546" spans="11:13" x14ac:dyDescent="0.2">
      <c r="K1546" t="s">
        <v>41</v>
      </c>
      <c r="L1546" t="s">
        <v>37</v>
      </c>
      <c r="M1546">
        <v>0</v>
      </c>
    </row>
    <row r="1547" spans="11:13" x14ac:dyDescent="0.2">
      <c r="K1547" t="s">
        <v>42</v>
      </c>
      <c r="L1547" t="s">
        <v>38</v>
      </c>
      <c r="M1547">
        <v>0</v>
      </c>
    </row>
    <row r="1548" spans="11:13" x14ac:dyDescent="0.2">
      <c r="K1548" t="s">
        <v>42</v>
      </c>
      <c r="L1548" t="s">
        <v>38</v>
      </c>
      <c r="M1548">
        <v>0</v>
      </c>
    </row>
    <row r="1549" spans="11:13" x14ac:dyDescent="0.2">
      <c r="K1549" t="s">
        <v>41</v>
      </c>
      <c r="L1549" t="s">
        <v>37</v>
      </c>
      <c r="M1549">
        <v>0</v>
      </c>
    </row>
    <row r="1550" spans="11:13" x14ac:dyDescent="0.2">
      <c r="K1550" t="s">
        <v>42</v>
      </c>
      <c r="L1550" t="s">
        <v>38</v>
      </c>
      <c r="M1550">
        <v>0</v>
      </c>
    </row>
    <row r="1551" spans="11:13" x14ac:dyDescent="0.2">
      <c r="K1551" t="s">
        <v>41</v>
      </c>
      <c r="L1551" t="s">
        <v>37</v>
      </c>
      <c r="M1551">
        <v>0</v>
      </c>
    </row>
    <row r="1552" spans="11:13" x14ac:dyDescent="0.2">
      <c r="K1552" t="s">
        <v>41</v>
      </c>
      <c r="L1552" t="s">
        <v>37</v>
      </c>
      <c r="M1552">
        <v>0</v>
      </c>
    </row>
    <row r="1553" spans="11:13" x14ac:dyDescent="0.2">
      <c r="K1553" t="s">
        <v>42</v>
      </c>
      <c r="L1553" t="s">
        <v>38</v>
      </c>
      <c r="M1553">
        <v>0</v>
      </c>
    </row>
    <row r="1554" spans="11:13" x14ac:dyDescent="0.2">
      <c r="K1554" t="s">
        <v>41</v>
      </c>
      <c r="L1554" t="s">
        <v>37</v>
      </c>
      <c r="M1554">
        <v>0</v>
      </c>
    </row>
    <row r="1555" spans="11:13" x14ac:dyDescent="0.2">
      <c r="K1555" t="s">
        <v>42</v>
      </c>
      <c r="L1555" t="s">
        <v>38</v>
      </c>
      <c r="M1555">
        <v>0</v>
      </c>
    </row>
    <row r="1556" spans="11:13" x14ac:dyDescent="0.2">
      <c r="K1556" t="s">
        <v>42</v>
      </c>
      <c r="L1556" t="s">
        <v>38</v>
      </c>
      <c r="M1556">
        <v>0</v>
      </c>
    </row>
    <row r="1557" spans="11:13" x14ac:dyDescent="0.2">
      <c r="K1557" t="s">
        <v>41</v>
      </c>
      <c r="L1557" t="s">
        <v>37</v>
      </c>
      <c r="M1557">
        <v>0</v>
      </c>
    </row>
    <row r="1558" spans="11:13" x14ac:dyDescent="0.2">
      <c r="K1558" t="s">
        <v>41</v>
      </c>
      <c r="L1558" t="s">
        <v>37</v>
      </c>
      <c r="M1558">
        <v>0</v>
      </c>
    </row>
    <row r="1559" spans="11:13" x14ac:dyDescent="0.2">
      <c r="K1559" t="s">
        <v>42</v>
      </c>
      <c r="L1559" t="s">
        <v>38</v>
      </c>
      <c r="M1559">
        <v>0</v>
      </c>
    </row>
    <row r="1560" spans="11:13" x14ac:dyDescent="0.2">
      <c r="K1560" t="s">
        <v>41</v>
      </c>
      <c r="L1560" t="s">
        <v>37</v>
      </c>
      <c r="M1560">
        <v>0</v>
      </c>
    </row>
    <row r="1561" spans="11:13" x14ac:dyDescent="0.2">
      <c r="K1561" t="s">
        <v>41</v>
      </c>
      <c r="L1561" t="s">
        <v>37</v>
      </c>
      <c r="M1561">
        <v>0</v>
      </c>
    </row>
    <row r="1562" spans="11:13" x14ac:dyDescent="0.2">
      <c r="K1562" t="s">
        <v>41</v>
      </c>
      <c r="L1562" t="s">
        <v>37</v>
      </c>
      <c r="M1562">
        <v>0</v>
      </c>
    </row>
    <row r="1563" spans="11:13" x14ac:dyDescent="0.2">
      <c r="K1563" t="s">
        <v>42</v>
      </c>
      <c r="L1563" t="s">
        <v>38</v>
      </c>
      <c r="M1563">
        <v>0</v>
      </c>
    </row>
    <row r="1564" spans="11:13" x14ac:dyDescent="0.2">
      <c r="K1564" t="s">
        <v>41</v>
      </c>
      <c r="L1564" t="s">
        <v>37</v>
      </c>
      <c r="M1564">
        <v>0</v>
      </c>
    </row>
    <row r="1565" spans="11:13" x14ac:dyDescent="0.2">
      <c r="K1565" t="s">
        <v>41</v>
      </c>
      <c r="L1565" t="s">
        <v>37</v>
      </c>
      <c r="M1565">
        <v>0</v>
      </c>
    </row>
    <row r="1566" spans="11:13" x14ac:dyDescent="0.2">
      <c r="K1566" t="s">
        <v>42</v>
      </c>
      <c r="L1566" t="s">
        <v>38</v>
      </c>
      <c r="M1566">
        <v>0</v>
      </c>
    </row>
    <row r="1567" spans="11:13" x14ac:dyDescent="0.2">
      <c r="K1567" t="s">
        <v>41</v>
      </c>
      <c r="L1567" t="s">
        <v>37</v>
      </c>
      <c r="M1567">
        <v>0</v>
      </c>
    </row>
    <row r="1568" spans="11:13" x14ac:dyDescent="0.2">
      <c r="K1568" t="s">
        <v>42</v>
      </c>
      <c r="L1568" t="s">
        <v>38</v>
      </c>
      <c r="M1568">
        <v>0</v>
      </c>
    </row>
    <row r="1569" spans="11:13" x14ac:dyDescent="0.2">
      <c r="K1569" t="s">
        <v>41</v>
      </c>
      <c r="L1569" t="s">
        <v>37</v>
      </c>
      <c r="M1569">
        <v>0</v>
      </c>
    </row>
    <row r="1570" spans="11:13" x14ac:dyDescent="0.2">
      <c r="K1570" t="s">
        <v>41</v>
      </c>
      <c r="L1570" t="s">
        <v>37</v>
      </c>
      <c r="M1570">
        <v>0</v>
      </c>
    </row>
    <row r="1571" spans="11:13" x14ac:dyDescent="0.2">
      <c r="K1571" t="s">
        <v>42</v>
      </c>
      <c r="L1571" t="s">
        <v>38</v>
      </c>
      <c r="M1571">
        <v>0</v>
      </c>
    </row>
    <row r="1572" spans="11:13" x14ac:dyDescent="0.2">
      <c r="K1572" t="s">
        <v>42</v>
      </c>
      <c r="L1572" t="s">
        <v>38</v>
      </c>
      <c r="M1572">
        <v>0</v>
      </c>
    </row>
    <row r="1573" spans="11:13" x14ac:dyDescent="0.2">
      <c r="K1573" t="s">
        <v>42</v>
      </c>
      <c r="L1573" t="s">
        <v>38</v>
      </c>
      <c r="M1573">
        <v>0</v>
      </c>
    </row>
    <row r="1574" spans="11:13" x14ac:dyDescent="0.2">
      <c r="K1574" t="s">
        <v>41</v>
      </c>
      <c r="L1574" t="s">
        <v>37</v>
      </c>
      <c r="M1574">
        <v>0</v>
      </c>
    </row>
    <row r="1575" spans="11:13" x14ac:dyDescent="0.2">
      <c r="K1575" t="s">
        <v>41</v>
      </c>
      <c r="L1575" t="s">
        <v>37</v>
      </c>
      <c r="M1575">
        <v>0</v>
      </c>
    </row>
    <row r="1576" spans="11:13" x14ac:dyDescent="0.2">
      <c r="K1576" t="s">
        <v>41</v>
      </c>
      <c r="L1576" t="s">
        <v>37</v>
      </c>
      <c r="M1576">
        <v>0</v>
      </c>
    </row>
    <row r="1577" spans="11:13" x14ac:dyDescent="0.2">
      <c r="K1577" t="s">
        <v>42</v>
      </c>
      <c r="L1577" t="s">
        <v>38</v>
      </c>
      <c r="M1577">
        <v>0</v>
      </c>
    </row>
    <row r="1578" spans="11:13" x14ac:dyDescent="0.2">
      <c r="K1578" t="s">
        <v>42</v>
      </c>
      <c r="L1578" t="s">
        <v>38</v>
      </c>
      <c r="M1578">
        <v>0</v>
      </c>
    </row>
    <row r="1579" spans="11:13" x14ac:dyDescent="0.2">
      <c r="K1579" t="s">
        <v>41</v>
      </c>
      <c r="L1579" t="s">
        <v>37</v>
      </c>
      <c r="M1579">
        <v>0</v>
      </c>
    </row>
    <row r="1580" spans="11:13" x14ac:dyDescent="0.2">
      <c r="K1580" t="s">
        <v>42</v>
      </c>
      <c r="L1580" t="s">
        <v>38</v>
      </c>
      <c r="M1580">
        <v>0</v>
      </c>
    </row>
    <row r="1581" spans="11:13" x14ac:dyDescent="0.2">
      <c r="K1581" t="s">
        <v>42</v>
      </c>
      <c r="L1581" t="s">
        <v>38</v>
      </c>
      <c r="M1581">
        <v>0</v>
      </c>
    </row>
    <row r="1582" spans="11:13" x14ac:dyDescent="0.2">
      <c r="K1582" t="s">
        <v>41</v>
      </c>
      <c r="L1582" t="s">
        <v>37</v>
      </c>
      <c r="M1582">
        <v>0</v>
      </c>
    </row>
    <row r="1583" spans="11:13" x14ac:dyDescent="0.2">
      <c r="K1583" t="s">
        <v>42</v>
      </c>
      <c r="L1583" t="s">
        <v>38</v>
      </c>
      <c r="M1583">
        <v>0</v>
      </c>
    </row>
    <row r="1584" spans="11:13" x14ac:dyDescent="0.2">
      <c r="K1584" t="s">
        <v>41</v>
      </c>
      <c r="L1584" t="s">
        <v>37</v>
      </c>
      <c r="M1584">
        <v>0</v>
      </c>
    </row>
    <row r="1585" spans="11:13" x14ac:dyDescent="0.2">
      <c r="K1585" t="s">
        <v>41</v>
      </c>
      <c r="L1585" t="s">
        <v>37</v>
      </c>
      <c r="M1585">
        <v>0</v>
      </c>
    </row>
    <row r="1586" spans="11:13" x14ac:dyDescent="0.2">
      <c r="K1586" t="s">
        <v>42</v>
      </c>
      <c r="L1586" t="s">
        <v>38</v>
      </c>
      <c r="M1586">
        <v>0</v>
      </c>
    </row>
    <row r="1587" spans="11:13" x14ac:dyDescent="0.2">
      <c r="K1587" t="s">
        <v>42</v>
      </c>
      <c r="L1587" t="s">
        <v>38</v>
      </c>
      <c r="M1587">
        <v>0</v>
      </c>
    </row>
    <row r="1588" spans="11:13" x14ac:dyDescent="0.2">
      <c r="K1588" t="s">
        <v>42</v>
      </c>
      <c r="L1588" t="s">
        <v>38</v>
      </c>
      <c r="M1588">
        <v>0</v>
      </c>
    </row>
    <row r="1589" spans="11:13" x14ac:dyDescent="0.2">
      <c r="K1589" t="s">
        <v>41</v>
      </c>
      <c r="L1589" t="s">
        <v>37</v>
      </c>
      <c r="M1589">
        <v>0</v>
      </c>
    </row>
    <row r="1590" spans="11:13" x14ac:dyDescent="0.2">
      <c r="K1590" t="s">
        <v>42</v>
      </c>
      <c r="L1590" t="s">
        <v>38</v>
      </c>
      <c r="M1590">
        <v>0</v>
      </c>
    </row>
    <row r="1591" spans="11:13" x14ac:dyDescent="0.2">
      <c r="K1591" t="s">
        <v>41</v>
      </c>
      <c r="L1591" t="s">
        <v>37</v>
      </c>
      <c r="M1591">
        <v>0</v>
      </c>
    </row>
    <row r="1592" spans="11:13" x14ac:dyDescent="0.2">
      <c r="K1592" t="s">
        <v>42</v>
      </c>
      <c r="L1592" t="s">
        <v>38</v>
      </c>
      <c r="M1592">
        <v>0</v>
      </c>
    </row>
    <row r="1593" spans="11:13" x14ac:dyDescent="0.2">
      <c r="K1593" t="s">
        <v>41</v>
      </c>
      <c r="L1593" t="s">
        <v>37</v>
      </c>
      <c r="M1593">
        <v>0</v>
      </c>
    </row>
    <row r="1594" spans="11:13" x14ac:dyDescent="0.2">
      <c r="K1594" t="s">
        <v>41</v>
      </c>
      <c r="L1594" t="s">
        <v>37</v>
      </c>
      <c r="M1594">
        <v>0</v>
      </c>
    </row>
    <row r="1595" spans="11:13" x14ac:dyDescent="0.2">
      <c r="K1595" t="s">
        <v>42</v>
      </c>
      <c r="L1595" t="s">
        <v>38</v>
      </c>
      <c r="M1595">
        <v>0</v>
      </c>
    </row>
    <row r="1596" spans="11:13" x14ac:dyDescent="0.2">
      <c r="K1596" t="s">
        <v>42</v>
      </c>
      <c r="L1596" t="s">
        <v>38</v>
      </c>
      <c r="M1596">
        <v>0</v>
      </c>
    </row>
    <row r="1597" spans="11:13" x14ac:dyDescent="0.2">
      <c r="K1597" t="s">
        <v>41</v>
      </c>
      <c r="L1597" t="s">
        <v>37</v>
      </c>
      <c r="M1597">
        <v>0</v>
      </c>
    </row>
    <row r="1598" spans="11:13" x14ac:dyDescent="0.2">
      <c r="K1598" t="s">
        <v>41</v>
      </c>
      <c r="L1598" t="s">
        <v>37</v>
      </c>
      <c r="M1598">
        <v>0</v>
      </c>
    </row>
    <row r="1599" spans="11:13" x14ac:dyDescent="0.2">
      <c r="K1599" t="s">
        <v>41</v>
      </c>
      <c r="L1599" t="s">
        <v>37</v>
      </c>
      <c r="M1599">
        <v>0</v>
      </c>
    </row>
    <row r="1600" spans="11:13" x14ac:dyDescent="0.2">
      <c r="K1600" t="s">
        <v>41</v>
      </c>
      <c r="L1600" t="s">
        <v>37</v>
      </c>
      <c r="M1600">
        <v>0</v>
      </c>
    </row>
    <row r="1601" spans="11:13" x14ac:dyDescent="0.2">
      <c r="K1601" t="s">
        <v>42</v>
      </c>
      <c r="L1601" t="s">
        <v>38</v>
      </c>
      <c r="M1601">
        <v>0</v>
      </c>
    </row>
    <row r="1602" spans="11:13" x14ac:dyDescent="0.2">
      <c r="K1602" t="s">
        <v>41</v>
      </c>
      <c r="L1602" t="s">
        <v>37</v>
      </c>
      <c r="M1602">
        <v>0</v>
      </c>
    </row>
    <row r="1603" spans="11:13" x14ac:dyDescent="0.2">
      <c r="K1603" t="s">
        <v>41</v>
      </c>
      <c r="L1603" t="s">
        <v>37</v>
      </c>
      <c r="M1603">
        <v>1</v>
      </c>
    </row>
    <row r="1604" spans="11:13" x14ac:dyDescent="0.2">
      <c r="K1604" t="s">
        <v>42</v>
      </c>
      <c r="L1604" t="s">
        <v>38</v>
      </c>
      <c r="M1604">
        <v>0</v>
      </c>
    </row>
    <row r="1605" spans="11:13" x14ac:dyDescent="0.2">
      <c r="K1605" t="s">
        <v>42</v>
      </c>
      <c r="L1605" t="s">
        <v>38</v>
      </c>
      <c r="M1605">
        <v>0</v>
      </c>
    </row>
    <row r="1606" spans="11:13" x14ac:dyDescent="0.2">
      <c r="K1606" t="s">
        <v>42</v>
      </c>
      <c r="L1606" t="s">
        <v>38</v>
      </c>
      <c r="M1606">
        <v>0</v>
      </c>
    </row>
    <row r="1607" spans="11:13" x14ac:dyDescent="0.2">
      <c r="K1607" t="s">
        <v>42</v>
      </c>
      <c r="L1607" t="s">
        <v>38</v>
      </c>
      <c r="M1607">
        <v>0</v>
      </c>
    </row>
    <row r="1608" spans="11:13" x14ac:dyDescent="0.2">
      <c r="K1608" t="s">
        <v>42</v>
      </c>
      <c r="L1608" t="s">
        <v>38</v>
      </c>
      <c r="M1608">
        <v>0</v>
      </c>
    </row>
    <row r="1609" spans="11:13" x14ac:dyDescent="0.2">
      <c r="K1609" t="s">
        <v>42</v>
      </c>
      <c r="L1609" t="s">
        <v>38</v>
      </c>
      <c r="M1609">
        <v>0</v>
      </c>
    </row>
    <row r="1610" spans="11:13" x14ac:dyDescent="0.2">
      <c r="K1610" t="s">
        <v>41</v>
      </c>
      <c r="L1610" t="s">
        <v>37</v>
      </c>
      <c r="M1610">
        <v>0</v>
      </c>
    </row>
    <row r="1611" spans="11:13" x14ac:dyDescent="0.2">
      <c r="K1611" t="s">
        <v>41</v>
      </c>
      <c r="L1611" t="s">
        <v>37</v>
      </c>
      <c r="M1611">
        <v>0</v>
      </c>
    </row>
    <row r="1612" spans="11:13" x14ac:dyDescent="0.2">
      <c r="K1612" t="s">
        <v>41</v>
      </c>
      <c r="L1612" t="s">
        <v>37</v>
      </c>
      <c r="M1612">
        <v>0</v>
      </c>
    </row>
    <row r="1613" spans="11:13" x14ac:dyDescent="0.2">
      <c r="K1613" t="s">
        <v>41</v>
      </c>
      <c r="L1613" t="s">
        <v>37</v>
      </c>
      <c r="M1613">
        <v>0</v>
      </c>
    </row>
    <row r="1614" spans="11:13" x14ac:dyDescent="0.2">
      <c r="K1614" t="s">
        <v>42</v>
      </c>
      <c r="L1614" t="s">
        <v>38</v>
      </c>
      <c r="M1614">
        <v>0</v>
      </c>
    </row>
    <row r="1615" spans="11:13" x14ac:dyDescent="0.2">
      <c r="K1615" t="s">
        <v>41</v>
      </c>
      <c r="L1615" t="s">
        <v>37</v>
      </c>
      <c r="M1615">
        <v>0</v>
      </c>
    </row>
    <row r="1616" spans="11:13" x14ac:dyDescent="0.2">
      <c r="K1616" t="s">
        <v>41</v>
      </c>
      <c r="L1616" t="s">
        <v>37</v>
      </c>
      <c r="M1616">
        <v>0</v>
      </c>
    </row>
    <row r="1617" spans="11:13" x14ac:dyDescent="0.2">
      <c r="K1617" t="s">
        <v>41</v>
      </c>
      <c r="L1617" t="s">
        <v>37</v>
      </c>
      <c r="M1617">
        <v>0</v>
      </c>
    </row>
    <row r="1618" spans="11:13" x14ac:dyDescent="0.2">
      <c r="K1618" t="s">
        <v>41</v>
      </c>
      <c r="L1618" t="s">
        <v>37</v>
      </c>
      <c r="M1618">
        <v>0</v>
      </c>
    </row>
    <row r="1619" spans="11:13" x14ac:dyDescent="0.2">
      <c r="K1619" t="s">
        <v>42</v>
      </c>
      <c r="L1619" t="s">
        <v>38</v>
      </c>
      <c r="M1619">
        <v>0</v>
      </c>
    </row>
    <row r="1620" spans="11:13" x14ac:dyDescent="0.2">
      <c r="K1620" t="s">
        <v>41</v>
      </c>
      <c r="L1620" t="s">
        <v>37</v>
      </c>
      <c r="M1620">
        <v>0</v>
      </c>
    </row>
    <row r="1621" spans="11:13" x14ac:dyDescent="0.2">
      <c r="K1621" t="s">
        <v>42</v>
      </c>
      <c r="L1621" t="s">
        <v>38</v>
      </c>
      <c r="M1621">
        <v>0</v>
      </c>
    </row>
    <row r="1622" spans="11:13" x14ac:dyDescent="0.2">
      <c r="K1622" t="s">
        <v>42</v>
      </c>
      <c r="L1622" t="s">
        <v>38</v>
      </c>
      <c r="M1622">
        <v>1</v>
      </c>
    </row>
    <row r="1623" spans="11:13" x14ac:dyDescent="0.2">
      <c r="K1623" t="s">
        <v>41</v>
      </c>
      <c r="L1623" t="s">
        <v>37</v>
      </c>
      <c r="M1623">
        <v>0</v>
      </c>
    </row>
    <row r="1624" spans="11:13" x14ac:dyDescent="0.2">
      <c r="K1624" t="s">
        <v>41</v>
      </c>
      <c r="L1624" t="s">
        <v>37</v>
      </c>
      <c r="M1624">
        <v>1</v>
      </c>
    </row>
    <row r="1625" spans="11:13" x14ac:dyDescent="0.2">
      <c r="K1625" t="s">
        <v>42</v>
      </c>
      <c r="L1625" t="s">
        <v>38</v>
      </c>
      <c r="M1625">
        <v>0</v>
      </c>
    </row>
    <row r="1626" spans="11:13" x14ac:dyDescent="0.2">
      <c r="K1626" t="s">
        <v>41</v>
      </c>
      <c r="L1626" t="s">
        <v>37</v>
      </c>
      <c r="M1626">
        <v>0</v>
      </c>
    </row>
    <row r="1627" spans="11:13" x14ac:dyDescent="0.2">
      <c r="K1627" t="s">
        <v>41</v>
      </c>
      <c r="L1627" t="s">
        <v>37</v>
      </c>
      <c r="M1627">
        <v>0</v>
      </c>
    </row>
    <row r="1628" spans="11:13" x14ac:dyDescent="0.2">
      <c r="K1628" t="s">
        <v>41</v>
      </c>
      <c r="L1628" t="s">
        <v>37</v>
      </c>
      <c r="M1628">
        <v>0</v>
      </c>
    </row>
    <row r="1629" spans="11:13" x14ac:dyDescent="0.2">
      <c r="K1629" t="s">
        <v>41</v>
      </c>
      <c r="L1629" t="s">
        <v>37</v>
      </c>
      <c r="M1629">
        <v>1</v>
      </c>
    </row>
    <row r="1630" spans="11:13" x14ac:dyDescent="0.2">
      <c r="K1630" t="s">
        <v>42</v>
      </c>
      <c r="L1630" t="s">
        <v>38</v>
      </c>
      <c r="M1630">
        <v>0</v>
      </c>
    </row>
    <row r="1631" spans="11:13" x14ac:dyDescent="0.2">
      <c r="K1631" t="s">
        <v>42</v>
      </c>
      <c r="L1631" t="s">
        <v>38</v>
      </c>
      <c r="M1631">
        <v>0</v>
      </c>
    </row>
    <row r="1632" spans="11:13" x14ac:dyDescent="0.2">
      <c r="K1632" t="s">
        <v>41</v>
      </c>
      <c r="L1632" t="s">
        <v>37</v>
      </c>
      <c r="M1632">
        <v>0</v>
      </c>
    </row>
    <row r="1633" spans="11:13" x14ac:dyDescent="0.2">
      <c r="K1633" t="s">
        <v>42</v>
      </c>
      <c r="L1633" t="s">
        <v>38</v>
      </c>
      <c r="M1633">
        <v>0</v>
      </c>
    </row>
    <row r="1634" spans="11:13" x14ac:dyDescent="0.2">
      <c r="K1634" t="s">
        <v>41</v>
      </c>
      <c r="L1634" t="s">
        <v>37</v>
      </c>
      <c r="M1634">
        <v>0</v>
      </c>
    </row>
    <row r="1635" spans="11:13" x14ac:dyDescent="0.2">
      <c r="K1635" t="s">
        <v>41</v>
      </c>
      <c r="L1635" t="s">
        <v>37</v>
      </c>
      <c r="M1635">
        <v>0</v>
      </c>
    </row>
    <row r="1636" spans="11:13" x14ac:dyDescent="0.2">
      <c r="K1636" t="s">
        <v>41</v>
      </c>
      <c r="L1636" t="s">
        <v>37</v>
      </c>
      <c r="M1636">
        <v>0</v>
      </c>
    </row>
    <row r="1637" spans="11:13" x14ac:dyDescent="0.2">
      <c r="K1637" t="s">
        <v>41</v>
      </c>
      <c r="L1637" t="s">
        <v>37</v>
      </c>
      <c r="M1637">
        <v>0</v>
      </c>
    </row>
    <row r="1638" spans="11:13" x14ac:dyDescent="0.2">
      <c r="K1638" t="s">
        <v>41</v>
      </c>
      <c r="L1638" t="s">
        <v>37</v>
      </c>
      <c r="M1638">
        <v>0</v>
      </c>
    </row>
    <row r="1639" spans="11:13" x14ac:dyDescent="0.2">
      <c r="K1639" t="s">
        <v>41</v>
      </c>
      <c r="L1639" t="s">
        <v>37</v>
      </c>
      <c r="M1639">
        <v>0</v>
      </c>
    </row>
    <row r="1640" spans="11:13" x14ac:dyDescent="0.2">
      <c r="K1640" t="s">
        <v>42</v>
      </c>
      <c r="L1640" t="s">
        <v>38</v>
      </c>
      <c r="M1640">
        <v>1</v>
      </c>
    </row>
    <row r="1641" spans="11:13" x14ac:dyDescent="0.2">
      <c r="K1641" t="s">
        <v>41</v>
      </c>
      <c r="L1641" t="s">
        <v>37</v>
      </c>
      <c r="M1641">
        <v>0</v>
      </c>
    </row>
    <row r="1642" spans="11:13" x14ac:dyDescent="0.2">
      <c r="K1642" t="s">
        <v>41</v>
      </c>
      <c r="L1642" t="s">
        <v>37</v>
      </c>
      <c r="M1642">
        <v>0</v>
      </c>
    </row>
    <row r="1643" spans="11:13" x14ac:dyDescent="0.2">
      <c r="K1643" t="s">
        <v>41</v>
      </c>
      <c r="L1643" t="s">
        <v>37</v>
      </c>
      <c r="M1643">
        <v>0</v>
      </c>
    </row>
    <row r="1644" spans="11:13" x14ac:dyDescent="0.2">
      <c r="K1644" t="s">
        <v>41</v>
      </c>
      <c r="L1644" t="s">
        <v>37</v>
      </c>
      <c r="M1644">
        <v>0</v>
      </c>
    </row>
    <row r="1645" spans="11:13" x14ac:dyDescent="0.2">
      <c r="K1645" t="s">
        <v>42</v>
      </c>
      <c r="L1645" t="s">
        <v>38</v>
      </c>
      <c r="M1645">
        <v>0</v>
      </c>
    </row>
    <row r="1646" spans="11:13" x14ac:dyDescent="0.2">
      <c r="K1646" t="s">
        <v>42</v>
      </c>
      <c r="L1646" t="s">
        <v>38</v>
      </c>
      <c r="M1646">
        <v>0</v>
      </c>
    </row>
    <row r="1647" spans="11:13" x14ac:dyDescent="0.2">
      <c r="K1647" t="s">
        <v>42</v>
      </c>
      <c r="L1647" t="s">
        <v>38</v>
      </c>
      <c r="M1647">
        <v>0</v>
      </c>
    </row>
    <row r="1648" spans="11:13" x14ac:dyDescent="0.2">
      <c r="K1648" t="s">
        <v>42</v>
      </c>
      <c r="L1648" t="s">
        <v>38</v>
      </c>
      <c r="M1648">
        <v>0</v>
      </c>
    </row>
    <row r="1649" spans="11:13" x14ac:dyDescent="0.2">
      <c r="K1649" t="s">
        <v>42</v>
      </c>
      <c r="L1649" t="s">
        <v>38</v>
      </c>
      <c r="M1649">
        <v>0</v>
      </c>
    </row>
    <row r="1650" spans="11:13" x14ac:dyDescent="0.2">
      <c r="K1650" t="s">
        <v>42</v>
      </c>
      <c r="L1650" t="s">
        <v>38</v>
      </c>
      <c r="M1650">
        <v>0</v>
      </c>
    </row>
    <row r="1651" spans="11:13" x14ac:dyDescent="0.2">
      <c r="K1651" t="s">
        <v>42</v>
      </c>
      <c r="L1651" t="s">
        <v>38</v>
      </c>
      <c r="M1651">
        <v>0</v>
      </c>
    </row>
    <row r="1652" spans="11:13" x14ac:dyDescent="0.2">
      <c r="K1652" t="s">
        <v>42</v>
      </c>
      <c r="L1652" t="s">
        <v>38</v>
      </c>
      <c r="M1652">
        <v>0</v>
      </c>
    </row>
    <row r="1653" spans="11:13" x14ac:dyDescent="0.2">
      <c r="K1653" t="s">
        <v>42</v>
      </c>
      <c r="L1653" t="s">
        <v>38</v>
      </c>
      <c r="M1653">
        <v>0</v>
      </c>
    </row>
    <row r="1654" spans="11:13" x14ac:dyDescent="0.2">
      <c r="K1654" t="s">
        <v>41</v>
      </c>
      <c r="L1654" t="s">
        <v>37</v>
      </c>
      <c r="M1654">
        <v>0</v>
      </c>
    </row>
    <row r="1655" spans="11:13" x14ac:dyDescent="0.2">
      <c r="K1655" t="s">
        <v>42</v>
      </c>
      <c r="L1655" t="s">
        <v>38</v>
      </c>
      <c r="M1655">
        <v>0</v>
      </c>
    </row>
    <row r="1656" spans="11:13" x14ac:dyDescent="0.2">
      <c r="K1656" t="s">
        <v>41</v>
      </c>
      <c r="L1656" t="s">
        <v>37</v>
      </c>
      <c r="M1656">
        <v>0</v>
      </c>
    </row>
    <row r="1657" spans="11:13" x14ac:dyDescent="0.2">
      <c r="K1657" t="s">
        <v>42</v>
      </c>
      <c r="L1657" t="s">
        <v>38</v>
      </c>
      <c r="M1657">
        <v>0</v>
      </c>
    </row>
    <row r="1658" spans="11:13" x14ac:dyDescent="0.2">
      <c r="K1658" t="s">
        <v>41</v>
      </c>
      <c r="L1658" t="s">
        <v>37</v>
      </c>
      <c r="M1658">
        <v>0</v>
      </c>
    </row>
    <row r="1659" spans="11:13" x14ac:dyDescent="0.2">
      <c r="K1659" t="s">
        <v>41</v>
      </c>
      <c r="L1659" t="s">
        <v>37</v>
      </c>
      <c r="M1659">
        <v>0</v>
      </c>
    </row>
    <row r="1660" spans="11:13" x14ac:dyDescent="0.2">
      <c r="K1660" t="s">
        <v>42</v>
      </c>
      <c r="L1660" t="s">
        <v>38</v>
      </c>
      <c r="M1660">
        <v>0</v>
      </c>
    </row>
    <row r="1661" spans="11:13" x14ac:dyDescent="0.2">
      <c r="K1661" t="s">
        <v>42</v>
      </c>
      <c r="L1661" t="s">
        <v>38</v>
      </c>
      <c r="M1661">
        <v>0</v>
      </c>
    </row>
    <row r="1662" spans="11:13" x14ac:dyDescent="0.2">
      <c r="K1662" t="s">
        <v>41</v>
      </c>
      <c r="L1662" t="s">
        <v>37</v>
      </c>
      <c r="M1662">
        <v>0</v>
      </c>
    </row>
    <row r="1663" spans="11:13" x14ac:dyDescent="0.2">
      <c r="K1663" t="s">
        <v>41</v>
      </c>
      <c r="L1663" t="s">
        <v>37</v>
      </c>
      <c r="M1663">
        <v>0</v>
      </c>
    </row>
    <row r="1664" spans="11:13" x14ac:dyDescent="0.2">
      <c r="K1664" t="s">
        <v>41</v>
      </c>
      <c r="L1664" t="s">
        <v>37</v>
      </c>
      <c r="M1664">
        <v>0</v>
      </c>
    </row>
    <row r="1665" spans="11:13" x14ac:dyDescent="0.2">
      <c r="K1665" t="s">
        <v>42</v>
      </c>
      <c r="L1665" t="s">
        <v>38</v>
      </c>
      <c r="M1665">
        <v>0</v>
      </c>
    </row>
    <row r="1666" spans="11:13" x14ac:dyDescent="0.2">
      <c r="K1666" t="s">
        <v>42</v>
      </c>
      <c r="L1666" t="s">
        <v>38</v>
      </c>
      <c r="M1666">
        <v>0</v>
      </c>
    </row>
    <row r="1667" spans="11:13" x14ac:dyDescent="0.2">
      <c r="K1667" t="s">
        <v>42</v>
      </c>
      <c r="L1667" t="s">
        <v>38</v>
      </c>
      <c r="M1667">
        <v>0</v>
      </c>
    </row>
    <row r="1668" spans="11:13" x14ac:dyDescent="0.2">
      <c r="K1668" t="s">
        <v>41</v>
      </c>
      <c r="L1668" t="s">
        <v>37</v>
      </c>
      <c r="M1668">
        <v>0</v>
      </c>
    </row>
    <row r="1669" spans="11:13" x14ac:dyDescent="0.2">
      <c r="K1669" t="s">
        <v>41</v>
      </c>
      <c r="L1669" t="s">
        <v>37</v>
      </c>
      <c r="M1669">
        <v>0</v>
      </c>
    </row>
    <row r="1670" spans="11:13" x14ac:dyDescent="0.2">
      <c r="K1670" t="s">
        <v>42</v>
      </c>
      <c r="L1670" t="s">
        <v>38</v>
      </c>
      <c r="M1670">
        <v>0</v>
      </c>
    </row>
    <row r="1671" spans="11:13" x14ac:dyDescent="0.2">
      <c r="K1671" t="s">
        <v>42</v>
      </c>
      <c r="L1671" t="s">
        <v>38</v>
      </c>
      <c r="M1671">
        <v>0</v>
      </c>
    </row>
    <row r="1672" spans="11:13" x14ac:dyDescent="0.2">
      <c r="K1672" t="s">
        <v>41</v>
      </c>
      <c r="L1672" t="s">
        <v>37</v>
      </c>
      <c r="M1672">
        <v>0</v>
      </c>
    </row>
    <row r="1673" spans="11:13" x14ac:dyDescent="0.2">
      <c r="K1673" t="s">
        <v>42</v>
      </c>
      <c r="L1673" t="s">
        <v>38</v>
      </c>
      <c r="M1673">
        <v>0</v>
      </c>
    </row>
    <row r="1674" spans="11:13" x14ac:dyDescent="0.2">
      <c r="K1674" t="s">
        <v>41</v>
      </c>
      <c r="L1674" t="s">
        <v>37</v>
      </c>
      <c r="M1674">
        <v>0</v>
      </c>
    </row>
    <row r="1675" spans="11:13" x14ac:dyDescent="0.2">
      <c r="K1675" t="s">
        <v>41</v>
      </c>
      <c r="L1675" t="s">
        <v>37</v>
      </c>
      <c r="M1675">
        <v>0</v>
      </c>
    </row>
    <row r="1676" spans="11:13" x14ac:dyDescent="0.2">
      <c r="K1676" t="s">
        <v>41</v>
      </c>
      <c r="L1676" t="s">
        <v>37</v>
      </c>
      <c r="M1676">
        <v>0</v>
      </c>
    </row>
    <row r="1677" spans="11:13" x14ac:dyDescent="0.2">
      <c r="K1677" t="s">
        <v>42</v>
      </c>
      <c r="L1677" t="s">
        <v>38</v>
      </c>
      <c r="M1677">
        <v>0</v>
      </c>
    </row>
    <row r="1678" spans="11:13" x14ac:dyDescent="0.2">
      <c r="K1678" t="s">
        <v>41</v>
      </c>
      <c r="L1678" t="s">
        <v>37</v>
      </c>
      <c r="M1678">
        <v>0</v>
      </c>
    </row>
    <row r="1679" spans="11:13" x14ac:dyDescent="0.2">
      <c r="K1679" t="s">
        <v>41</v>
      </c>
      <c r="L1679" t="s">
        <v>37</v>
      </c>
      <c r="M1679">
        <v>0</v>
      </c>
    </row>
    <row r="1680" spans="11:13" x14ac:dyDescent="0.2">
      <c r="K1680" t="s">
        <v>41</v>
      </c>
      <c r="L1680" t="s">
        <v>37</v>
      </c>
      <c r="M1680">
        <v>0</v>
      </c>
    </row>
    <row r="1681" spans="11:13" x14ac:dyDescent="0.2">
      <c r="K1681" t="s">
        <v>41</v>
      </c>
      <c r="L1681" t="s">
        <v>37</v>
      </c>
      <c r="M1681">
        <v>0</v>
      </c>
    </row>
    <row r="1682" spans="11:13" x14ac:dyDescent="0.2">
      <c r="K1682" t="s">
        <v>41</v>
      </c>
      <c r="L1682" t="s">
        <v>37</v>
      </c>
      <c r="M1682">
        <v>0</v>
      </c>
    </row>
    <row r="1683" spans="11:13" x14ac:dyDescent="0.2">
      <c r="K1683" t="s">
        <v>41</v>
      </c>
      <c r="L1683" t="s">
        <v>37</v>
      </c>
      <c r="M1683">
        <v>0</v>
      </c>
    </row>
    <row r="1684" spans="11:13" x14ac:dyDescent="0.2">
      <c r="K1684" t="s">
        <v>42</v>
      </c>
      <c r="L1684" t="s">
        <v>38</v>
      </c>
      <c r="M1684">
        <v>0</v>
      </c>
    </row>
    <row r="1685" spans="11:13" x14ac:dyDescent="0.2">
      <c r="K1685" t="s">
        <v>41</v>
      </c>
      <c r="L1685" t="s">
        <v>37</v>
      </c>
      <c r="M1685">
        <v>0</v>
      </c>
    </row>
    <row r="1686" spans="11:13" x14ac:dyDescent="0.2">
      <c r="K1686" t="s">
        <v>41</v>
      </c>
      <c r="L1686" t="s">
        <v>37</v>
      </c>
      <c r="M1686">
        <v>0</v>
      </c>
    </row>
    <row r="1687" spans="11:13" x14ac:dyDescent="0.2">
      <c r="K1687" t="s">
        <v>41</v>
      </c>
      <c r="L1687" t="s">
        <v>37</v>
      </c>
      <c r="M1687">
        <v>0</v>
      </c>
    </row>
    <row r="1688" spans="11:13" x14ac:dyDescent="0.2">
      <c r="K1688" t="s">
        <v>42</v>
      </c>
      <c r="L1688" t="s">
        <v>38</v>
      </c>
      <c r="M1688">
        <v>0</v>
      </c>
    </row>
    <row r="1689" spans="11:13" x14ac:dyDescent="0.2">
      <c r="K1689" t="s">
        <v>41</v>
      </c>
      <c r="L1689" t="s">
        <v>37</v>
      </c>
      <c r="M1689">
        <v>0</v>
      </c>
    </row>
    <row r="1690" spans="11:13" x14ac:dyDescent="0.2">
      <c r="K1690" t="s">
        <v>42</v>
      </c>
      <c r="L1690" t="s">
        <v>38</v>
      </c>
      <c r="M1690">
        <v>0</v>
      </c>
    </row>
    <row r="1691" spans="11:13" x14ac:dyDescent="0.2">
      <c r="K1691" t="s">
        <v>42</v>
      </c>
      <c r="L1691" t="s">
        <v>38</v>
      </c>
      <c r="M1691">
        <v>0</v>
      </c>
    </row>
    <row r="1692" spans="11:13" x14ac:dyDescent="0.2">
      <c r="K1692" t="s">
        <v>41</v>
      </c>
      <c r="L1692" t="s">
        <v>37</v>
      </c>
      <c r="M1692">
        <v>0</v>
      </c>
    </row>
    <row r="1693" spans="11:13" x14ac:dyDescent="0.2">
      <c r="K1693" t="s">
        <v>41</v>
      </c>
      <c r="L1693" t="s">
        <v>37</v>
      </c>
      <c r="M1693">
        <v>0</v>
      </c>
    </row>
    <row r="1694" spans="11:13" x14ac:dyDescent="0.2">
      <c r="K1694" t="s">
        <v>42</v>
      </c>
      <c r="L1694" t="s">
        <v>38</v>
      </c>
      <c r="M1694">
        <v>0</v>
      </c>
    </row>
    <row r="1695" spans="11:13" x14ac:dyDescent="0.2">
      <c r="K1695" t="s">
        <v>41</v>
      </c>
      <c r="L1695" t="s">
        <v>37</v>
      </c>
      <c r="M1695">
        <v>0</v>
      </c>
    </row>
    <row r="1696" spans="11:13" x14ac:dyDescent="0.2">
      <c r="K1696" t="s">
        <v>42</v>
      </c>
      <c r="L1696" t="s">
        <v>38</v>
      </c>
      <c r="M1696">
        <v>0</v>
      </c>
    </row>
    <row r="1697" spans="11:13" x14ac:dyDescent="0.2">
      <c r="K1697" t="s">
        <v>42</v>
      </c>
      <c r="L1697" t="s">
        <v>38</v>
      </c>
      <c r="M1697">
        <v>0</v>
      </c>
    </row>
    <row r="1698" spans="11:13" x14ac:dyDescent="0.2">
      <c r="K1698" t="s">
        <v>42</v>
      </c>
      <c r="L1698" t="s">
        <v>38</v>
      </c>
      <c r="M1698">
        <v>0</v>
      </c>
    </row>
    <row r="1699" spans="11:13" x14ac:dyDescent="0.2">
      <c r="K1699" t="s">
        <v>42</v>
      </c>
      <c r="L1699" t="s">
        <v>38</v>
      </c>
      <c r="M1699">
        <v>0</v>
      </c>
    </row>
    <row r="1700" spans="11:13" x14ac:dyDescent="0.2">
      <c r="K1700" t="s">
        <v>41</v>
      </c>
      <c r="L1700" t="s">
        <v>37</v>
      </c>
      <c r="M1700">
        <v>0</v>
      </c>
    </row>
    <row r="1701" spans="11:13" x14ac:dyDescent="0.2">
      <c r="K1701" t="s">
        <v>42</v>
      </c>
      <c r="L1701" t="s">
        <v>38</v>
      </c>
      <c r="M1701">
        <v>0</v>
      </c>
    </row>
    <row r="1702" spans="11:13" x14ac:dyDescent="0.2">
      <c r="K1702" t="s">
        <v>42</v>
      </c>
      <c r="L1702" t="s">
        <v>38</v>
      </c>
      <c r="M1702">
        <v>0</v>
      </c>
    </row>
    <row r="1703" spans="11:13" x14ac:dyDescent="0.2">
      <c r="K1703" t="s">
        <v>41</v>
      </c>
      <c r="L1703" t="s">
        <v>37</v>
      </c>
      <c r="M1703">
        <v>0</v>
      </c>
    </row>
    <row r="1704" spans="11:13" x14ac:dyDescent="0.2">
      <c r="K1704" t="s">
        <v>42</v>
      </c>
      <c r="L1704" t="s">
        <v>38</v>
      </c>
      <c r="M1704">
        <v>0</v>
      </c>
    </row>
    <row r="1705" spans="11:13" x14ac:dyDescent="0.2">
      <c r="K1705" t="s">
        <v>42</v>
      </c>
      <c r="L1705" t="s">
        <v>38</v>
      </c>
      <c r="M1705">
        <v>0</v>
      </c>
    </row>
    <row r="1706" spans="11:13" x14ac:dyDescent="0.2">
      <c r="K1706" t="s">
        <v>41</v>
      </c>
      <c r="L1706" t="s">
        <v>37</v>
      </c>
      <c r="M1706">
        <v>0</v>
      </c>
    </row>
    <row r="1707" spans="11:13" x14ac:dyDescent="0.2">
      <c r="K1707" t="s">
        <v>42</v>
      </c>
      <c r="L1707" t="s">
        <v>38</v>
      </c>
      <c r="M1707">
        <v>0</v>
      </c>
    </row>
    <row r="1708" spans="11:13" x14ac:dyDescent="0.2">
      <c r="K1708" t="s">
        <v>41</v>
      </c>
      <c r="L1708" t="s">
        <v>37</v>
      </c>
      <c r="M1708">
        <v>0</v>
      </c>
    </row>
    <row r="1709" spans="11:13" x14ac:dyDescent="0.2">
      <c r="K1709" t="s">
        <v>42</v>
      </c>
      <c r="L1709" t="s">
        <v>38</v>
      </c>
      <c r="M1709">
        <v>0</v>
      </c>
    </row>
    <row r="1710" spans="11:13" x14ac:dyDescent="0.2">
      <c r="K1710" t="s">
        <v>41</v>
      </c>
      <c r="L1710" t="s">
        <v>37</v>
      </c>
      <c r="M1710">
        <v>0</v>
      </c>
    </row>
    <row r="1711" spans="11:13" x14ac:dyDescent="0.2">
      <c r="K1711" t="s">
        <v>41</v>
      </c>
      <c r="L1711" t="s">
        <v>37</v>
      </c>
      <c r="M1711">
        <v>0</v>
      </c>
    </row>
    <row r="1712" spans="11:13" x14ac:dyDescent="0.2">
      <c r="K1712" t="s">
        <v>42</v>
      </c>
      <c r="L1712" t="s">
        <v>38</v>
      </c>
      <c r="M1712">
        <v>0</v>
      </c>
    </row>
    <row r="1713" spans="11:13" x14ac:dyDescent="0.2">
      <c r="K1713" t="s">
        <v>42</v>
      </c>
      <c r="L1713" t="s">
        <v>38</v>
      </c>
      <c r="M1713">
        <v>0</v>
      </c>
    </row>
    <row r="1714" spans="11:13" x14ac:dyDescent="0.2">
      <c r="K1714" t="s">
        <v>41</v>
      </c>
      <c r="L1714" t="s">
        <v>37</v>
      </c>
      <c r="M1714">
        <v>0</v>
      </c>
    </row>
    <row r="1715" spans="11:13" x14ac:dyDescent="0.2">
      <c r="K1715" t="s">
        <v>42</v>
      </c>
      <c r="L1715" t="s">
        <v>38</v>
      </c>
      <c r="M1715">
        <v>0</v>
      </c>
    </row>
    <row r="1716" spans="11:13" x14ac:dyDescent="0.2">
      <c r="K1716" t="s">
        <v>41</v>
      </c>
      <c r="L1716" t="s">
        <v>37</v>
      </c>
      <c r="M1716">
        <v>1</v>
      </c>
    </row>
    <row r="1717" spans="11:13" x14ac:dyDescent="0.2">
      <c r="K1717" t="s">
        <v>42</v>
      </c>
      <c r="L1717" t="s">
        <v>38</v>
      </c>
      <c r="M1717">
        <v>0</v>
      </c>
    </row>
    <row r="1718" spans="11:13" x14ac:dyDescent="0.2">
      <c r="K1718" t="s">
        <v>42</v>
      </c>
      <c r="L1718" t="s">
        <v>38</v>
      </c>
      <c r="M1718">
        <v>0</v>
      </c>
    </row>
    <row r="1719" spans="11:13" x14ac:dyDescent="0.2">
      <c r="K1719" t="s">
        <v>42</v>
      </c>
      <c r="L1719" t="s">
        <v>38</v>
      </c>
      <c r="M1719">
        <v>0</v>
      </c>
    </row>
    <row r="1720" spans="11:13" x14ac:dyDescent="0.2">
      <c r="K1720" t="s">
        <v>41</v>
      </c>
      <c r="L1720" t="s">
        <v>37</v>
      </c>
      <c r="M1720">
        <v>0</v>
      </c>
    </row>
    <row r="1721" spans="11:13" x14ac:dyDescent="0.2">
      <c r="K1721" t="s">
        <v>42</v>
      </c>
      <c r="L1721" t="s">
        <v>38</v>
      </c>
      <c r="M1721">
        <v>0</v>
      </c>
    </row>
    <row r="1722" spans="11:13" x14ac:dyDescent="0.2">
      <c r="K1722" t="s">
        <v>41</v>
      </c>
      <c r="L1722" t="s">
        <v>37</v>
      </c>
      <c r="M1722">
        <v>0</v>
      </c>
    </row>
    <row r="1723" spans="11:13" x14ac:dyDescent="0.2">
      <c r="K1723" t="s">
        <v>42</v>
      </c>
      <c r="L1723" t="s">
        <v>38</v>
      </c>
      <c r="M1723">
        <v>0</v>
      </c>
    </row>
    <row r="1724" spans="11:13" x14ac:dyDescent="0.2">
      <c r="K1724" t="s">
        <v>41</v>
      </c>
      <c r="L1724" t="s">
        <v>37</v>
      </c>
      <c r="M1724">
        <v>0</v>
      </c>
    </row>
    <row r="1725" spans="11:13" x14ac:dyDescent="0.2">
      <c r="K1725" t="s">
        <v>42</v>
      </c>
      <c r="L1725" t="s">
        <v>38</v>
      </c>
      <c r="M1725">
        <v>0</v>
      </c>
    </row>
    <row r="1726" spans="11:13" x14ac:dyDescent="0.2">
      <c r="K1726" t="s">
        <v>41</v>
      </c>
      <c r="L1726" t="s">
        <v>37</v>
      </c>
      <c r="M1726">
        <v>0</v>
      </c>
    </row>
    <row r="1727" spans="11:13" x14ac:dyDescent="0.2">
      <c r="K1727" t="s">
        <v>41</v>
      </c>
      <c r="L1727" t="s">
        <v>37</v>
      </c>
      <c r="M1727">
        <v>0</v>
      </c>
    </row>
    <row r="1728" spans="11:13" x14ac:dyDescent="0.2">
      <c r="K1728" t="s">
        <v>42</v>
      </c>
      <c r="L1728" t="s">
        <v>38</v>
      </c>
      <c r="M1728">
        <v>0</v>
      </c>
    </row>
    <row r="1729" spans="11:13" x14ac:dyDescent="0.2">
      <c r="K1729" t="s">
        <v>41</v>
      </c>
      <c r="L1729" t="s">
        <v>37</v>
      </c>
      <c r="M1729">
        <v>0</v>
      </c>
    </row>
    <row r="1730" spans="11:13" x14ac:dyDescent="0.2">
      <c r="K1730" t="s">
        <v>42</v>
      </c>
      <c r="L1730" t="s">
        <v>38</v>
      </c>
      <c r="M1730">
        <v>0</v>
      </c>
    </row>
    <row r="1731" spans="11:13" x14ac:dyDescent="0.2">
      <c r="K1731" t="s">
        <v>42</v>
      </c>
      <c r="L1731" t="s">
        <v>38</v>
      </c>
      <c r="M1731">
        <v>0</v>
      </c>
    </row>
    <row r="1732" spans="11:13" x14ac:dyDescent="0.2">
      <c r="K1732" t="s">
        <v>41</v>
      </c>
      <c r="L1732" t="s">
        <v>37</v>
      </c>
      <c r="M1732">
        <v>0</v>
      </c>
    </row>
    <row r="1733" spans="11:13" x14ac:dyDescent="0.2">
      <c r="K1733" t="s">
        <v>41</v>
      </c>
      <c r="L1733" t="s">
        <v>37</v>
      </c>
      <c r="M1733">
        <v>0</v>
      </c>
    </row>
    <row r="1734" spans="11:13" x14ac:dyDescent="0.2">
      <c r="K1734" t="s">
        <v>42</v>
      </c>
      <c r="L1734" t="s">
        <v>38</v>
      </c>
      <c r="M1734">
        <v>0</v>
      </c>
    </row>
    <row r="1735" spans="11:13" x14ac:dyDescent="0.2">
      <c r="K1735" t="s">
        <v>42</v>
      </c>
      <c r="L1735" t="s">
        <v>38</v>
      </c>
      <c r="M1735">
        <v>0</v>
      </c>
    </row>
    <row r="1736" spans="11:13" x14ac:dyDescent="0.2">
      <c r="K1736" t="s">
        <v>41</v>
      </c>
      <c r="L1736" t="s">
        <v>37</v>
      </c>
      <c r="M1736">
        <v>0</v>
      </c>
    </row>
    <row r="1737" spans="11:13" x14ac:dyDescent="0.2">
      <c r="K1737" t="s">
        <v>41</v>
      </c>
      <c r="L1737" t="s">
        <v>37</v>
      </c>
      <c r="M1737">
        <v>0</v>
      </c>
    </row>
    <row r="1738" spans="11:13" x14ac:dyDescent="0.2">
      <c r="K1738" t="s">
        <v>42</v>
      </c>
      <c r="L1738" t="s">
        <v>38</v>
      </c>
      <c r="M1738">
        <v>0</v>
      </c>
    </row>
    <row r="1739" spans="11:13" x14ac:dyDescent="0.2">
      <c r="K1739" t="s">
        <v>41</v>
      </c>
      <c r="L1739" t="s">
        <v>37</v>
      </c>
      <c r="M1739">
        <v>0</v>
      </c>
    </row>
    <row r="1740" spans="11:13" x14ac:dyDescent="0.2">
      <c r="K1740" t="s">
        <v>42</v>
      </c>
      <c r="L1740" t="s">
        <v>38</v>
      </c>
      <c r="M1740">
        <v>0</v>
      </c>
    </row>
    <row r="1741" spans="11:13" x14ac:dyDescent="0.2">
      <c r="K1741" t="s">
        <v>42</v>
      </c>
      <c r="L1741" t="s">
        <v>38</v>
      </c>
      <c r="M1741">
        <v>0</v>
      </c>
    </row>
    <row r="1742" spans="11:13" x14ac:dyDescent="0.2">
      <c r="K1742" t="s">
        <v>42</v>
      </c>
      <c r="L1742" t="s">
        <v>38</v>
      </c>
      <c r="M1742">
        <v>0</v>
      </c>
    </row>
    <row r="1743" spans="11:13" x14ac:dyDescent="0.2">
      <c r="K1743" t="s">
        <v>41</v>
      </c>
      <c r="L1743" t="s">
        <v>37</v>
      </c>
      <c r="M1743">
        <v>0</v>
      </c>
    </row>
    <row r="1744" spans="11:13" x14ac:dyDescent="0.2">
      <c r="K1744" t="s">
        <v>42</v>
      </c>
      <c r="L1744" t="s">
        <v>38</v>
      </c>
      <c r="M1744">
        <v>0</v>
      </c>
    </row>
    <row r="1745" spans="11:13" x14ac:dyDescent="0.2">
      <c r="K1745" t="s">
        <v>42</v>
      </c>
      <c r="L1745" t="s">
        <v>38</v>
      </c>
      <c r="M1745">
        <v>1</v>
      </c>
    </row>
    <row r="1746" spans="11:13" x14ac:dyDescent="0.2">
      <c r="K1746" t="s">
        <v>42</v>
      </c>
      <c r="L1746" t="s">
        <v>38</v>
      </c>
      <c r="M1746">
        <v>0</v>
      </c>
    </row>
    <row r="1747" spans="11:13" x14ac:dyDescent="0.2">
      <c r="K1747" t="s">
        <v>41</v>
      </c>
      <c r="L1747" t="s">
        <v>37</v>
      </c>
      <c r="M1747">
        <v>0</v>
      </c>
    </row>
    <row r="1748" spans="11:13" x14ac:dyDescent="0.2">
      <c r="K1748" t="s">
        <v>42</v>
      </c>
      <c r="L1748" t="s">
        <v>38</v>
      </c>
      <c r="M1748">
        <v>0</v>
      </c>
    </row>
    <row r="1749" spans="11:13" x14ac:dyDescent="0.2">
      <c r="K1749" t="s">
        <v>41</v>
      </c>
      <c r="L1749" t="s">
        <v>37</v>
      </c>
      <c r="M1749">
        <v>0</v>
      </c>
    </row>
    <row r="1750" spans="11:13" x14ac:dyDescent="0.2">
      <c r="K1750" t="s">
        <v>42</v>
      </c>
      <c r="L1750" t="s">
        <v>38</v>
      </c>
      <c r="M1750">
        <v>0</v>
      </c>
    </row>
    <row r="1751" spans="11:13" x14ac:dyDescent="0.2">
      <c r="K1751" t="s">
        <v>41</v>
      </c>
      <c r="L1751" t="s">
        <v>37</v>
      </c>
      <c r="M1751">
        <v>0</v>
      </c>
    </row>
    <row r="1752" spans="11:13" x14ac:dyDescent="0.2">
      <c r="K1752" t="s">
        <v>42</v>
      </c>
      <c r="L1752" t="s">
        <v>38</v>
      </c>
      <c r="M1752">
        <v>0</v>
      </c>
    </row>
    <row r="1753" spans="11:13" x14ac:dyDescent="0.2">
      <c r="K1753" t="s">
        <v>41</v>
      </c>
      <c r="L1753" t="s">
        <v>37</v>
      </c>
      <c r="M1753">
        <v>0</v>
      </c>
    </row>
    <row r="1754" spans="11:13" x14ac:dyDescent="0.2">
      <c r="K1754" t="s">
        <v>41</v>
      </c>
      <c r="L1754" t="s">
        <v>37</v>
      </c>
      <c r="M1754">
        <v>0</v>
      </c>
    </row>
    <row r="1755" spans="11:13" x14ac:dyDescent="0.2">
      <c r="K1755" t="s">
        <v>41</v>
      </c>
      <c r="L1755" t="s">
        <v>37</v>
      </c>
      <c r="M1755">
        <v>0</v>
      </c>
    </row>
    <row r="1756" spans="11:13" x14ac:dyDescent="0.2">
      <c r="K1756" t="s">
        <v>42</v>
      </c>
      <c r="L1756" t="s">
        <v>38</v>
      </c>
      <c r="M1756">
        <v>0</v>
      </c>
    </row>
    <row r="1757" spans="11:13" x14ac:dyDescent="0.2">
      <c r="K1757" t="s">
        <v>41</v>
      </c>
      <c r="L1757" t="s">
        <v>37</v>
      </c>
      <c r="M1757">
        <v>0</v>
      </c>
    </row>
    <row r="1758" spans="11:13" x14ac:dyDescent="0.2">
      <c r="K1758" t="s">
        <v>41</v>
      </c>
      <c r="L1758" t="s">
        <v>37</v>
      </c>
      <c r="M1758">
        <v>0</v>
      </c>
    </row>
    <row r="1759" spans="11:13" x14ac:dyDescent="0.2">
      <c r="K1759" t="s">
        <v>41</v>
      </c>
      <c r="L1759" t="s">
        <v>37</v>
      </c>
      <c r="M1759">
        <v>0</v>
      </c>
    </row>
    <row r="1760" spans="11:13" x14ac:dyDescent="0.2">
      <c r="K1760" t="s">
        <v>42</v>
      </c>
      <c r="L1760" t="s">
        <v>38</v>
      </c>
      <c r="M1760">
        <v>0</v>
      </c>
    </row>
    <row r="1761" spans="11:13" x14ac:dyDescent="0.2">
      <c r="K1761" t="s">
        <v>41</v>
      </c>
      <c r="L1761" t="s">
        <v>37</v>
      </c>
      <c r="M1761">
        <v>0</v>
      </c>
    </row>
    <row r="1762" spans="11:13" x14ac:dyDescent="0.2">
      <c r="K1762" t="s">
        <v>41</v>
      </c>
      <c r="L1762" t="s">
        <v>37</v>
      </c>
      <c r="M1762">
        <v>0</v>
      </c>
    </row>
    <row r="1763" spans="11:13" x14ac:dyDescent="0.2">
      <c r="K1763" t="s">
        <v>41</v>
      </c>
      <c r="L1763" t="s">
        <v>37</v>
      </c>
      <c r="M1763">
        <v>0</v>
      </c>
    </row>
    <row r="1764" spans="11:13" x14ac:dyDescent="0.2">
      <c r="K1764" t="s">
        <v>42</v>
      </c>
      <c r="L1764" t="s">
        <v>38</v>
      </c>
      <c r="M1764">
        <v>0</v>
      </c>
    </row>
    <row r="1765" spans="11:13" x14ac:dyDescent="0.2">
      <c r="K1765" t="s">
        <v>41</v>
      </c>
      <c r="L1765" t="s">
        <v>37</v>
      </c>
      <c r="M1765">
        <v>0</v>
      </c>
    </row>
    <row r="1766" spans="11:13" x14ac:dyDescent="0.2">
      <c r="K1766" t="s">
        <v>42</v>
      </c>
      <c r="L1766" t="s">
        <v>38</v>
      </c>
      <c r="M1766">
        <v>0</v>
      </c>
    </row>
    <row r="1767" spans="11:13" x14ac:dyDescent="0.2">
      <c r="K1767" t="s">
        <v>41</v>
      </c>
      <c r="L1767" t="s">
        <v>37</v>
      </c>
      <c r="M1767">
        <v>0</v>
      </c>
    </row>
    <row r="1768" spans="11:13" x14ac:dyDescent="0.2">
      <c r="K1768" t="s">
        <v>41</v>
      </c>
      <c r="L1768" t="s">
        <v>37</v>
      </c>
      <c r="M1768">
        <v>0</v>
      </c>
    </row>
    <row r="1769" spans="11:13" x14ac:dyDescent="0.2">
      <c r="K1769" t="s">
        <v>41</v>
      </c>
      <c r="L1769" t="s">
        <v>37</v>
      </c>
      <c r="M1769">
        <v>0</v>
      </c>
    </row>
    <row r="1770" spans="11:13" x14ac:dyDescent="0.2">
      <c r="K1770" t="s">
        <v>42</v>
      </c>
      <c r="L1770" t="s">
        <v>38</v>
      </c>
      <c r="M1770">
        <v>0</v>
      </c>
    </row>
    <row r="1771" spans="11:13" x14ac:dyDescent="0.2">
      <c r="K1771" t="s">
        <v>41</v>
      </c>
      <c r="L1771" t="s">
        <v>37</v>
      </c>
      <c r="M1771">
        <v>0</v>
      </c>
    </row>
    <row r="1772" spans="11:13" x14ac:dyDescent="0.2">
      <c r="K1772" t="s">
        <v>41</v>
      </c>
      <c r="L1772" t="s">
        <v>37</v>
      </c>
      <c r="M1772">
        <v>0</v>
      </c>
    </row>
    <row r="1773" spans="11:13" x14ac:dyDescent="0.2">
      <c r="K1773" t="s">
        <v>41</v>
      </c>
      <c r="L1773" t="s">
        <v>37</v>
      </c>
      <c r="M1773">
        <v>1</v>
      </c>
    </row>
    <row r="1774" spans="11:13" x14ac:dyDescent="0.2">
      <c r="K1774" t="s">
        <v>42</v>
      </c>
      <c r="L1774" t="s">
        <v>38</v>
      </c>
      <c r="M1774">
        <v>0</v>
      </c>
    </row>
    <row r="1775" spans="11:13" x14ac:dyDescent="0.2">
      <c r="K1775" t="s">
        <v>42</v>
      </c>
      <c r="L1775" t="s">
        <v>38</v>
      </c>
      <c r="M1775">
        <v>0</v>
      </c>
    </row>
    <row r="1776" spans="11:13" x14ac:dyDescent="0.2">
      <c r="K1776" t="s">
        <v>41</v>
      </c>
      <c r="L1776" t="s">
        <v>37</v>
      </c>
      <c r="M1776">
        <v>0</v>
      </c>
    </row>
    <row r="1777" spans="11:13" x14ac:dyDescent="0.2">
      <c r="K1777" t="s">
        <v>42</v>
      </c>
      <c r="L1777" t="s">
        <v>38</v>
      </c>
      <c r="M1777">
        <v>0</v>
      </c>
    </row>
    <row r="1778" spans="11:13" x14ac:dyDescent="0.2">
      <c r="K1778" t="s">
        <v>41</v>
      </c>
      <c r="L1778" t="s">
        <v>37</v>
      </c>
      <c r="M1778">
        <v>0</v>
      </c>
    </row>
    <row r="1779" spans="11:13" x14ac:dyDescent="0.2">
      <c r="K1779" t="s">
        <v>42</v>
      </c>
      <c r="L1779" t="s">
        <v>38</v>
      </c>
      <c r="M1779">
        <v>0</v>
      </c>
    </row>
    <row r="1780" spans="11:13" x14ac:dyDescent="0.2">
      <c r="K1780" t="s">
        <v>41</v>
      </c>
      <c r="L1780" t="s">
        <v>37</v>
      </c>
      <c r="M1780">
        <v>0</v>
      </c>
    </row>
    <row r="1781" spans="11:13" x14ac:dyDescent="0.2">
      <c r="K1781" t="s">
        <v>42</v>
      </c>
      <c r="L1781" t="s">
        <v>38</v>
      </c>
      <c r="M1781">
        <v>0</v>
      </c>
    </row>
    <row r="1782" spans="11:13" x14ac:dyDescent="0.2">
      <c r="K1782" t="s">
        <v>42</v>
      </c>
      <c r="L1782" t="s">
        <v>38</v>
      </c>
      <c r="M1782">
        <v>0</v>
      </c>
    </row>
    <row r="1783" spans="11:13" x14ac:dyDescent="0.2">
      <c r="K1783" t="s">
        <v>42</v>
      </c>
      <c r="L1783" t="s">
        <v>38</v>
      </c>
      <c r="M1783">
        <v>0</v>
      </c>
    </row>
    <row r="1784" spans="11:13" x14ac:dyDescent="0.2">
      <c r="K1784" t="s">
        <v>41</v>
      </c>
      <c r="L1784" t="s">
        <v>37</v>
      </c>
      <c r="M1784">
        <v>0</v>
      </c>
    </row>
    <row r="1785" spans="11:13" x14ac:dyDescent="0.2">
      <c r="K1785" t="s">
        <v>42</v>
      </c>
      <c r="L1785" t="s">
        <v>38</v>
      </c>
      <c r="M1785">
        <v>0</v>
      </c>
    </row>
    <row r="1786" spans="11:13" x14ac:dyDescent="0.2">
      <c r="K1786" t="s">
        <v>42</v>
      </c>
      <c r="L1786" t="s">
        <v>38</v>
      </c>
      <c r="M1786">
        <v>0</v>
      </c>
    </row>
    <row r="1787" spans="11:13" x14ac:dyDescent="0.2">
      <c r="K1787" t="s">
        <v>41</v>
      </c>
      <c r="L1787" t="s">
        <v>37</v>
      </c>
      <c r="M1787">
        <v>0</v>
      </c>
    </row>
    <row r="1788" spans="11:13" x14ac:dyDescent="0.2">
      <c r="K1788" t="s">
        <v>41</v>
      </c>
      <c r="L1788" t="s">
        <v>37</v>
      </c>
      <c r="M1788">
        <v>0</v>
      </c>
    </row>
    <row r="1789" spans="11:13" x14ac:dyDescent="0.2">
      <c r="K1789" t="s">
        <v>42</v>
      </c>
      <c r="L1789" t="s">
        <v>38</v>
      </c>
      <c r="M1789">
        <v>0</v>
      </c>
    </row>
    <row r="1790" spans="11:13" x14ac:dyDescent="0.2">
      <c r="K1790" t="s">
        <v>41</v>
      </c>
      <c r="L1790" t="s">
        <v>37</v>
      </c>
      <c r="M1790">
        <v>0</v>
      </c>
    </row>
    <row r="1791" spans="11:13" x14ac:dyDescent="0.2">
      <c r="K1791" t="s">
        <v>42</v>
      </c>
      <c r="L1791" t="s">
        <v>38</v>
      </c>
      <c r="M1791">
        <v>0</v>
      </c>
    </row>
    <row r="1792" spans="11:13" x14ac:dyDescent="0.2">
      <c r="K1792" t="s">
        <v>42</v>
      </c>
      <c r="L1792" t="s">
        <v>38</v>
      </c>
      <c r="M1792">
        <v>0</v>
      </c>
    </row>
    <row r="1793" spans="11:13" x14ac:dyDescent="0.2">
      <c r="K1793" t="s">
        <v>42</v>
      </c>
      <c r="L1793" t="s">
        <v>38</v>
      </c>
      <c r="M1793">
        <v>0</v>
      </c>
    </row>
    <row r="1794" spans="11:13" x14ac:dyDescent="0.2">
      <c r="K1794" t="s">
        <v>42</v>
      </c>
      <c r="L1794" t="s">
        <v>38</v>
      </c>
      <c r="M1794">
        <v>0</v>
      </c>
    </row>
    <row r="1795" spans="11:13" x14ac:dyDescent="0.2">
      <c r="K1795" t="s">
        <v>42</v>
      </c>
      <c r="L1795" t="s">
        <v>38</v>
      </c>
      <c r="M1795">
        <v>0</v>
      </c>
    </row>
    <row r="1796" spans="11:13" x14ac:dyDescent="0.2">
      <c r="K1796" t="s">
        <v>42</v>
      </c>
      <c r="L1796" t="s">
        <v>38</v>
      </c>
      <c r="M1796">
        <v>0</v>
      </c>
    </row>
    <row r="1797" spans="11:13" x14ac:dyDescent="0.2">
      <c r="K1797" t="s">
        <v>42</v>
      </c>
      <c r="L1797" t="s">
        <v>38</v>
      </c>
      <c r="M1797">
        <v>0</v>
      </c>
    </row>
    <row r="1798" spans="11:13" x14ac:dyDescent="0.2">
      <c r="K1798" t="s">
        <v>41</v>
      </c>
      <c r="L1798" t="s">
        <v>37</v>
      </c>
      <c r="M1798">
        <v>0</v>
      </c>
    </row>
    <row r="1799" spans="11:13" x14ac:dyDescent="0.2">
      <c r="K1799" t="s">
        <v>42</v>
      </c>
      <c r="L1799" t="s">
        <v>38</v>
      </c>
      <c r="M1799">
        <v>0</v>
      </c>
    </row>
    <row r="1800" spans="11:13" x14ac:dyDescent="0.2">
      <c r="K1800" t="s">
        <v>42</v>
      </c>
      <c r="L1800" t="s">
        <v>38</v>
      </c>
      <c r="M1800">
        <v>0</v>
      </c>
    </row>
    <row r="1801" spans="11:13" x14ac:dyDescent="0.2">
      <c r="K1801" t="s">
        <v>42</v>
      </c>
      <c r="L1801" t="s">
        <v>38</v>
      </c>
      <c r="M1801">
        <v>0</v>
      </c>
    </row>
    <row r="1802" spans="11:13" x14ac:dyDescent="0.2">
      <c r="K1802" t="s">
        <v>41</v>
      </c>
      <c r="L1802" t="s">
        <v>37</v>
      </c>
      <c r="M1802">
        <v>0</v>
      </c>
    </row>
    <row r="1803" spans="11:13" x14ac:dyDescent="0.2">
      <c r="K1803" t="s">
        <v>41</v>
      </c>
      <c r="L1803" t="s">
        <v>37</v>
      </c>
      <c r="M1803">
        <v>0</v>
      </c>
    </row>
    <row r="1804" spans="11:13" x14ac:dyDescent="0.2">
      <c r="K1804" t="s">
        <v>42</v>
      </c>
      <c r="L1804" t="s">
        <v>38</v>
      </c>
      <c r="M1804">
        <v>0</v>
      </c>
    </row>
    <row r="1805" spans="11:13" x14ac:dyDescent="0.2">
      <c r="K1805" t="s">
        <v>41</v>
      </c>
      <c r="L1805" t="s">
        <v>37</v>
      </c>
      <c r="M1805">
        <v>0</v>
      </c>
    </row>
    <row r="1806" spans="11:13" x14ac:dyDescent="0.2">
      <c r="K1806" t="s">
        <v>41</v>
      </c>
      <c r="L1806" t="s">
        <v>37</v>
      </c>
      <c r="M1806">
        <v>0</v>
      </c>
    </row>
    <row r="1807" spans="11:13" x14ac:dyDescent="0.2">
      <c r="K1807" t="s">
        <v>41</v>
      </c>
      <c r="L1807" t="s">
        <v>37</v>
      </c>
      <c r="M1807">
        <v>0</v>
      </c>
    </row>
    <row r="1808" spans="11:13" x14ac:dyDescent="0.2">
      <c r="K1808" t="s">
        <v>41</v>
      </c>
      <c r="L1808" t="s">
        <v>37</v>
      </c>
      <c r="M1808">
        <v>0</v>
      </c>
    </row>
    <row r="1809" spans="11:13" x14ac:dyDescent="0.2">
      <c r="K1809" t="s">
        <v>41</v>
      </c>
      <c r="L1809" t="s">
        <v>37</v>
      </c>
      <c r="M1809">
        <v>0</v>
      </c>
    </row>
    <row r="1810" spans="11:13" x14ac:dyDescent="0.2">
      <c r="K1810" t="s">
        <v>42</v>
      </c>
      <c r="L1810" t="s">
        <v>38</v>
      </c>
      <c r="M1810">
        <v>0</v>
      </c>
    </row>
    <row r="1811" spans="11:13" x14ac:dyDescent="0.2">
      <c r="K1811" t="s">
        <v>41</v>
      </c>
      <c r="L1811" t="s">
        <v>37</v>
      </c>
      <c r="M1811">
        <v>0</v>
      </c>
    </row>
    <row r="1812" spans="11:13" x14ac:dyDescent="0.2">
      <c r="K1812" t="s">
        <v>42</v>
      </c>
      <c r="L1812" t="s">
        <v>38</v>
      </c>
      <c r="M1812">
        <v>0</v>
      </c>
    </row>
    <row r="1813" spans="11:13" x14ac:dyDescent="0.2">
      <c r="K1813" t="s">
        <v>42</v>
      </c>
      <c r="L1813" t="s">
        <v>38</v>
      </c>
      <c r="M1813">
        <v>0</v>
      </c>
    </row>
    <row r="1814" spans="11:13" x14ac:dyDescent="0.2">
      <c r="K1814" t="s">
        <v>42</v>
      </c>
      <c r="L1814" t="s">
        <v>38</v>
      </c>
      <c r="M1814">
        <v>0</v>
      </c>
    </row>
    <row r="1815" spans="11:13" x14ac:dyDescent="0.2">
      <c r="K1815" t="s">
        <v>41</v>
      </c>
      <c r="L1815" t="s">
        <v>37</v>
      </c>
      <c r="M1815">
        <v>0</v>
      </c>
    </row>
    <row r="1816" spans="11:13" x14ac:dyDescent="0.2">
      <c r="K1816" t="s">
        <v>41</v>
      </c>
      <c r="L1816" t="s">
        <v>37</v>
      </c>
      <c r="M1816">
        <v>0</v>
      </c>
    </row>
    <row r="1817" spans="11:13" x14ac:dyDescent="0.2">
      <c r="K1817" t="s">
        <v>42</v>
      </c>
      <c r="L1817" t="s">
        <v>38</v>
      </c>
      <c r="M1817">
        <v>0</v>
      </c>
    </row>
    <row r="1818" spans="11:13" x14ac:dyDescent="0.2">
      <c r="K1818" t="s">
        <v>42</v>
      </c>
      <c r="L1818" t="s">
        <v>38</v>
      </c>
      <c r="M1818">
        <v>0</v>
      </c>
    </row>
    <row r="1819" spans="11:13" x14ac:dyDescent="0.2">
      <c r="K1819" t="s">
        <v>41</v>
      </c>
      <c r="L1819" t="s">
        <v>37</v>
      </c>
      <c r="M1819">
        <v>0</v>
      </c>
    </row>
    <row r="1820" spans="11:13" x14ac:dyDescent="0.2">
      <c r="K1820" t="s">
        <v>42</v>
      </c>
      <c r="L1820" t="s">
        <v>38</v>
      </c>
      <c r="M1820">
        <v>0</v>
      </c>
    </row>
    <row r="1821" spans="11:13" x14ac:dyDescent="0.2">
      <c r="K1821" t="s">
        <v>41</v>
      </c>
      <c r="L1821" t="s">
        <v>37</v>
      </c>
      <c r="M1821">
        <v>0</v>
      </c>
    </row>
    <row r="1822" spans="11:13" x14ac:dyDescent="0.2">
      <c r="K1822" t="s">
        <v>42</v>
      </c>
      <c r="L1822" t="s">
        <v>38</v>
      </c>
      <c r="M1822">
        <v>0</v>
      </c>
    </row>
    <row r="1823" spans="11:13" x14ac:dyDescent="0.2">
      <c r="K1823" t="s">
        <v>41</v>
      </c>
      <c r="L1823" t="s">
        <v>37</v>
      </c>
      <c r="M1823">
        <v>0</v>
      </c>
    </row>
    <row r="1824" spans="11:13" x14ac:dyDescent="0.2">
      <c r="K1824" t="s">
        <v>42</v>
      </c>
      <c r="L1824" t="s">
        <v>38</v>
      </c>
      <c r="M1824">
        <v>0</v>
      </c>
    </row>
    <row r="1825" spans="11:13" x14ac:dyDescent="0.2">
      <c r="K1825" t="s">
        <v>42</v>
      </c>
      <c r="L1825" t="s">
        <v>38</v>
      </c>
      <c r="M1825">
        <v>0</v>
      </c>
    </row>
    <row r="1826" spans="11:13" x14ac:dyDescent="0.2">
      <c r="K1826" t="s">
        <v>42</v>
      </c>
      <c r="L1826" t="s">
        <v>38</v>
      </c>
      <c r="M1826">
        <v>0</v>
      </c>
    </row>
    <row r="1827" spans="11:13" x14ac:dyDescent="0.2">
      <c r="K1827" t="s">
        <v>42</v>
      </c>
      <c r="L1827" t="s">
        <v>38</v>
      </c>
      <c r="M1827">
        <v>0</v>
      </c>
    </row>
    <row r="1828" spans="11:13" x14ac:dyDescent="0.2">
      <c r="K1828" t="s">
        <v>42</v>
      </c>
      <c r="L1828" t="s">
        <v>38</v>
      </c>
      <c r="M1828">
        <v>0</v>
      </c>
    </row>
    <row r="1829" spans="11:13" x14ac:dyDescent="0.2">
      <c r="K1829" t="s">
        <v>42</v>
      </c>
      <c r="L1829" t="s">
        <v>38</v>
      </c>
      <c r="M1829">
        <v>0</v>
      </c>
    </row>
    <row r="1830" spans="11:13" x14ac:dyDescent="0.2">
      <c r="K1830" t="s">
        <v>42</v>
      </c>
      <c r="L1830" t="s">
        <v>38</v>
      </c>
      <c r="M1830">
        <v>0</v>
      </c>
    </row>
    <row r="1831" spans="11:13" x14ac:dyDescent="0.2">
      <c r="K1831" t="s">
        <v>42</v>
      </c>
      <c r="L1831" t="s">
        <v>38</v>
      </c>
      <c r="M1831">
        <v>0</v>
      </c>
    </row>
    <row r="1832" spans="11:13" x14ac:dyDescent="0.2">
      <c r="K1832" t="s">
        <v>42</v>
      </c>
      <c r="L1832" t="s">
        <v>38</v>
      </c>
      <c r="M1832">
        <v>0</v>
      </c>
    </row>
    <row r="1833" spans="11:13" x14ac:dyDescent="0.2">
      <c r="K1833" t="s">
        <v>41</v>
      </c>
      <c r="L1833" t="s">
        <v>37</v>
      </c>
      <c r="M1833">
        <v>0</v>
      </c>
    </row>
    <row r="1834" spans="11:13" x14ac:dyDescent="0.2">
      <c r="K1834" t="s">
        <v>41</v>
      </c>
      <c r="L1834" t="s">
        <v>37</v>
      </c>
      <c r="M1834">
        <v>0</v>
      </c>
    </row>
    <row r="1835" spans="11:13" x14ac:dyDescent="0.2">
      <c r="K1835" t="s">
        <v>41</v>
      </c>
      <c r="L1835" t="s">
        <v>37</v>
      </c>
      <c r="M1835">
        <v>0</v>
      </c>
    </row>
    <row r="1836" spans="11:13" x14ac:dyDescent="0.2">
      <c r="K1836" t="s">
        <v>42</v>
      </c>
      <c r="L1836" t="s">
        <v>38</v>
      </c>
      <c r="M1836">
        <v>0</v>
      </c>
    </row>
    <row r="1837" spans="11:13" x14ac:dyDescent="0.2">
      <c r="K1837" t="s">
        <v>41</v>
      </c>
      <c r="L1837" t="s">
        <v>37</v>
      </c>
      <c r="M1837">
        <v>0</v>
      </c>
    </row>
    <row r="1838" spans="11:13" x14ac:dyDescent="0.2">
      <c r="K1838" t="s">
        <v>42</v>
      </c>
      <c r="L1838" t="s">
        <v>38</v>
      </c>
      <c r="M1838">
        <v>0</v>
      </c>
    </row>
    <row r="1839" spans="11:13" x14ac:dyDescent="0.2">
      <c r="K1839" t="s">
        <v>42</v>
      </c>
      <c r="L1839" t="s">
        <v>38</v>
      </c>
      <c r="M1839">
        <v>0</v>
      </c>
    </row>
    <row r="1840" spans="11:13" x14ac:dyDescent="0.2">
      <c r="K1840" t="s">
        <v>41</v>
      </c>
      <c r="L1840" t="s">
        <v>37</v>
      </c>
      <c r="M1840">
        <v>0</v>
      </c>
    </row>
    <row r="1841" spans="11:13" x14ac:dyDescent="0.2">
      <c r="K1841" t="s">
        <v>41</v>
      </c>
      <c r="L1841" t="s">
        <v>37</v>
      </c>
      <c r="M1841">
        <v>0</v>
      </c>
    </row>
    <row r="1842" spans="11:13" x14ac:dyDescent="0.2">
      <c r="K1842" t="s">
        <v>41</v>
      </c>
      <c r="L1842" t="s">
        <v>37</v>
      </c>
      <c r="M1842">
        <v>0</v>
      </c>
    </row>
    <row r="1843" spans="11:13" x14ac:dyDescent="0.2">
      <c r="K1843" t="s">
        <v>41</v>
      </c>
      <c r="L1843" t="s">
        <v>37</v>
      </c>
      <c r="M1843">
        <v>0</v>
      </c>
    </row>
    <row r="1844" spans="11:13" x14ac:dyDescent="0.2">
      <c r="K1844" t="s">
        <v>41</v>
      </c>
      <c r="L1844" t="s">
        <v>37</v>
      </c>
      <c r="M1844">
        <v>0</v>
      </c>
    </row>
    <row r="1845" spans="11:13" x14ac:dyDescent="0.2">
      <c r="K1845" t="s">
        <v>41</v>
      </c>
      <c r="L1845" t="s">
        <v>37</v>
      </c>
      <c r="M1845">
        <v>0</v>
      </c>
    </row>
    <row r="1846" spans="11:13" x14ac:dyDescent="0.2">
      <c r="K1846" t="s">
        <v>42</v>
      </c>
      <c r="L1846" t="s">
        <v>38</v>
      </c>
      <c r="M1846">
        <v>0</v>
      </c>
    </row>
    <row r="1847" spans="11:13" x14ac:dyDescent="0.2">
      <c r="K1847" t="s">
        <v>42</v>
      </c>
      <c r="L1847" t="s">
        <v>38</v>
      </c>
      <c r="M1847">
        <v>0</v>
      </c>
    </row>
    <row r="1848" spans="11:13" x14ac:dyDescent="0.2">
      <c r="K1848" t="s">
        <v>41</v>
      </c>
      <c r="L1848" t="s">
        <v>37</v>
      </c>
      <c r="M1848">
        <v>0</v>
      </c>
    </row>
    <row r="1849" spans="11:13" x14ac:dyDescent="0.2">
      <c r="K1849" t="s">
        <v>41</v>
      </c>
      <c r="L1849" t="s">
        <v>37</v>
      </c>
      <c r="M1849">
        <v>0</v>
      </c>
    </row>
    <row r="1850" spans="11:13" x14ac:dyDescent="0.2">
      <c r="K1850" t="s">
        <v>41</v>
      </c>
      <c r="L1850" t="s">
        <v>37</v>
      </c>
      <c r="M1850">
        <v>0</v>
      </c>
    </row>
    <row r="1851" spans="11:13" x14ac:dyDescent="0.2">
      <c r="K1851" t="s">
        <v>41</v>
      </c>
      <c r="L1851" t="s">
        <v>37</v>
      </c>
      <c r="M1851">
        <v>0</v>
      </c>
    </row>
    <row r="1852" spans="11:13" x14ac:dyDescent="0.2">
      <c r="K1852" t="s">
        <v>41</v>
      </c>
      <c r="L1852" t="s">
        <v>37</v>
      </c>
      <c r="M1852">
        <v>0</v>
      </c>
    </row>
    <row r="1853" spans="11:13" x14ac:dyDescent="0.2">
      <c r="K1853" t="s">
        <v>41</v>
      </c>
      <c r="L1853" t="s">
        <v>37</v>
      </c>
      <c r="M1853">
        <v>0</v>
      </c>
    </row>
    <row r="1854" spans="11:13" x14ac:dyDescent="0.2">
      <c r="K1854" t="s">
        <v>42</v>
      </c>
      <c r="L1854" t="s">
        <v>38</v>
      </c>
      <c r="M1854">
        <v>0</v>
      </c>
    </row>
    <row r="1855" spans="11:13" x14ac:dyDescent="0.2">
      <c r="K1855" t="s">
        <v>41</v>
      </c>
      <c r="L1855" t="s">
        <v>37</v>
      </c>
      <c r="M1855">
        <v>0</v>
      </c>
    </row>
    <row r="1856" spans="11:13" x14ac:dyDescent="0.2">
      <c r="K1856" t="s">
        <v>41</v>
      </c>
      <c r="L1856" t="s">
        <v>37</v>
      </c>
      <c r="M1856">
        <v>0</v>
      </c>
    </row>
    <row r="1857" spans="11:13" x14ac:dyDescent="0.2">
      <c r="K1857" t="s">
        <v>42</v>
      </c>
      <c r="L1857" t="s">
        <v>38</v>
      </c>
      <c r="M1857">
        <v>0</v>
      </c>
    </row>
    <row r="1858" spans="11:13" x14ac:dyDescent="0.2">
      <c r="K1858" t="s">
        <v>41</v>
      </c>
      <c r="L1858" t="s">
        <v>37</v>
      </c>
      <c r="M1858">
        <v>0</v>
      </c>
    </row>
    <row r="1859" spans="11:13" x14ac:dyDescent="0.2">
      <c r="K1859" t="s">
        <v>41</v>
      </c>
      <c r="L1859" t="s">
        <v>37</v>
      </c>
      <c r="M1859">
        <v>0</v>
      </c>
    </row>
    <row r="1860" spans="11:13" x14ac:dyDescent="0.2">
      <c r="K1860" t="s">
        <v>41</v>
      </c>
      <c r="L1860" t="s">
        <v>37</v>
      </c>
      <c r="M1860">
        <v>0</v>
      </c>
    </row>
    <row r="1861" spans="11:13" x14ac:dyDescent="0.2">
      <c r="K1861" t="s">
        <v>41</v>
      </c>
      <c r="L1861" t="s">
        <v>37</v>
      </c>
      <c r="M1861">
        <v>0</v>
      </c>
    </row>
    <row r="1862" spans="11:13" x14ac:dyDescent="0.2">
      <c r="K1862" t="s">
        <v>42</v>
      </c>
      <c r="L1862" t="s">
        <v>38</v>
      </c>
      <c r="M1862">
        <v>0</v>
      </c>
    </row>
    <row r="1863" spans="11:13" x14ac:dyDescent="0.2">
      <c r="K1863" t="s">
        <v>42</v>
      </c>
      <c r="L1863" t="s">
        <v>38</v>
      </c>
      <c r="M1863">
        <v>0</v>
      </c>
    </row>
    <row r="1864" spans="11:13" x14ac:dyDescent="0.2">
      <c r="K1864" t="s">
        <v>41</v>
      </c>
      <c r="L1864" t="s">
        <v>37</v>
      </c>
      <c r="M1864">
        <v>1</v>
      </c>
    </row>
    <row r="1865" spans="11:13" x14ac:dyDescent="0.2">
      <c r="K1865" t="s">
        <v>41</v>
      </c>
      <c r="L1865" t="s">
        <v>37</v>
      </c>
      <c r="M1865">
        <v>0</v>
      </c>
    </row>
    <row r="1866" spans="11:13" x14ac:dyDescent="0.2">
      <c r="K1866" t="s">
        <v>41</v>
      </c>
      <c r="L1866" t="s">
        <v>37</v>
      </c>
      <c r="M1866">
        <v>0</v>
      </c>
    </row>
    <row r="1867" spans="11:13" x14ac:dyDescent="0.2">
      <c r="K1867" t="s">
        <v>41</v>
      </c>
      <c r="L1867" t="s">
        <v>37</v>
      </c>
      <c r="M1867">
        <v>0</v>
      </c>
    </row>
    <row r="1868" spans="11:13" x14ac:dyDescent="0.2">
      <c r="K1868" t="s">
        <v>41</v>
      </c>
      <c r="L1868" t="s">
        <v>37</v>
      </c>
      <c r="M1868">
        <v>0</v>
      </c>
    </row>
    <row r="1869" spans="11:13" x14ac:dyDescent="0.2">
      <c r="K1869" t="s">
        <v>41</v>
      </c>
      <c r="L1869" t="s">
        <v>37</v>
      </c>
      <c r="M1869">
        <v>0</v>
      </c>
    </row>
    <row r="1870" spans="11:13" x14ac:dyDescent="0.2">
      <c r="K1870" t="s">
        <v>42</v>
      </c>
      <c r="L1870" t="s">
        <v>38</v>
      </c>
      <c r="M1870">
        <v>0</v>
      </c>
    </row>
    <row r="1871" spans="11:13" x14ac:dyDescent="0.2">
      <c r="K1871" t="s">
        <v>41</v>
      </c>
      <c r="L1871" t="s">
        <v>37</v>
      </c>
      <c r="M1871">
        <v>0</v>
      </c>
    </row>
    <row r="1872" spans="11:13" x14ac:dyDescent="0.2">
      <c r="K1872" t="s">
        <v>41</v>
      </c>
      <c r="L1872" t="s">
        <v>37</v>
      </c>
      <c r="M1872">
        <v>1</v>
      </c>
    </row>
    <row r="1873" spans="11:13" x14ac:dyDescent="0.2">
      <c r="K1873" t="s">
        <v>41</v>
      </c>
      <c r="L1873" t="s">
        <v>37</v>
      </c>
      <c r="M1873">
        <v>0</v>
      </c>
    </row>
    <row r="1874" spans="11:13" x14ac:dyDescent="0.2">
      <c r="K1874" t="s">
        <v>42</v>
      </c>
      <c r="L1874" t="s">
        <v>38</v>
      </c>
      <c r="M1874">
        <v>0</v>
      </c>
    </row>
    <row r="1875" spans="11:13" x14ac:dyDescent="0.2">
      <c r="K1875" t="s">
        <v>42</v>
      </c>
      <c r="L1875" t="s">
        <v>38</v>
      </c>
      <c r="M1875">
        <v>0</v>
      </c>
    </row>
    <row r="1876" spans="11:13" x14ac:dyDescent="0.2">
      <c r="K1876" t="s">
        <v>41</v>
      </c>
      <c r="L1876" t="s">
        <v>37</v>
      </c>
      <c r="M1876">
        <v>0</v>
      </c>
    </row>
    <row r="1877" spans="11:13" x14ac:dyDescent="0.2">
      <c r="K1877" t="s">
        <v>42</v>
      </c>
      <c r="L1877" t="s">
        <v>38</v>
      </c>
      <c r="M1877">
        <v>0</v>
      </c>
    </row>
    <row r="1878" spans="11:13" x14ac:dyDescent="0.2">
      <c r="K1878" t="s">
        <v>41</v>
      </c>
      <c r="L1878" t="s">
        <v>37</v>
      </c>
      <c r="M1878">
        <v>0</v>
      </c>
    </row>
    <row r="1879" spans="11:13" x14ac:dyDescent="0.2">
      <c r="K1879" t="s">
        <v>42</v>
      </c>
      <c r="L1879" t="s">
        <v>38</v>
      </c>
      <c r="M1879">
        <v>0</v>
      </c>
    </row>
    <row r="1880" spans="11:13" x14ac:dyDescent="0.2">
      <c r="K1880" t="s">
        <v>41</v>
      </c>
      <c r="L1880" t="s">
        <v>37</v>
      </c>
      <c r="M1880">
        <v>0</v>
      </c>
    </row>
    <row r="1881" spans="11:13" x14ac:dyDescent="0.2">
      <c r="K1881" t="s">
        <v>42</v>
      </c>
      <c r="L1881" t="s">
        <v>38</v>
      </c>
      <c r="M1881">
        <v>0</v>
      </c>
    </row>
    <row r="1882" spans="11:13" x14ac:dyDescent="0.2">
      <c r="K1882" t="s">
        <v>42</v>
      </c>
      <c r="L1882" t="s">
        <v>38</v>
      </c>
      <c r="M1882">
        <v>0</v>
      </c>
    </row>
    <row r="1883" spans="11:13" x14ac:dyDescent="0.2">
      <c r="K1883" t="s">
        <v>42</v>
      </c>
      <c r="L1883" t="s">
        <v>38</v>
      </c>
      <c r="M1883">
        <v>0</v>
      </c>
    </row>
    <row r="1884" spans="11:13" x14ac:dyDescent="0.2">
      <c r="K1884" t="s">
        <v>42</v>
      </c>
      <c r="L1884" t="s">
        <v>38</v>
      </c>
      <c r="M1884">
        <v>0</v>
      </c>
    </row>
    <row r="1885" spans="11:13" x14ac:dyDescent="0.2">
      <c r="K1885" t="s">
        <v>41</v>
      </c>
      <c r="L1885" t="s">
        <v>37</v>
      </c>
      <c r="M1885">
        <v>0</v>
      </c>
    </row>
    <row r="1886" spans="11:13" x14ac:dyDescent="0.2">
      <c r="K1886" t="s">
        <v>41</v>
      </c>
      <c r="L1886" t="s">
        <v>37</v>
      </c>
      <c r="M1886">
        <v>1</v>
      </c>
    </row>
    <row r="1887" spans="11:13" x14ac:dyDescent="0.2">
      <c r="K1887" t="s">
        <v>41</v>
      </c>
      <c r="L1887" t="s">
        <v>37</v>
      </c>
      <c r="M1887">
        <v>0</v>
      </c>
    </row>
    <row r="1888" spans="11:13" x14ac:dyDescent="0.2">
      <c r="K1888" t="s">
        <v>41</v>
      </c>
      <c r="L1888" t="s">
        <v>37</v>
      </c>
      <c r="M1888">
        <v>0</v>
      </c>
    </row>
    <row r="1889" spans="11:13" x14ac:dyDescent="0.2">
      <c r="K1889" t="s">
        <v>41</v>
      </c>
      <c r="L1889" t="s">
        <v>37</v>
      </c>
      <c r="M1889">
        <v>0</v>
      </c>
    </row>
    <row r="1890" spans="11:13" x14ac:dyDescent="0.2">
      <c r="K1890" t="s">
        <v>42</v>
      </c>
      <c r="L1890" t="s">
        <v>38</v>
      </c>
      <c r="M1890">
        <v>0</v>
      </c>
    </row>
    <row r="1891" spans="11:13" x14ac:dyDescent="0.2">
      <c r="K1891" t="s">
        <v>42</v>
      </c>
      <c r="L1891" t="s">
        <v>38</v>
      </c>
      <c r="M1891">
        <v>0</v>
      </c>
    </row>
    <row r="1892" spans="11:13" x14ac:dyDescent="0.2">
      <c r="K1892" t="s">
        <v>42</v>
      </c>
      <c r="L1892" t="s">
        <v>38</v>
      </c>
      <c r="M1892">
        <v>0</v>
      </c>
    </row>
    <row r="1893" spans="11:13" x14ac:dyDescent="0.2">
      <c r="K1893" t="s">
        <v>42</v>
      </c>
      <c r="L1893" t="s">
        <v>38</v>
      </c>
      <c r="M1893">
        <v>0</v>
      </c>
    </row>
    <row r="1894" spans="11:13" x14ac:dyDescent="0.2">
      <c r="K1894" t="s">
        <v>41</v>
      </c>
      <c r="L1894" t="s">
        <v>37</v>
      </c>
      <c r="M1894">
        <v>0</v>
      </c>
    </row>
    <row r="1895" spans="11:13" x14ac:dyDescent="0.2">
      <c r="K1895" t="s">
        <v>41</v>
      </c>
      <c r="L1895" t="s">
        <v>37</v>
      </c>
      <c r="M1895">
        <v>0</v>
      </c>
    </row>
    <row r="1896" spans="11:13" x14ac:dyDescent="0.2">
      <c r="K1896" t="s">
        <v>42</v>
      </c>
      <c r="L1896" t="s">
        <v>38</v>
      </c>
      <c r="M1896">
        <v>0</v>
      </c>
    </row>
    <row r="1897" spans="11:13" x14ac:dyDescent="0.2">
      <c r="K1897" t="s">
        <v>41</v>
      </c>
      <c r="L1897" t="s">
        <v>37</v>
      </c>
      <c r="M1897">
        <v>0</v>
      </c>
    </row>
    <row r="1898" spans="11:13" x14ac:dyDescent="0.2">
      <c r="K1898" t="s">
        <v>42</v>
      </c>
      <c r="L1898" t="s">
        <v>38</v>
      </c>
      <c r="M1898">
        <v>1</v>
      </c>
    </row>
    <row r="1899" spans="11:13" x14ac:dyDescent="0.2">
      <c r="K1899" t="s">
        <v>41</v>
      </c>
      <c r="L1899" t="s">
        <v>37</v>
      </c>
      <c r="M1899">
        <v>0</v>
      </c>
    </row>
    <row r="1900" spans="11:13" x14ac:dyDescent="0.2">
      <c r="K1900" t="s">
        <v>42</v>
      </c>
      <c r="L1900" t="s">
        <v>38</v>
      </c>
      <c r="M1900">
        <v>0</v>
      </c>
    </row>
    <row r="1901" spans="11:13" x14ac:dyDescent="0.2">
      <c r="K1901" t="s">
        <v>41</v>
      </c>
      <c r="L1901" t="s">
        <v>37</v>
      </c>
      <c r="M1901">
        <v>0</v>
      </c>
    </row>
    <row r="1902" spans="11:13" x14ac:dyDescent="0.2">
      <c r="K1902" t="s">
        <v>42</v>
      </c>
      <c r="L1902" t="s">
        <v>38</v>
      </c>
      <c r="M1902">
        <v>0</v>
      </c>
    </row>
    <row r="1903" spans="11:13" x14ac:dyDescent="0.2">
      <c r="K1903" t="s">
        <v>42</v>
      </c>
      <c r="L1903" t="s">
        <v>38</v>
      </c>
      <c r="M1903">
        <v>0</v>
      </c>
    </row>
    <row r="1904" spans="11:13" x14ac:dyDescent="0.2">
      <c r="K1904" t="s">
        <v>42</v>
      </c>
      <c r="L1904" t="s">
        <v>38</v>
      </c>
      <c r="M1904">
        <v>1</v>
      </c>
    </row>
    <row r="1905" spans="11:13" x14ac:dyDescent="0.2">
      <c r="K1905" t="s">
        <v>42</v>
      </c>
      <c r="L1905" t="s">
        <v>38</v>
      </c>
      <c r="M1905">
        <v>1</v>
      </c>
    </row>
    <row r="1906" spans="11:13" x14ac:dyDescent="0.2">
      <c r="K1906" t="s">
        <v>41</v>
      </c>
      <c r="L1906" t="s">
        <v>37</v>
      </c>
      <c r="M1906">
        <v>0</v>
      </c>
    </row>
    <row r="1907" spans="11:13" x14ac:dyDescent="0.2">
      <c r="K1907" t="s">
        <v>41</v>
      </c>
      <c r="L1907" t="s">
        <v>37</v>
      </c>
      <c r="M1907">
        <v>0</v>
      </c>
    </row>
    <row r="1908" spans="11:13" x14ac:dyDescent="0.2">
      <c r="K1908" t="s">
        <v>41</v>
      </c>
      <c r="L1908" t="s">
        <v>37</v>
      </c>
      <c r="M1908">
        <v>0</v>
      </c>
    </row>
    <row r="1909" spans="11:13" x14ac:dyDescent="0.2">
      <c r="K1909" t="s">
        <v>41</v>
      </c>
      <c r="L1909" t="s">
        <v>37</v>
      </c>
      <c r="M1909">
        <v>0</v>
      </c>
    </row>
    <row r="1910" spans="11:13" x14ac:dyDescent="0.2">
      <c r="K1910" t="s">
        <v>41</v>
      </c>
      <c r="L1910" t="s">
        <v>37</v>
      </c>
      <c r="M1910">
        <v>1</v>
      </c>
    </row>
    <row r="1911" spans="11:13" x14ac:dyDescent="0.2">
      <c r="K1911" t="s">
        <v>42</v>
      </c>
      <c r="L1911" t="s">
        <v>38</v>
      </c>
      <c r="M1911">
        <v>0</v>
      </c>
    </row>
    <row r="1912" spans="11:13" x14ac:dyDescent="0.2">
      <c r="K1912" t="s">
        <v>41</v>
      </c>
      <c r="L1912" t="s">
        <v>37</v>
      </c>
      <c r="M1912">
        <v>0</v>
      </c>
    </row>
    <row r="1913" spans="11:13" x14ac:dyDescent="0.2">
      <c r="K1913" t="s">
        <v>42</v>
      </c>
      <c r="L1913" t="s">
        <v>38</v>
      </c>
      <c r="M1913">
        <v>0</v>
      </c>
    </row>
    <row r="1914" spans="11:13" x14ac:dyDescent="0.2">
      <c r="K1914" t="s">
        <v>42</v>
      </c>
      <c r="L1914" t="s">
        <v>38</v>
      </c>
      <c r="M1914">
        <v>0</v>
      </c>
    </row>
    <row r="1915" spans="11:13" x14ac:dyDescent="0.2">
      <c r="K1915" t="s">
        <v>41</v>
      </c>
      <c r="L1915" t="s">
        <v>37</v>
      </c>
      <c r="M1915">
        <v>0</v>
      </c>
    </row>
    <row r="1916" spans="11:13" x14ac:dyDescent="0.2">
      <c r="K1916" t="s">
        <v>42</v>
      </c>
      <c r="L1916" t="s">
        <v>38</v>
      </c>
      <c r="M1916">
        <v>0</v>
      </c>
    </row>
    <row r="1917" spans="11:13" x14ac:dyDescent="0.2">
      <c r="K1917" t="s">
        <v>42</v>
      </c>
      <c r="L1917" t="s">
        <v>38</v>
      </c>
      <c r="M1917">
        <v>0</v>
      </c>
    </row>
    <row r="1918" spans="11:13" x14ac:dyDescent="0.2">
      <c r="K1918" t="s">
        <v>41</v>
      </c>
      <c r="L1918" t="s">
        <v>37</v>
      </c>
      <c r="M1918">
        <v>0</v>
      </c>
    </row>
    <row r="1919" spans="11:13" x14ac:dyDescent="0.2">
      <c r="K1919" t="s">
        <v>41</v>
      </c>
      <c r="L1919" t="s">
        <v>37</v>
      </c>
      <c r="M1919">
        <v>0</v>
      </c>
    </row>
    <row r="1920" spans="11:13" x14ac:dyDescent="0.2">
      <c r="K1920" t="s">
        <v>42</v>
      </c>
      <c r="L1920" t="s">
        <v>38</v>
      </c>
      <c r="M1920">
        <v>0</v>
      </c>
    </row>
    <row r="1921" spans="11:13" x14ac:dyDescent="0.2">
      <c r="K1921" t="s">
        <v>41</v>
      </c>
      <c r="L1921" t="s">
        <v>37</v>
      </c>
      <c r="M1921">
        <v>0</v>
      </c>
    </row>
    <row r="1922" spans="11:13" x14ac:dyDescent="0.2">
      <c r="K1922" t="s">
        <v>41</v>
      </c>
      <c r="L1922" t="s">
        <v>37</v>
      </c>
      <c r="M1922">
        <v>0</v>
      </c>
    </row>
    <row r="1923" spans="11:13" x14ac:dyDescent="0.2">
      <c r="K1923" t="s">
        <v>42</v>
      </c>
      <c r="L1923" t="s">
        <v>38</v>
      </c>
      <c r="M1923">
        <v>0</v>
      </c>
    </row>
    <row r="1924" spans="11:13" x14ac:dyDescent="0.2">
      <c r="K1924" t="s">
        <v>42</v>
      </c>
      <c r="L1924" t="s">
        <v>38</v>
      </c>
      <c r="M1924">
        <v>0</v>
      </c>
    </row>
    <row r="1925" spans="11:13" x14ac:dyDescent="0.2">
      <c r="K1925" t="s">
        <v>41</v>
      </c>
      <c r="L1925" t="s">
        <v>37</v>
      </c>
      <c r="M1925">
        <v>0</v>
      </c>
    </row>
    <row r="1926" spans="11:13" x14ac:dyDescent="0.2">
      <c r="K1926" t="s">
        <v>41</v>
      </c>
      <c r="L1926" t="s">
        <v>37</v>
      </c>
      <c r="M1926">
        <v>0</v>
      </c>
    </row>
    <row r="1927" spans="11:13" x14ac:dyDescent="0.2">
      <c r="K1927" t="s">
        <v>41</v>
      </c>
      <c r="L1927" t="s">
        <v>37</v>
      </c>
      <c r="M1927">
        <v>0</v>
      </c>
    </row>
    <row r="1928" spans="11:13" x14ac:dyDescent="0.2">
      <c r="K1928" t="s">
        <v>42</v>
      </c>
      <c r="L1928" t="s">
        <v>38</v>
      </c>
      <c r="M1928">
        <v>1</v>
      </c>
    </row>
    <row r="1929" spans="11:13" x14ac:dyDescent="0.2">
      <c r="K1929" t="s">
        <v>42</v>
      </c>
      <c r="L1929" t="s">
        <v>38</v>
      </c>
      <c r="M1929">
        <v>0</v>
      </c>
    </row>
    <row r="1930" spans="11:13" x14ac:dyDescent="0.2">
      <c r="K1930" t="s">
        <v>42</v>
      </c>
      <c r="L1930" t="s">
        <v>38</v>
      </c>
      <c r="M1930">
        <v>0</v>
      </c>
    </row>
    <row r="1931" spans="11:13" x14ac:dyDescent="0.2">
      <c r="K1931" t="s">
        <v>42</v>
      </c>
      <c r="L1931" t="s">
        <v>38</v>
      </c>
      <c r="M1931">
        <v>0</v>
      </c>
    </row>
    <row r="1932" spans="11:13" x14ac:dyDescent="0.2">
      <c r="K1932" t="s">
        <v>42</v>
      </c>
      <c r="L1932" t="s">
        <v>38</v>
      </c>
      <c r="M1932">
        <v>0</v>
      </c>
    </row>
    <row r="1933" spans="11:13" x14ac:dyDescent="0.2">
      <c r="K1933" t="s">
        <v>42</v>
      </c>
      <c r="L1933" t="s">
        <v>38</v>
      </c>
      <c r="M1933">
        <v>0</v>
      </c>
    </row>
    <row r="1934" spans="11:13" x14ac:dyDescent="0.2">
      <c r="K1934" t="s">
        <v>41</v>
      </c>
      <c r="L1934" t="s">
        <v>37</v>
      </c>
      <c r="M1934">
        <v>0</v>
      </c>
    </row>
    <row r="1935" spans="11:13" x14ac:dyDescent="0.2">
      <c r="K1935" t="s">
        <v>42</v>
      </c>
      <c r="L1935" t="s">
        <v>38</v>
      </c>
      <c r="M1935">
        <v>0</v>
      </c>
    </row>
    <row r="1936" spans="11:13" x14ac:dyDescent="0.2">
      <c r="K1936" t="s">
        <v>42</v>
      </c>
      <c r="L1936" t="s">
        <v>38</v>
      </c>
      <c r="M1936">
        <v>0</v>
      </c>
    </row>
    <row r="1937" spans="11:13" x14ac:dyDescent="0.2">
      <c r="K1937" t="s">
        <v>42</v>
      </c>
      <c r="L1937" t="s">
        <v>38</v>
      </c>
      <c r="M1937">
        <v>0</v>
      </c>
    </row>
    <row r="1938" spans="11:13" x14ac:dyDescent="0.2">
      <c r="K1938" t="s">
        <v>41</v>
      </c>
      <c r="L1938" t="s">
        <v>37</v>
      </c>
      <c r="M1938">
        <v>0</v>
      </c>
    </row>
    <row r="1939" spans="11:13" x14ac:dyDescent="0.2">
      <c r="K1939" t="s">
        <v>42</v>
      </c>
      <c r="L1939" t="s">
        <v>38</v>
      </c>
      <c r="M1939">
        <v>0</v>
      </c>
    </row>
    <row r="1940" spans="11:13" x14ac:dyDescent="0.2">
      <c r="K1940" t="s">
        <v>42</v>
      </c>
      <c r="L1940" t="s">
        <v>38</v>
      </c>
      <c r="M1940">
        <v>0</v>
      </c>
    </row>
    <row r="1941" spans="11:13" x14ac:dyDescent="0.2">
      <c r="K1941" t="s">
        <v>42</v>
      </c>
      <c r="L1941" t="s">
        <v>38</v>
      </c>
      <c r="M1941">
        <v>1</v>
      </c>
    </row>
    <row r="1942" spans="11:13" x14ac:dyDescent="0.2">
      <c r="K1942" t="s">
        <v>42</v>
      </c>
      <c r="L1942" t="s">
        <v>38</v>
      </c>
      <c r="M1942">
        <v>0</v>
      </c>
    </row>
    <row r="1943" spans="11:13" x14ac:dyDescent="0.2">
      <c r="K1943" t="s">
        <v>41</v>
      </c>
      <c r="L1943" t="s">
        <v>37</v>
      </c>
      <c r="M1943">
        <v>0</v>
      </c>
    </row>
    <row r="1944" spans="11:13" x14ac:dyDescent="0.2">
      <c r="K1944" t="s">
        <v>41</v>
      </c>
      <c r="L1944" t="s">
        <v>37</v>
      </c>
      <c r="M1944">
        <v>0</v>
      </c>
    </row>
    <row r="1945" spans="11:13" x14ac:dyDescent="0.2">
      <c r="K1945" t="s">
        <v>42</v>
      </c>
      <c r="L1945" t="s">
        <v>38</v>
      </c>
      <c r="M1945">
        <v>0</v>
      </c>
    </row>
    <row r="1946" spans="11:13" x14ac:dyDescent="0.2">
      <c r="K1946" t="s">
        <v>42</v>
      </c>
      <c r="L1946" t="s">
        <v>38</v>
      </c>
      <c r="M1946">
        <v>0</v>
      </c>
    </row>
    <row r="1947" spans="11:13" x14ac:dyDescent="0.2">
      <c r="K1947" t="s">
        <v>41</v>
      </c>
      <c r="L1947" t="s">
        <v>37</v>
      </c>
      <c r="M1947">
        <v>0</v>
      </c>
    </row>
    <row r="1948" spans="11:13" x14ac:dyDescent="0.2">
      <c r="K1948" t="s">
        <v>41</v>
      </c>
      <c r="L1948" t="s">
        <v>37</v>
      </c>
      <c r="M1948">
        <v>0</v>
      </c>
    </row>
    <row r="1949" spans="11:13" x14ac:dyDescent="0.2">
      <c r="K1949" t="s">
        <v>42</v>
      </c>
      <c r="L1949" t="s">
        <v>38</v>
      </c>
      <c r="M1949">
        <v>0</v>
      </c>
    </row>
    <row r="1950" spans="11:13" x14ac:dyDescent="0.2">
      <c r="K1950" t="s">
        <v>41</v>
      </c>
      <c r="L1950" t="s">
        <v>37</v>
      </c>
      <c r="M1950">
        <v>0</v>
      </c>
    </row>
    <row r="1951" spans="11:13" x14ac:dyDescent="0.2">
      <c r="K1951" t="s">
        <v>41</v>
      </c>
      <c r="L1951" t="s">
        <v>37</v>
      </c>
      <c r="M1951">
        <v>0</v>
      </c>
    </row>
    <row r="1952" spans="11:13" x14ac:dyDescent="0.2">
      <c r="K1952" t="s">
        <v>41</v>
      </c>
      <c r="L1952" t="s">
        <v>37</v>
      </c>
      <c r="M1952">
        <v>0</v>
      </c>
    </row>
    <row r="1953" spans="11:13" x14ac:dyDescent="0.2">
      <c r="K1953" t="s">
        <v>41</v>
      </c>
      <c r="L1953" t="s">
        <v>37</v>
      </c>
      <c r="M1953">
        <v>0</v>
      </c>
    </row>
    <row r="1954" spans="11:13" x14ac:dyDescent="0.2">
      <c r="K1954" t="s">
        <v>42</v>
      </c>
      <c r="L1954" t="s">
        <v>38</v>
      </c>
      <c r="M1954">
        <v>0</v>
      </c>
    </row>
    <row r="1955" spans="11:13" x14ac:dyDescent="0.2">
      <c r="K1955" t="s">
        <v>41</v>
      </c>
      <c r="L1955" t="s">
        <v>37</v>
      </c>
      <c r="M1955">
        <v>0</v>
      </c>
    </row>
    <row r="1956" spans="11:13" x14ac:dyDescent="0.2">
      <c r="K1956" t="s">
        <v>41</v>
      </c>
      <c r="L1956" t="s">
        <v>37</v>
      </c>
      <c r="M1956">
        <v>0</v>
      </c>
    </row>
    <row r="1957" spans="11:13" x14ac:dyDescent="0.2">
      <c r="K1957" t="s">
        <v>41</v>
      </c>
      <c r="L1957" t="s">
        <v>37</v>
      </c>
      <c r="M1957">
        <v>0</v>
      </c>
    </row>
    <row r="1958" spans="11:13" x14ac:dyDescent="0.2">
      <c r="K1958" t="s">
        <v>42</v>
      </c>
      <c r="L1958" t="s">
        <v>38</v>
      </c>
      <c r="M1958">
        <v>0</v>
      </c>
    </row>
    <row r="1959" spans="11:13" x14ac:dyDescent="0.2">
      <c r="K1959" t="s">
        <v>42</v>
      </c>
      <c r="L1959" t="s">
        <v>38</v>
      </c>
      <c r="M1959">
        <v>0</v>
      </c>
    </row>
    <row r="1960" spans="11:13" x14ac:dyDescent="0.2">
      <c r="K1960" t="s">
        <v>41</v>
      </c>
      <c r="L1960" t="s">
        <v>37</v>
      </c>
      <c r="M1960">
        <v>0</v>
      </c>
    </row>
    <row r="1961" spans="11:13" x14ac:dyDescent="0.2">
      <c r="K1961" t="s">
        <v>41</v>
      </c>
      <c r="L1961" t="s">
        <v>37</v>
      </c>
      <c r="M1961">
        <v>1</v>
      </c>
    </row>
    <row r="1962" spans="11:13" x14ac:dyDescent="0.2">
      <c r="K1962" t="s">
        <v>42</v>
      </c>
      <c r="L1962" t="s">
        <v>38</v>
      </c>
      <c r="M1962">
        <v>0</v>
      </c>
    </row>
    <row r="1963" spans="11:13" x14ac:dyDescent="0.2">
      <c r="K1963" t="s">
        <v>41</v>
      </c>
      <c r="L1963" t="s">
        <v>37</v>
      </c>
      <c r="M1963">
        <v>0</v>
      </c>
    </row>
    <row r="1964" spans="11:13" x14ac:dyDescent="0.2">
      <c r="K1964" t="s">
        <v>41</v>
      </c>
      <c r="L1964" t="s">
        <v>37</v>
      </c>
      <c r="M1964">
        <v>0</v>
      </c>
    </row>
    <row r="1965" spans="11:13" x14ac:dyDescent="0.2">
      <c r="K1965" t="s">
        <v>42</v>
      </c>
      <c r="L1965" t="s">
        <v>38</v>
      </c>
      <c r="M1965">
        <v>0</v>
      </c>
    </row>
    <row r="1966" spans="11:13" x14ac:dyDescent="0.2">
      <c r="K1966" t="s">
        <v>42</v>
      </c>
      <c r="L1966" t="s">
        <v>38</v>
      </c>
      <c r="M1966">
        <v>0</v>
      </c>
    </row>
    <row r="1967" spans="11:13" x14ac:dyDescent="0.2">
      <c r="K1967" t="s">
        <v>41</v>
      </c>
      <c r="L1967" t="s">
        <v>37</v>
      </c>
      <c r="M1967">
        <v>0</v>
      </c>
    </row>
    <row r="1968" spans="11:13" x14ac:dyDescent="0.2">
      <c r="K1968" t="s">
        <v>41</v>
      </c>
      <c r="L1968" t="s">
        <v>37</v>
      </c>
      <c r="M1968">
        <v>0</v>
      </c>
    </row>
    <row r="1969" spans="11:13" x14ac:dyDescent="0.2">
      <c r="K1969" t="s">
        <v>42</v>
      </c>
      <c r="L1969" t="s">
        <v>38</v>
      </c>
      <c r="M1969">
        <v>0</v>
      </c>
    </row>
    <row r="1970" spans="11:13" x14ac:dyDescent="0.2">
      <c r="K1970" t="s">
        <v>42</v>
      </c>
      <c r="L1970" t="s">
        <v>38</v>
      </c>
      <c r="M1970">
        <v>0</v>
      </c>
    </row>
    <row r="1971" spans="11:13" x14ac:dyDescent="0.2">
      <c r="K1971" t="s">
        <v>42</v>
      </c>
      <c r="L1971" t="s">
        <v>38</v>
      </c>
      <c r="M1971">
        <v>0</v>
      </c>
    </row>
    <row r="1972" spans="11:13" x14ac:dyDescent="0.2">
      <c r="K1972" t="s">
        <v>41</v>
      </c>
      <c r="L1972" t="s">
        <v>37</v>
      </c>
      <c r="M1972">
        <v>0</v>
      </c>
    </row>
    <row r="1973" spans="11:13" x14ac:dyDescent="0.2">
      <c r="K1973" t="s">
        <v>42</v>
      </c>
      <c r="L1973" t="s">
        <v>38</v>
      </c>
      <c r="M1973">
        <v>0</v>
      </c>
    </row>
    <row r="1974" spans="11:13" x14ac:dyDescent="0.2">
      <c r="K1974" t="s">
        <v>41</v>
      </c>
      <c r="L1974" t="s">
        <v>37</v>
      </c>
      <c r="M1974">
        <v>0</v>
      </c>
    </row>
    <row r="1975" spans="11:13" x14ac:dyDescent="0.2">
      <c r="K1975" t="s">
        <v>41</v>
      </c>
      <c r="L1975" t="s">
        <v>37</v>
      </c>
      <c r="M1975">
        <v>0</v>
      </c>
    </row>
    <row r="1976" spans="11:13" x14ac:dyDescent="0.2">
      <c r="K1976" t="s">
        <v>41</v>
      </c>
      <c r="L1976" t="s">
        <v>37</v>
      </c>
      <c r="M1976">
        <v>0</v>
      </c>
    </row>
    <row r="1977" spans="11:13" x14ac:dyDescent="0.2">
      <c r="K1977" t="s">
        <v>41</v>
      </c>
      <c r="L1977" t="s">
        <v>37</v>
      </c>
      <c r="M1977">
        <v>0</v>
      </c>
    </row>
    <row r="1978" spans="11:13" x14ac:dyDescent="0.2">
      <c r="K1978" t="s">
        <v>42</v>
      </c>
      <c r="L1978" t="s">
        <v>38</v>
      </c>
      <c r="M1978">
        <v>0</v>
      </c>
    </row>
    <row r="1979" spans="11:13" x14ac:dyDescent="0.2">
      <c r="K1979" t="s">
        <v>42</v>
      </c>
      <c r="L1979" t="s">
        <v>38</v>
      </c>
      <c r="M1979">
        <v>0</v>
      </c>
    </row>
    <row r="1980" spans="11:13" x14ac:dyDescent="0.2">
      <c r="K1980" t="s">
        <v>41</v>
      </c>
      <c r="L1980" t="s">
        <v>37</v>
      </c>
      <c r="M1980">
        <v>0</v>
      </c>
    </row>
    <row r="1981" spans="11:13" x14ac:dyDescent="0.2">
      <c r="K1981" t="s">
        <v>42</v>
      </c>
      <c r="L1981" t="s">
        <v>38</v>
      </c>
      <c r="M1981">
        <v>0</v>
      </c>
    </row>
    <row r="1982" spans="11:13" x14ac:dyDescent="0.2">
      <c r="K1982" t="s">
        <v>42</v>
      </c>
      <c r="L1982" t="s">
        <v>38</v>
      </c>
      <c r="M1982">
        <v>0</v>
      </c>
    </row>
    <row r="1983" spans="11:13" x14ac:dyDescent="0.2">
      <c r="K1983" t="s">
        <v>41</v>
      </c>
      <c r="L1983" t="s">
        <v>37</v>
      </c>
      <c r="M1983">
        <v>0</v>
      </c>
    </row>
    <row r="1984" spans="11:13" x14ac:dyDescent="0.2">
      <c r="K1984" t="s">
        <v>41</v>
      </c>
      <c r="L1984" t="s">
        <v>37</v>
      </c>
      <c r="M1984">
        <v>0</v>
      </c>
    </row>
    <row r="1985" spans="11:13" x14ac:dyDescent="0.2">
      <c r="K1985" t="s">
        <v>41</v>
      </c>
      <c r="L1985" t="s">
        <v>37</v>
      </c>
      <c r="M1985">
        <v>0</v>
      </c>
    </row>
    <row r="1986" spans="11:13" x14ac:dyDescent="0.2">
      <c r="K1986" t="s">
        <v>42</v>
      </c>
      <c r="L1986" t="s">
        <v>38</v>
      </c>
      <c r="M1986">
        <v>0</v>
      </c>
    </row>
    <row r="1987" spans="11:13" x14ac:dyDescent="0.2">
      <c r="K1987" t="s">
        <v>42</v>
      </c>
      <c r="L1987" t="s">
        <v>38</v>
      </c>
      <c r="M1987">
        <v>0</v>
      </c>
    </row>
    <row r="1988" spans="11:13" x14ac:dyDescent="0.2">
      <c r="K1988" t="s">
        <v>42</v>
      </c>
      <c r="L1988" t="s">
        <v>38</v>
      </c>
      <c r="M1988">
        <v>0</v>
      </c>
    </row>
    <row r="1989" spans="11:13" x14ac:dyDescent="0.2">
      <c r="K1989" t="s">
        <v>41</v>
      </c>
      <c r="L1989" t="s">
        <v>37</v>
      </c>
      <c r="M1989">
        <v>0</v>
      </c>
    </row>
    <row r="1990" spans="11:13" x14ac:dyDescent="0.2">
      <c r="K1990" t="s">
        <v>42</v>
      </c>
      <c r="L1990" t="s">
        <v>38</v>
      </c>
      <c r="M1990">
        <v>0</v>
      </c>
    </row>
    <row r="1991" spans="11:13" x14ac:dyDescent="0.2">
      <c r="K1991" t="s">
        <v>41</v>
      </c>
      <c r="L1991" t="s">
        <v>37</v>
      </c>
      <c r="M1991">
        <v>0</v>
      </c>
    </row>
    <row r="1992" spans="11:13" x14ac:dyDescent="0.2">
      <c r="K1992" t="s">
        <v>42</v>
      </c>
      <c r="L1992" t="s">
        <v>38</v>
      </c>
      <c r="M1992">
        <v>0</v>
      </c>
    </row>
    <row r="1993" spans="11:13" x14ac:dyDescent="0.2">
      <c r="K1993" t="s">
        <v>41</v>
      </c>
      <c r="L1993" t="s">
        <v>37</v>
      </c>
      <c r="M1993">
        <v>0</v>
      </c>
    </row>
    <row r="1994" spans="11:13" x14ac:dyDescent="0.2">
      <c r="K1994" t="s">
        <v>42</v>
      </c>
      <c r="L1994" t="s">
        <v>38</v>
      </c>
      <c r="M1994">
        <v>0</v>
      </c>
    </row>
    <row r="1995" spans="11:13" x14ac:dyDescent="0.2">
      <c r="K1995" t="s">
        <v>41</v>
      </c>
      <c r="L1995" t="s">
        <v>37</v>
      </c>
      <c r="M1995">
        <v>1</v>
      </c>
    </row>
    <row r="1996" spans="11:13" x14ac:dyDescent="0.2">
      <c r="K1996" t="s">
        <v>42</v>
      </c>
      <c r="L1996" t="s">
        <v>38</v>
      </c>
      <c r="M1996">
        <v>0</v>
      </c>
    </row>
    <row r="1997" spans="11:13" x14ac:dyDescent="0.2">
      <c r="K1997" t="s">
        <v>41</v>
      </c>
      <c r="L1997" t="s">
        <v>37</v>
      </c>
      <c r="M1997">
        <v>0</v>
      </c>
    </row>
    <row r="1998" spans="11:13" x14ac:dyDescent="0.2">
      <c r="K1998" t="s">
        <v>42</v>
      </c>
      <c r="L1998" t="s">
        <v>38</v>
      </c>
      <c r="M1998">
        <v>0</v>
      </c>
    </row>
    <row r="1999" spans="11:13" x14ac:dyDescent="0.2">
      <c r="K1999" t="s">
        <v>42</v>
      </c>
      <c r="L1999" t="s">
        <v>38</v>
      </c>
      <c r="M1999">
        <v>0</v>
      </c>
    </row>
    <row r="2000" spans="11:13" x14ac:dyDescent="0.2">
      <c r="K2000" t="s">
        <v>41</v>
      </c>
      <c r="L2000" t="s">
        <v>37</v>
      </c>
      <c r="M2000">
        <v>0</v>
      </c>
    </row>
    <row r="2001" spans="11:13" x14ac:dyDescent="0.2">
      <c r="K2001" t="s">
        <v>41</v>
      </c>
      <c r="L2001" t="s">
        <v>37</v>
      </c>
      <c r="M2001">
        <v>0</v>
      </c>
    </row>
    <row r="2002" spans="11:13" x14ac:dyDescent="0.2">
      <c r="K2002" t="s">
        <v>41</v>
      </c>
      <c r="L2002" t="s">
        <v>37</v>
      </c>
      <c r="M2002">
        <v>0</v>
      </c>
    </row>
    <row r="2003" spans="11:13" x14ac:dyDescent="0.2">
      <c r="K2003" t="s">
        <v>41</v>
      </c>
      <c r="L2003" t="s">
        <v>37</v>
      </c>
      <c r="M2003">
        <v>1</v>
      </c>
    </row>
    <row r="2004" spans="11:13" x14ac:dyDescent="0.2">
      <c r="K2004" t="s">
        <v>41</v>
      </c>
      <c r="L2004" t="s">
        <v>37</v>
      </c>
      <c r="M2004">
        <v>0</v>
      </c>
    </row>
    <row r="2005" spans="11:13" x14ac:dyDescent="0.2">
      <c r="K2005" t="s">
        <v>41</v>
      </c>
      <c r="L2005" t="s">
        <v>37</v>
      </c>
      <c r="M2005">
        <v>0</v>
      </c>
    </row>
    <row r="2006" spans="11:13" x14ac:dyDescent="0.2">
      <c r="K2006" t="s">
        <v>41</v>
      </c>
      <c r="L2006" t="s">
        <v>37</v>
      </c>
      <c r="M2006">
        <v>0</v>
      </c>
    </row>
    <row r="2007" spans="11:13" x14ac:dyDescent="0.2">
      <c r="K2007" t="s">
        <v>41</v>
      </c>
      <c r="L2007" t="s">
        <v>37</v>
      </c>
      <c r="M2007">
        <v>0</v>
      </c>
    </row>
    <row r="2008" spans="11:13" x14ac:dyDescent="0.2">
      <c r="K2008" t="s">
        <v>42</v>
      </c>
      <c r="L2008" t="s">
        <v>38</v>
      </c>
      <c r="M2008">
        <v>0</v>
      </c>
    </row>
    <row r="2009" spans="11:13" x14ac:dyDescent="0.2">
      <c r="K2009" t="s">
        <v>42</v>
      </c>
      <c r="L2009" t="s">
        <v>38</v>
      </c>
      <c r="M2009">
        <v>1</v>
      </c>
    </row>
    <row r="2010" spans="11:13" x14ac:dyDescent="0.2">
      <c r="K2010" t="s">
        <v>42</v>
      </c>
      <c r="L2010" t="s">
        <v>38</v>
      </c>
      <c r="M2010">
        <v>0</v>
      </c>
    </row>
    <row r="2011" spans="11:13" x14ac:dyDescent="0.2">
      <c r="K2011" t="s">
        <v>42</v>
      </c>
      <c r="L2011" t="s">
        <v>38</v>
      </c>
      <c r="M2011">
        <v>0</v>
      </c>
    </row>
    <row r="2012" spans="11:13" x14ac:dyDescent="0.2">
      <c r="K2012" t="s">
        <v>41</v>
      </c>
      <c r="L2012" t="s">
        <v>37</v>
      </c>
      <c r="M2012">
        <v>0</v>
      </c>
    </row>
    <row r="2013" spans="11:13" x14ac:dyDescent="0.2">
      <c r="K2013" t="s">
        <v>42</v>
      </c>
      <c r="L2013" t="s">
        <v>38</v>
      </c>
      <c r="M2013">
        <v>0</v>
      </c>
    </row>
    <row r="2014" spans="11:13" x14ac:dyDescent="0.2">
      <c r="K2014" t="s">
        <v>42</v>
      </c>
      <c r="L2014" t="s">
        <v>38</v>
      </c>
      <c r="M2014">
        <v>0</v>
      </c>
    </row>
    <row r="2015" spans="11:13" x14ac:dyDescent="0.2">
      <c r="K2015" t="s">
        <v>42</v>
      </c>
      <c r="L2015" t="s">
        <v>38</v>
      </c>
      <c r="M2015">
        <v>0</v>
      </c>
    </row>
    <row r="2016" spans="11:13" x14ac:dyDescent="0.2">
      <c r="K2016" t="s">
        <v>41</v>
      </c>
      <c r="L2016" t="s">
        <v>37</v>
      </c>
      <c r="M2016">
        <v>0</v>
      </c>
    </row>
    <row r="2017" spans="11:13" x14ac:dyDescent="0.2">
      <c r="K2017" t="s">
        <v>41</v>
      </c>
      <c r="L2017" t="s">
        <v>37</v>
      </c>
      <c r="M2017">
        <v>0</v>
      </c>
    </row>
    <row r="2018" spans="11:13" x14ac:dyDescent="0.2">
      <c r="K2018" t="s">
        <v>42</v>
      </c>
      <c r="L2018" t="s">
        <v>38</v>
      </c>
      <c r="M2018">
        <v>0</v>
      </c>
    </row>
    <row r="2019" spans="11:13" x14ac:dyDescent="0.2">
      <c r="K2019" t="s">
        <v>42</v>
      </c>
      <c r="L2019" t="s">
        <v>38</v>
      </c>
      <c r="M2019">
        <v>0</v>
      </c>
    </row>
    <row r="2020" spans="11:13" x14ac:dyDescent="0.2">
      <c r="K2020" t="s">
        <v>41</v>
      </c>
      <c r="L2020" t="s">
        <v>37</v>
      </c>
      <c r="M2020">
        <v>0</v>
      </c>
    </row>
    <row r="2021" spans="11:13" x14ac:dyDescent="0.2">
      <c r="K2021" t="s">
        <v>41</v>
      </c>
      <c r="L2021" t="s">
        <v>37</v>
      </c>
      <c r="M2021">
        <v>0</v>
      </c>
    </row>
    <row r="2022" spans="11:13" x14ac:dyDescent="0.2">
      <c r="K2022" t="s">
        <v>41</v>
      </c>
      <c r="L2022" t="s">
        <v>37</v>
      </c>
      <c r="M2022">
        <v>0</v>
      </c>
    </row>
    <row r="2023" spans="11:13" x14ac:dyDescent="0.2">
      <c r="K2023" t="s">
        <v>41</v>
      </c>
      <c r="L2023" t="s">
        <v>37</v>
      </c>
      <c r="M2023">
        <v>0</v>
      </c>
    </row>
    <row r="2024" spans="11:13" x14ac:dyDescent="0.2">
      <c r="K2024" t="s">
        <v>42</v>
      </c>
      <c r="L2024" t="s">
        <v>38</v>
      </c>
      <c r="M2024">
        <v>0</v>
      </c>
    </row>
    <row r="2025" spans="11:13" x14ac:dyDescent="0.2">
      <c r="K2025" t="s">
        <v>41</v>
      </c>
      <c r="L2025" t="s">
        <v>37</v>
      </c>
      <c r="M2025">
        <v>0</v>
      </c>
    </row>
    <row r="2026" spans="11:13" x14ac:dyDescent="0.2">
      <c r="K2026" t="s">
        <v>42</v>
      </c>
      <c r="L2026" t="s">
        <v>38</v>
      </c>
      <c r="M2026">
        <v>0</v>
      </c>
    </row>
    <row r="2027" spans="11:13" x14ac:dyDescent="0.2">
      <c r="K2027" t="s">
        <v>42</v>
      </c>
      <c r="L2027" t="s">
        <v>38</v>
      </c>
      <c r="M2027">
        <v>0</v>
      </c>
    </row>
    <row r="2028" spans="11:13" x14ac:dyDescent="0.2">
      <c r="K2028" t="s">
        <v>41</v>
      </c>
      <c r="L2028" t="s">
        <v>37</v>
      </c>
      <c r="M2028">
        <v>0</v>
      </c>
    </row>
    <row r="2029" spans="11:13" x14ac:dyDescent="0.2">
      <c r="K2029" t="s">
        <v>42</v>
      </c>
      <c r="L2029" t="s">
        <v>38</v>
      </c>
      <c r="M2029">
        <v>0</v>
      </c>
    </row>
    <row r="2030" spans="11:13" x14ac:dyDescent="0.2">
      <c r="K2030" t="s">
        <v>42</v>
      </c>
      <c r="L2030" t="s">
        <v>38</v>
      </c>
      <c r="M2030">
        <v>0</v>
      </c>
    </row>
    <row r="2031" spans="11:13" x14ac:dyDescent="0.2">
      <c r="K2031" t="s">
        <v>42</v>
      </c>
      <c r="L2031" t="s">
        <v>38</v>
      </c>
      <c r="M2031">
        <v>0</v>
      </c>
    </row>
    <row r="2032" spans="11:13" x14ac:dyDescent="0.2">
      <c r="K2032" t="s">
        <v>42</v>
      </c>
      <c r="L2032" t="s">
        <v>38</v>
      </c>
      <c r="M2032">
        <v>0</v>
      </c>
    </row>
    <row r="2033" spans="11:13" x14ac:dyDescent="0.2">
      <c r="K2033" t="s">
        <v>41</v>
      </c>
      <c r="L2033" t="s">
        <v>37</v>
      </c>
      <c r="M2033">
        <v>0</v>
      </c>
    </row>
    <row r="2034" spans="11:13" x14ac:dyDescent="0.2">
      <c r="K2034" t="s">
        <v>42</v>
      </c>
      <c r="L2034" t="s">
        <v>38</v>
      </c>
      <c r="M2034">
        <v>0</v>
      </c>
    </row>
    <row r="2035" spans="11:13" x14ac:dyDescent="0.2">
      <c r="K2035" t="s">
        <v>41</v>
      </c>
      <c r="L2035" t="s">
        <v>37</v>
      </c>
      <c r="M2035">
        <v>0</v>
      </c>
    </row>
    <row r="2036" spans="11:13" x14ac:dyDescent="0.2">
      <c r="K2036" t="s">
        <v>41</v>
      </c>
      <c r="L2036" t="s">
        <v>37</v>
      </c>
      <c r="M2036">
        <v>0</v>
      </c>
    </row>
    <row r="2037" spans="11:13" x14ac:dyDescent="0.2">
      <c r="K2037" t="s">
        <v>42</v>
      </c>
      <c r="L2037" t="s">
        <v>38</v>
      </c>
      <c r="M2037">
        <v>0</v>
      </c>
    </row>
    <row r="2038" spans="11:13" x14ac:dyDescent="0.2">
      <c r="K2038" t="s">
        <v>42</v>
      </c>
      <c r="L2038" t="s">
        <v>38</v>
      </c>
      <c r="M2038">
        <v>0</v>
      </c>
    </row>
    <row r="2039" spans="11:13" x14ac:dyDescent="0.2">
      <c r="K2039" t="s">
        <v>42</v>
      </c>
      <c r="L2039" t="s">
        <v>38</v>
      </c>
      <c r="M2039">
        <v>0</v>
      </c>
    </row>
    <row r="2040" spans="11:13" x14ac:dyDescent="0.2">
      <c r="K2040" t="s">
        <v>42</v>
      </c>
      <c r="L2040" t="s">
        <v>38</v>
      </c>
      <c r="M2040">
        <v>0</v>
      </c>
    </row>
    <row r="2041" spans="11:13" x14ac:dyDescent="0.2">
      <c r="K2041" t="s">
        <v>42</v>
      </c>
      <c r="L2041" t="s">
        <v>38</v>
      </c>
      <c r="M2041">
        <v>0</v>
      </c>
    </row>
    <row r="2042" spans="11:13" x14ac:dyDescent="0.2">
      <c r="K2042" t="s">
        <v>41</v>
      </c>
      <c r="L2042" t="s">
        <v>37</v>
      </c>
      <c r="M2042">
        <v>0</v>
      </c>
    </row>
    <row r="2043" spans="11:13" x14ac:dyDescent="0.2">
      <c r="K2043" t="s">
        <v>41</v>
      </c>
      <c r="L2043" t="s">
        <v>37</v>
      </c>
      <c r="M2043">
        <v>0</v>
      </c>
    </row>
    <row r="2044" spans="11:13" x14ac:dyDescent="0.2">
      <c r="K2044" t="s">
        <v>41</v>
      </c>
      <c r="L2044" t="s">
        <v>37</v>
      </c>
      <c r="M2044">
        <v>0</v>
      </c>
    </row>
    <row r="2045" spans="11:13" x14ac:dyDescent="0.2">
      <c r="K2045" t="s">
        <v>42</v>
      </c>
      <c r="L2045" t="s">
        <v>38</v>
      </c>
      <c r="M2045">
        <v>0</v>
      </c>
    </row>
    <row r="2046" spans="11:13" x14ac:dyDescent="0.2">
      <c r="K2046" t="s">
        <v>41</v>
      </c>
      <c r="L2046" t="s">
        <v>37</v>
      </c>
      <c r="M2046">
        <v>0</v>
      </c>
    </row>
    <row r="2047" spans="11:13" x14ac:dyDescent="0.2">
      <c r="K2047" t="s">
        <v>41</v>
      </c>
      <c r="L2047" t="s">
        <v>37</v>
      </c>
      <c r="M2047">
        <v>0</v>
      </c>
    </row>
    <row r="2048" spans="11:13" x14ac:dyDescent="0.2">
      <c r="K2048" t="s">
        <v>42</v>
      </c>
      <c r="L2048" t="s">
        <v>38</v>
      </c>
      <c r="M2048">
        <v>0</v>
      </c>
    </row>
    <row r="2049" spans="11:13" x14ac:dyDescent="0.2">
      <c r="K2049" t="s">
        <v>41</v>
      </c>
      <c r="L2049" t="s">
        <v>37</v>
      </c>
      <c r="M2049">
        <v>0</v>
      </c>
    </row>
    <row r="2050" spans="11:13" x14ac:dyDescent="0.2">
      <c r="K2050" t="s">
        <v>41</v>
      </c>
      <c r="L2050" t="s">
        <v>37</v>
      </c>
      <c r="M2050">
        <v>0</v>
      </c>
    </row>
    <row r="2051" spans="11:13" x14ac:dyDescent="0.2">
      <c r="K2051" t="s">
        <v>41</v>
      </c>
      <c r="L2051" t="s">
        <v>37</v>
      </c>
      <c r="M2051">
        <v>0</v>
      </c>
    </row>
    <row r="2052" spans="11:13" x14ac:dyDescent="0.2">
      <c r="K2052" t="s">
        <v>41</v>
      </c>
      <c r="L2052" t="s">
        <v>37</v>
      </c>
      <c r="M2052">
        <v>0</v>
      </c>
    </row>
    <row r="2053" spans="11:13" x14ac:dyDescent="0.2">
      <c r="K2053" t="s">
        <v>42</v>
      </c>
      <c r="L2053" t="s">
        <v>38</v>
      </c>
      <c r="M2053">
        <v>0</v>
      </c>
    </row>
    <row r="2054" spans="11:13" x14ac:dyDescent="0.2">
      <c r="K2054" t="s">
        <v>41</v>
      </c>
      <c r="L2054" t="s">
        <v>37</v>
      </c>
      <c r="M2054">
        <v>0</v>
      </c>
    </row>
    <row r="2055" spans="11:13" x14ac:dyDescent="0.2">
      <c r="K2055" t="s">
        <v>42</v>
      </c>
      <c r="L2055" t="s">
        <v>38</v>
      </c>
      <c r="M2055">
        <v>0</v>
      </c>
    </row>
    <row r="2056" spans="11:13" x14ac:dyDescent="0.2">
      <c r="K2056" t="s">
        <v>42</v>
      </c>
      <c r="L2056" t="s">
        <v>38</v>
      </c>
      <c r="M2056">
        <v>0</v>
      </c>
    </row>
    <row r="2057" spans="11:13" x14ac:dyDescent="0.2">
      <c r="K2057" t="s">
        <v>42</v>
      </c>
      <c r="L2057" t="s">
        <v>38</v>
      </c>
      <c r="M2057">
        <v>0</v>
      </c>
    </row>
    <row r="2058" spans="11:13" x14ac:dyDescent="0.2">
      <c r="K2058" t="s">
        <v>41</v>
      </c>
      <c r="L2058" t="s">
        <v>37</v>
      </c>
      <c r="M2058">
        <v>0</v>
      </c>
    </row>
    <row r="2059" spans="11:13" x14ac:dyDescent="0.2">
      <c r="K2059" t="s">
        <v>42</v>
      </c>
      <c r="L2059" t="s">
        <v>38</v>
      </c>
      <c r="M2059">
        <v>0</v>
      </c>
    </row>
    <row r="2060" spans="11:13" x14ac:dyDescent="0.2">
      <c r="K2060" t="s">
        <v>41</v>
      </c>
      <c r="L2060" t="s">
        <v>37</v>
      </c>
      <c r="M2060">
        <v>0</v>
      </c>
    </row>
    <row r="2061" spans="11:13" x14ac:dyDescent="0.2">
      <c r="K2061" t="s">
        <v>42</v>
      </c>
      <c r="L2061" t="s">
        <v>38</v>
      </c>
      <c r="M2061">
        <v>0</v>
      </c>
    </row>
    <row r="2062" spans="11:13" x14ac:dyDescent="0.2">
      <c r="K2062" t="s">
        <v>42</v>
      </c>
      <c r="L2062" t="s">
        <v>38</v>
      </c>
      <c r="M2062">
        <v>0</v>
      </c>
    </row>
    <row r="2063" spans="11:13" x14ac:dyDescent="0.2">
      <c r="K2063" t="s">
        <v>42</v>
      </c>
      <c r="L2063" t="s">
        <v>38</v>
      </c>
      <c r="M2063">
        <v>0</v>
      </c>
    </row>
    <row r="2064" spans="11:13" x14ac:dyDescent="0.2">
      <c r="K2064" t="s">
        <v>42</v>
      </c>
      <c r="L2064" t="s">
        <v>38</v>
      </c>
      <c r="M2064">
        <v>0</v>
      </c>
    </row>
    <row r="2065" spans="11:13" x14ac:dyDescent="0.2">
      <c r="K2065" t="s">
        <v>42</v>
      </c>
      <c r="L2065" t="s">
        <v>38</v>
      </c>
      <c r="M2065">
        <v>0</v>
      </c>
    </row>
    <row r="2066" spans="11:13" x14ac:dyDescent="0.2">
      <c r="K2066" t="s">
        <v>41</v>
      </c>
      <c r="L2066" t="s">
        <v>37</v>
      </c>
      <c r="M2066">
        <v>0</v>
      </c>
    </row>
    <row r="2067" spans="11:13" x14ac:dyDescent="0.2">
      <c r="K2067" t="s">
        <v>41</v>
      </c>
      <c r="L2067" t="s">
        <v>37</v>
      </c>
      <c r="M2067">
        <v>0</v>
      </c>
    </row>
    <row r="2068" spans="11:13" x14ac:dyDescent="0.2">
      <c r="K2068" t="s">
        <v>41</v>
      </c>
      <c r="L2068" t="s">
        <v>37</v>
      </c>
      <c r="M2068">
        <v>0</v>
      </c>
    </row>
    <row r="2069" spans="11:13" x14ac:dyDescent="0.2">
      <c r="K2069" t="s">
        <v>42</v>
      </c>
      <c r="L2069" t="s">
        <v>38</v>
      </c>
      <c r="M2069">
        <v>0</v>
      </c>
    </row>
    <row r="2070" spans="11:13" x14ac:dyDescent="0.2">
      <c r="K2070" t="s">
        <v>41</v>
      </c>
      <c r="L2070" t="s">
        <v>37</v>
      </c>
      <c r="M2070">
        <v>0</v>
      </c>
    </row>
    <row r="2071" spans="11:13" x14ac:dyDescent="0.2">
      <c r="K2071" t="s">
        <v>42</v>
      </c>
      <c r="L2071" t="s">
        <v>38</v>
      </c>
      <c r="M2071">
        <v>0</v>
      </c>
    </row>
    <row r="2072" spans="11:13" x14ac:dyDescent="0.2">
      <c r="K2072" t="s">
        <v>42</v>
      </c>
      <c r="L2072" t="s">
        <v>38</v>
      </c>
      <c r="M2072">
        <v>0</v>
      </c>
    </row>
    <row r="2073" spans="11:13" x14ac:dyDescent="0.2">
      <c r="K2073" t="s">
        <v>42</v>
      </c>
      <c r="L2073" t="s">
        <v>38</v>
      </c>
      <c r="M2073">
        <v>0</v>
      </c>
    </row>
    <row r="2074" spans="11:13" x14ac:dyDescent="0.2">
      <c r="K2074" t="s">
        <v>42</v>
      </c>
      <c r="L2074" t="s">
        <v>38</v>
      </c>
      <c r="M2074">
        <v>1</v>
      </c>
    </row>
    <row r="2075" spans="11:13" x14ac:dyDescent="0.2">
      <c r="K2075" t="s">
        <v>42</v>
      </c>
      <c r="L2075" t="s">
        <v>38</v>
      </c>
      <c r="M2075">
        <v>0</v>
      </c>
    </row>
    <row r="2076" spans="11:13" x14ac:dyDescent="0.2">
      <c r="K2076" t="s">
        <v>42</v>
      </c>
      <c r="L2076" t="s">
        <v>38</v>
      </c>
      <c r="M2076">
        <v>0</v>
      </c>
    </row>
    <row r="2077" spans="11:13" x14ac:dyDescent="0.2">
      <c r="K2077" t="s">
        <v>41</v>
      </c>
      <c r="L2077" t="s">
        <v>37</v>
      </c>
      <c r="M2077">
        <v>0</v>
      </c>
    </row>
    <row r="2078" spans="11:13" x14ac:dyDescent="0.2">
      <c r="K2078" t="s">
        <v>41</v>
      </c>
      <c r="L2078" t="s">
        <v>37</v>
      </c>
      <c r="M2078">
        <v>0</v>
      </c>
    </row>
    <row r="2079" spans="11:13" x14ac:dyDescent="0.2">
      <c r="K2079" t="s">
        <v>42</v>
      </c>
      <c r="L2079" t="s">
        <v>38</v>
      </c>
      <c r="M2079">
        <v>1</v>
      </c>
    </row>
    <row r="2080" spans="11:13" x14ac:dyDescent="0.2">
      <c r="K2080" t="s">
        <v>42</v>
      </c>
      <c r="L2080" t="s">
        <v>38</v>
      </c>
      <c r="M2080">
        <v>0</v>
      </c>
    </row>
    <row r="2081" spans="11:13" x14ac:dyDescent="0.2">
      <c r="K2081" t="s">
        <v>42</v>
      </c>
      <c r="L2081" t="s">
        <v>38</v>
      </c>
      <c r="M2081">
        <v>0</v>
      </c>
    </row>
    <row r="2082" spans="11:13" x14ac:dyDescent="0.2">
      <c r="K2082" t="s">
        <v>42</v>
      </c>
      <c r="L2082" t="s">
        <v>38</v>
      </c>
      <c r="M2082">
        <v>0</v>
      </c>
    </row>
    <row r="2083" spans="11:13" x14ac:dyDescent="0.2">
      <c r="K2083" t="s">
        <v>41</v>
      </c>
      <c r="L2083" t="s">
        <v>37</v>
      </c>
      <c r="M2083">
        <v>0</v>
      </c>
    </row>
    <row r="2084" spans="11:13" x14ac:dyDescent="0.2">
      <c r="K2084" t="s">
        <v>42</v>
      </c>
      <c r="L2084" t="s">
        <v>38</v>
      </c>
      <c r="M2084">
        <v>0</v>
      </c>
    </row>
    <row r="2085" spans="11:13" x14ac:dyDescent="0.2">
      <c r="K2085" t="s">
        <v>41</v>
      </c>
      <c r="L2085" t="s">
        <v>37</v>
      </c>
      <c r="M2085">
        <v>0</v>
      </c>
    </row>
    <row r="2086" spans="11:13" x14ac:dyDescent="0.2">
      <c r="K2086" t="s">
        <v>41</v>
      </c>
      <c r="L2086" t="s">
        <v>37</v>
      </c>
      <c r="M2086">
        <v>0</v>
      </c>
    </row>
    <row r="2087" spans="11:13" x14ac:dyDescent="0.2">
      <c r="K2087" t="s">
        <v>41</v>
      </c>
      <c r="L2087" t="s">
        <v>37</v>
      </c>
      <c r="M2087">
        <v>0</v>
      </c>
    </row>
    <row r="2088" spans="11:13" x14ac:dyDescent="0.2">
      <c r="K2088" t="s">
        <v>41</v>
      </c>
      <c r="L2088" t="s">
        <v>37</v>
      </c>
      <c r="M2088">
        <v>1</v>
      </c>
    </row>
    <row r="2089" spans="11:13" x14ac:dyDescent="0.2">
      <c r="K2089" t="s">
        <v>42</v>
      </c>
      <c r="L2089" t="s">
        <v>38</v>
      </c>
      <c r="M2089">
        <v>0</v>
      </c>
    </row>
    <row r="2090" spans="11:13" x14ac:dyDescent="0.2">
      <c r="K2090" t="s">
        <v>42</v>
      </c>
      <c r="L2090" t="s">
        <v>38</v>
      </c>
      <c r="M2090">
        <v>0</v>
      </c>
    </row>
    <row r="2091" spans="11:13" x14ac:dyDescent="0.2">
      <c r="K2091" t="s">
        <v>42</v>
      </c>
      <c r="L2091" t="s">
        <v>38</v>
      </c>
      <c r="M2091">
        <v>0</v>
      </c>
    </row>
    <row r="2092" spans="11:13" x14ac:dyDescent="0.2">
      <c r="K2092" t="s">
        <v>41</v>
      </c>
      <c r="L2092" t="s">
        <v>37</v>
      </c>
      <c r="M2092">
        <v>1</v>
      </c>
    </row>
    <row r="2093" spans="11:13" x14ac:dyDescent="0.2">
      <c r="K2093" t="s">
        <v>41</v>
      </c>
      <c r="L2093" t="s">
        <v>37</v>
      </c>
      <c r="M2093">
        <v>0</v>
      </c>
    </row>
    <row r="2094" spans="11:13" x14ac:dyDescent="0.2">
      <c r="K2094" t="s">
        <v>41</v>
      </c>
      <c r="L2094" t="s">
        <v>37</v>
      </c>
      <c r="M2094">
        <v>0</v>
      </c>
    </row>
    <row r="2095" spans="11:13" x14ac:dyDescent="0.2">
      <c r="K2095" t="s">
        <v>42</v>
      </c>
      <c r="L2095" t="s">
        <v>38</v>
      </c>
      <c r="M2095">
        <v>1</v>
      </c>
    </row>
    <row r="2096" spans="11:13" x14ac:dyDescent="0.2">
      <c r="K2096" t="s">
        <v>41</v>
      </c>
      <c r="L2096" t="s">
        <v>37</v>
      </c>
      <c r="M2096">
        <v>0</v>
      </c>
    </row>
    <row r="2097" spans="11:13" x14ac:dyDescent="0.2">
      <c r="K2097" t="s">
        <v>42</v>
      </c>
      <c r="L2097" t="s">
        <v>38</v>
      </c>
      <c r="M2097">
        <v>0</v>
      </c>
    </row>
    <row r="2098" spans="11:13" x14ac:dyDescent="0.2">
      <c r="K2098" t="s">
        <v>42</v>
      </c>
      <c r="L2098" t="s">
        <v>38</v>
      </c>
      <c r="M2098">
        <v>0</v>
      </c>
    </row>
    <row r="2099" spans="11:13" x14ac:dyDescent="0.2">
      <c r="K2099" t="s">
        <v>41</v>
      </c>
      <c r="L2099" t="s">
        <v>37</v>
      </c>
      <c r="M2099">
        <v>0</v>
      </c>
    </row>
    <row r="2100" spans="11:13" x14ac:dyDescent="0.2">
      <c r="K2100" t="s">
        <v>42</v>
      </c>
      <c r="L2100" t="s">
        <v>38</v>
      </c>
      <c r="M2100">
        <v>0</v>
      </c>
    </row>
    <row r="2101" spans="11:13" x14ac:dyDescent="0.2">
      <c r="K2101" t="s">
        <v>41</v>
      </c>
      <c r="L2101" t="s">
        <v>37</v>
      </c>
      <c r="M2101">
        <v>0</v>
      </c>
    </row>
    <row r="2102" spans="11:13" x14ac:dyDescent="0.2">
      <c r="K2102" t="s">
        <v>42</v>
      </c>
      <c r="L2102" t="s">
        <v>38</v>
      </c>
      <c r="M2102">
        <v>0</v>
      </c>
    </row>
    <row r="2103" spans="11:13" x14ac:dyDescent="0.2">
      <c r="K2103" t="s">
        <v>41</v>
      </c>
      <c r="L2103" t="s">
        <v>37</v>
      </c>
      <c r="M2103">
        <v>0</v>
      </c>
    </row>
    <row r="2104" spans="11:13" x14ac:dyDescent="0.2">
      <c r="K2104" t="s">
        <v>42</v>
      </c>
      <c r="L2104" t="s">
        <v>38</v>
      </c>
      <c r="M2104">
        <v>0</v>
      </c>
    </row>
    <row r="2105" spans="11:13" x14ac:dyDescent="0.2">
      <c r="K2105" t="s">
        <v>42</v>
      </c>
      <c r="L2105" t="s">
        <v>38</v>
      </c>
      <c r="M2105">
        <v>0</v>
      </c>
    </row>
    <row r="2106" spans="11:13" x14ac:dyDescent="0.2">
      <c r="K2106" t="s">
        <v>42</v>
      </c>
      <c r="L2106" t="s">
        <v>38</v>
      </c>
      <c r="M2106">
        <v>0</v>
      </c>
    </row>
    <row r="2107" spans="11:13" x14ac:dyDescent="0.2">
      <c r="K2107" t="s">
        <v>41</v>
      </c>
      <c r="L2107" t="s">
        <v>37</v>
      </c>
      <c r="M2107">
        <v>0</v>
      </c>
    </row>
    <row r="2108" spans="11:13" x14ac:dyDescent="0.2">
      <c r="K2108" t="s">
        <v>42</v>
      </c>
      <c r="L2108" t="s">
        <v>38</v>
      </c>
      <c r="M2108">
        <v>0</v>
      </c>
    </row>
    <row r="2109" spans="11:13" x14ac:dyDescent="0.2">
      <c r="K2109" t="s">
        <v>42</v>
      </c>
      <c r="L2109" t="s">
        <v>38</v>
      </c>
      <c r="M2109">
        <v>0</v>
      </c>
    </row>
    <row r="2110" spans="11:13" x14ac:dyDescent="0.2">
      <c r="K2110" t="s">
        <v>42</v>
      </c>
      <c r="L2110" t="s">
        <v>38</v>
      </c>
      <c r="M2110">
        <v>0</v>
      </c>
    </row>
    <row r="2111" spans="11:13" x14ac:dyDescent="0.2">
      <c r="K2111" t="s">
        <v>41</v>
      </c>
      <c r="L2111" t="s">
        <v>37</v>
      </c>
      <c r="M2111">
        <v>0</v>
      </c>
    </row>
    <row r="2112" spans="11:13" x14ac:dyDescent="0.2">
      <c r="K2112" t="s">
        <v>41</v>
      </c>
      <c r="L2112" t="s">
        <v>37</v>
      </c>
      <c r="M2112">
        <v>0</v>
      </c>
    </row>
    <row r="2113" spans="11:13" x14ac:dyDescent="0.2">
      <c r="K2113" t="s">
        <v>41</v>
      </c>
      <c r="L2113" t="s">
        <v>37</v>
      </c>
      <c r="M2113">
        <v>0</v>
      </c>
    </row>
    <row r="2114" spans="11:13" x14ac:dyDescent="0.2">
      <c r="K2114" t="s">
        <v>42</v>
      </c>
      <c r="L2114" t="s">
        <v>38</v>
      </c>
      <c r="M2114">
        <v>0</v>
      </c>
    </row>
    <row r="2115" spans="11:13" x14ac:dyDescent="0.2">
      <c r="K2115" t="s">
        <v>41</v>
      </c>
      <c r="L2115" t="s">
        <v>37</v>
      </c>
      <c r="M2115">
        <v>1</v>
      </c>
    </row>
    <row r="2116" spans="11:13" x14ac:dyDescent="0.2">
      <c r="K2116" t="s">
        <v>42</v>
      </c>
      <c r="L2116" t="s">
        <v>38</v>
      </c>
      <c r="M2116">
        <v>0</v>
      </c>
    </row>
    <row r="2117" spans="11:13" x14ac:dyDescent="0.2">
      <c r="K2117" t="s">
        <v>41</v>
      </c>
      <c r="L2117" t="s">
        <v>37</v>
      </c>
      <c r="M2117">
        <v>0</v>
      </c>
    </row>
    <row r="2118" spans="11:13" x14ac:dyDescent="0.2">
      <c r="K2118" t="s">
        <v>42</v>
      </c>
      <c r="L2118" t="s">
        <v>38</v>
      </c>
      <c r="M2118">
        <v>0</v>
      </c>
    </row>
    <row r="2119" spans="11:13" x14ac:dyDescent="0.2">
      <c r="K2119" t="s">
        <v>42</v>
      </c>
      <c r="L2119" t="s">
        <v>38</v>
      </c>
      <c r="M2119">
        <v>0</v>
      </c>
    </row>
    <row r="2120" spans="11:13" x14ac:dyDescent="0.2">
      <c r="K2120" t="s">
        <v>42</v>
      </c>
      <c r="L2120" t="s">
        <v>38</v>
      </c>
      <c r="M2120">
        <v>0</v>
      </c>
    </row>
    <row r="2121" spans="11:13" x14ac:dyDescent="0.2">
      <c r="K2121" t="s">
        <v>42</v>
      </c>
      <c r="L2121" t="s">
        <v>38</v>
      </c>
      <c r="M2121">
        <v>0</v>
      </c>
    </row>
    <row r="2122" spans="11:13" x14ac:dyDescent="0.2">
      <c r="K2122" t="s">
        <v>41</v>
      </c>
      <c r="L2122" t="s">
        <v>37</v>
      </c>
      <c r="M2122">
        <v>0</v>
      </c>
    </row>
    <row r="2123" spans="11:13" x14ac:dyDescent="0.2">
      <c r="K2123" t="s">
        <v>42</v>
      </c>
      <c r="L2123" t="s">
        <v>38</v>
      </c>
      <c r="M2123">
        <v>0</v>
      </c>
    </row>
    <row r="2124" spans="11:13" x14ac:dyDescent="0.2">
      <c r="K2124" t="s">
        <v>42</v>
      </c>
      <c r="L2124" t="s">
        <v>38</v>
      </c>
      <c r="M2124">
        <v>0</v>
      </c>
    </row>
    <row r="2125" spans="11:13" x14ac:dyDescent="0.2">
      <c r="K2125" t="s">
        <v>42</v>
      </c>
      <c r="L2125" t="s">
        <v>38</v>
      </c>
      <c r="M2125">
        <v>0</v>
      </c>
    </row>
    <row r="2126" spans="11:13" x14ac:dyDescent="0.2">
      <c r="K2126" t="s">
        <v>41</v>
      </c>
      <c r="L2126" t="s">
        <v>37</v>
      </c>
      <c r="M2126">
        <v>0</v>
      </c>
    </row>
    <row r="2127" spans="11:13" x14ac:dyDescent="0.2">
      <c r="K2127" t="s">
        <v>41</v>
      </c>
      <c r="L2127" t="s">
        <v>37</v>
      </c>
      <c r="M2127">
        <v>0</v>
      </c>
    </row>
    <row r="2128" spans="11:13" x14ac:dyDescent="0.2">
      <c r="K2128" t="s">
        <v>41</v>
      </c>
      <c r="L2128" t="s">
        <v>37</v>
      </c>
      <c r="M2128">
        <v>0</v>
      </c>
    </row>
    <row r="2129" spans="11:13" x14ac:dyDescent="0.2">
      <c r="K2129" t="s">
        <v>41</v>
      </c>
      <c r="L2129" t="s">
        <v>37</v>
      </c>
      <c r="M2129">
        <v>0</v>
      </c>
    </row>
    <row r="2130" spans="11:13" x14ac:dyDescent="0.2">
      <c r="K2130" t="s">
        <v>41</v>
      </c>
      <c r="L2130" t="s">
        <v>37</v>
      </c>
      <c r="M2130">
        <v>0</v>
      </c>
    </row>
    <row r="2131" spans="11:13" x14ac:dyDescent="0.2">
      <c r="K2131" t="s">
        <v>42</v>
      </c>
      <c r="L2131" t="s">
        <v>38</v>
      </c>
      <c r="M2131">
        <v>0</v>
      </c>
    </row>
    <row r="2132" spans="11:13" x14ac:dyDescent="0.2">
      <c r="K2132" t="s">
        <v>41</v>
      </c>
      <c r="L2132" t="s">
        <v>37</v>
      </c>
      <c r="M2132">
        <v>0</v>
      </c>
    </row>
    <row r="2133" spans="11:13" x14ac:dyDescent="0.2">
      <c r="K2133" t="s">
        <v>42</v>
      </c>
      <c r="L2133" t="s">
        <v>38</v>
      </c>
      <c r="M2133">
        <v>0</v>
      </c>
    </row>
    <row r="2134" spans="11:13" x14ac:dyDescent="0.2">
      <c r="K2134" t="s">
        <v>42</v>
      </c>
      <c r="L2134" t="s">
        <v>38</v>
      </c>
      <c r="M2134">
        <v>0</v>
      </c>
    </row>
    <row r="2135" spans="11:13" x14ac:dyDescent="0.2">
      <c r="K2135" t="s">
        <v>41</v>
      </c>
      <c r="L2135" t="s">
        <v>37</v>
      </c>
      <c r="M2135">
        <v>0</v>
      </c>
    </row>
    <row r="2136" spans="11:13" x14ac:dyDescent="0.2">
      <c r="K2136" t="s">
        <v>41</v>
      </c>
      <c r="L2136" t="s">
        <v>37</v>
      </c>
      <c r="M2136">
        <v>0</v>
      </c>
    </row>
    <row r="2137" spans="11:13" x14ac:dyDescent="0.2">
      <c r="K2137" t="s">
        <v>42</v>
      </c>
      <c r="L2137" t="s">
        <v>38</v>
      </c>
      <c r="M2137">
        <v>0</v>
      </c>
    </row>
    <row r="2138" spans="11:13" x14ac:dyDescent="0.2">
      <c r="K2138" t="s">
        <v>42</v>
      </c>
      <c r="L2138" t="s">
        <v>38</v>
      </c>
      <c r="M2138">
        <v>0</v>
      </c>
    </row>
    <row r="2139" spans="11:13" x14ac:dyDescent="0.2">
      <c r="K2139" t="s">
        <v>42</v>
      </c>
      <c r="L2139" t="s">
        <v>38</v>
      </c>
      <c r="M2139">
        <v>0</v>
      </c>
    </row>
    <row r="2140" spans="11:13" x14ac:dyDescent="0.2">
      <c r="K2140" t="s">
        <v>42</v>
      </c>
      <c r="L2140" t="s">
        <v>38</v>
      </c>
      <c r="M2140">
        <v>0</v>
      </c>
    </row>
    <row r="2141" spans="11:13" x14ac:dyDescent="0.2">
      <c r="K2141" t="s">
        <v>41</v>
      </c>
      <c r="L2141" t="s">
        <v>37</v>
      </c>
      <c r="M2141">
        <v>0</v>
      </c>
    </row>
    <row r="2142" spans="11:13" x14ac:dyDescent="0.2">
      <c r="K2142" t="s">
        <v>41</v>
      </c>
      <c r="L2142" t="s">
        <v>37</v>
      </c>
      <c r="M2142">
        <v>0</v>
      </c>
    </row>
    <row r="2143" spans="11:13" x14ac:dyDescent="0.2">
      <c r="K2143" t="s">
        <v>42</v>
      </c>
      <c r="L2143" t="s">
        <v>38</v>
      </c>
      <c r="M2143">
        <v>0</v>
      </c>
    </row>
    <row r="2144" spans="11:13" x14ac:dyDescent="0.2">
      <c r="K2144" t="s">
        <v>42</v>
      </c>
      <c r="L2144" t="s">
        <v>38</v>
      </c>
      <c r="M2144">
        <v>0</v>
      </c>
    </row>
    <row r="2145" spans="11:13" x14ac:dyDescent="0.2">
      <c r="K2145" t="s">
        <v>41</v>
      </c>
      <c r="L2145" t="s">
        <v>37</v>
      </c>
      <c r="M2145">
        <v>0</v>
      </c>
    </row>
    <row r="2146" spans="11:13" x14ac:dyDescent="0.2">
      <c r="K2146" t="s">
        <v>42</v>
      </c>
      <c r="L2146" t="s">
        <v>38</v>
      </c>
      <c r="M2146">
        <v>0</v>
      </c>
    </row>
    <row r="2147" spans="11:13" x14ac:dyDescent="0.2">
      <c r="K2147" t="s">
        <v>41</v>
      </c>
      <c r="L2147" t="s">
        <v>37</v>
      </c>
      <c r="M2147">
        <v>0</v>
      </c>
    </row>
    <row r="2148" spans="11:13" x14ac:dyDescent="0.2">
      <c r="K2148" t="s">
        <v>41</v>
      </c>
      <c r="L2148" t="s">
        <v>37</v>
      </c>
      <c r="M2148">
        <v>0</v>
      </c>
    </row>
    <row r="2149" spans="11:13" x14ac:dyDescent="0.2">
      <c r="K2149" t="s">
        <v>41</v>
      </c>
      <c r="L2149" t="s">
        <v>37</v>
      </c>
      <c r="M2149">
        <v>0</v>
      </c>
    </row>
    <row r="2150" spans="11:13" x14ac:dyDescent="0.2">
      <c r="K2150" t="s">
        <v>42</v>
      </c>
      <c r="L2150" t="s">
        <v>38</v>
      </c>
      <c r="M2150">
        <v>0</v>
      </c>
    </row>
    <row r="2151" spans="11:13" x14ac:dyDescent="0.2">
      <c r="K2151" t="s">
        <v>42</v>
      </c>
      <c r="L2151" t="s">
        <v>38</v>
      </c>
      <c r="M2151">
        <v>0</v>
      </c>
    </row>
    <row r="2152" spans="11:13" x14ac:dyDescent="0.2">
      <c r="K2152" t="s">
        <v>42</v>
      </c>
      <c r="L2152" t="s">
        <v>38</v>
      </c>
      <c r="M2152">
        <v>1</v>
      </c>
    </row>
    <row r="2153" spans="11:13" x14ac:dyDescent="0.2">
      <c r="K2153" t="s">
        <v>41</v>
      </c>
      <c r="L2153" t="s">
        <v>37</v>
      </c>
      <c r="M2153">
        <v>0</v>
      </c>
    </row>
    <row r="2154" spans="11:13" x14ac:dyDescent="0.2">
      <c r="K2154" t="s">
        <v>42</v>
      </c>
      <c r="L2154" t="s">
        <v>38</v>
      </c>
      <c r="M2154">
        <v>0</v>
      </c>
    </row>
    <row r="2155" spans="11:13" x14ac:dyDescent="0.2">
      <c r="K2155" t="s">
        <v>42</v>
      </c>
      <c r="L2155" t="s">
        <v>38</v>
      </c>
      <c r="M2155">
        <v>0</v>
      </c>
    </row>
    <row r="2156" spans="11:13" x14ac:dyDescent="0.2">
      <c r="K2156" t="s">
        <v>42</v>
      </c>
      <c r="L2156" t="s">
        <v>38</v>
      </c>
      <c r="M2156">
        <v>0</v>
      </c>
    </row>
    <row r="2157" spans="11:13" x14ac:dyDescent="0.2">
      <c r="K2157" t="s">
        <v>42</v>
      </c>
      <c r="L2157" t="s">
        <v>38</v>
      </c>
      <c r="M2157">
        <v>0</v>
      </c>
    </row>
    <row r="2158" spans="11:13" x14ac:dyDescent="0.2">
      <c r="K2158" t="s">
        <v>42</v>
      </c>
      <c r="L2158" t="s">
        <v>38</v>
      </c>
      <c r="M2158">
        <v>0</v>
      </c>
    </row>
    <row r="2159" spans="11:13" x14ac:dyDescent="0.2">
      <c r="K2159" t="s">
        <v>41</v>
      </c>
      <c r="L2159" t="s">
        <v>37</v>
      </c>
      <c r="M2159">
        <v>0</v>
      </c>
    </row>
    <row r="2160" spans="11:13" x14ac:dyDescent="0.2">
      <c r="K2160" t="s">
        <v>42</v>
      </c>
      <c r="L2160" t="s">
        <v>38</v>
      </c>
      <c r="M2160">
        <v>0</v>
      </c>
    </row>
    <row r="2161" spans="11:13" x14ac:dyDescent="0.2">
      <c r="K2161" t="s">
        <v>41</v>
      </c>
      <c r="L2161" t="s">
        <v>37</v>
      </c>
      <c r="M2161">
        <v>1</v>
      </c>
    </row>
    <row r="2162" spans="11:13" x14ac:dyDescent="0.2">
      <c r="K2162" t="s">
        <v>42</v>
      </c>
      <c r="L2162" t="s">
        <v>38</v>
      </c>
      <c r="M2162">
        <v>0</v>
      </c>
    </row>
    <row r="2163" spans="11:13" x14ac:dyDescent="0.2">
      <c r="K2163" t="s">
        <v>42</v>
      </c>
      <c r="L2163" t="s">
        <v>38</v>
      </c>
      <c r="M2163">
        <v>0</v>
      </c>
    </row>
    <row r="2164" spans="11:13" x14ac:dyDescent="0.2">
      <c r="K2164" t="s">
        <v>41</v>
      </c>
      <c r="L2164" t="s">
        <v>37</v>
      </c>
      <c r="M2164">
        <v>0</v>
      </c>
    </row>
    <row r="2165" spans="11:13" x14ac:dyDescent="0.2">
      <c r="K2165" t="s">
        <v>41</v>
      </c>
      <c r="L2165" t="s">
        <v>37</v>
      </c>
      <c r="M2165">
        <v>0</v>
      </c>
    </row>
    <row r="2166" spans="11:13" x14ac:dyDescent="0.2">
      <c r="K2166" t="s">
        <v>42</v>
      </c>
      <c r="L2166" t="s">
        <v>38</v>
      </c>
      <c r="M2166">
        <v>0</v>
      </c>
    </row>
    <row r="2167" spans="11:13" x14ac:dyDescent="0.2">
      <c r="K2167" t="s">
        <v>41</v>
      </c>
      <c r="L2167" t="s">
        <v>37</v>
      </c>
      <c r="M2167">
        <v>0</v>
      </c>
    </row>
    <row r="2168" spans="11:13" x14ac:dyDescent="0.2">
      <c r="K2168" t="s">
        <v>41</v>
      </c>
      <c r="L2168" t="s">
        <v>37</v>
      </c>
      <c r="M2168">
        <v>0</v>
      </c>
    </row>
    <row r="2169" spans="11:13" x14ac:dyDescent="0.2">
      <c r="K2169" t="s">
        <v>41</v>
      </c>
      <c r="L2169" t="s">
        <v>37</v>
      </c>
      <c r="M2169">
        <v>0</v>
      </c>
    </row>
    <row r="2170" spans="11:13" x14ac:dyDescent="0.2">
      <c r="K2170" t="s">
        <v>41</v>
      </c>
      <c r="L2170" t="s">
        <v>37</v>
      </c>
      <c r="M2170">
        <v>0</v>
      </c>
    </row>
    <row r="2171" spans="11:13" x14ac:dyDescent="0.2">
      <c r="K2171" t="s">
        <v>42</v>
      </c>
      <c r="L2171" t="s">
        <v>38</v>
      </c>
      <c r="M2171">
        <v>0</v>
      </c>
    </row>
    <row r="2172" spans="11:13" x14ac:dyDescent="0.2">
      <c r="K2172" t="s">
        <v>41</v>
      </c>
      <c r="L2172" t="s">
        <v>37</v>
      </c>
      <c r="M2172">
        <v>0</v>
      </c>
    </row>
    <row r="2173" spans="11:13" x14ac:dyDescent="0.2">
      <c r="K2173" t="s">
        <v>41</v>
      </c>
      <c r="L2173" t="s">
        <v>37</v>
      </c>
      <c r="M2173">
        <v>0</v>
      </c>
    </row>
    <row r="2174" spans="11:13" x14ac:dyDescent="0.2">
      <c r="K2174" t="s">
        <v>42</v>
      </c>
      <c r="L2174" t="s">
        <v>38</v>
      </c>
      <c r="M2174">
        <v>0</v>
      </c>
    </row>
    <row r="2175" spans="11:13" x14ac:dyDescent="0.2">
      <c r="K2175" t="s">
        <v>42</v>
      </c>
      <c r="L2175" t="s">
        <v>38</v>
      </c>
      <c r="M2175">
        <v>0</v>
      </c>
    </row>
    <row r="2176" spans="11:13" x14ac:dyDescent="0.2">
      <c r="K2176" t="s">
        <v>42</v>
      </c>
      <c r="L2176" t="s">
        <v>38</v>
      </c>
      <c r="M2176">
        <v>0</v>
      </c>
    </row>
    <row r="2177" spans="11:13" x14ac:dyDescent="0.2">
      <c r="K2177" t="s">
        <v>42</v>
      </c>
      <c r="L2177" t="s">
        <v>38</v>
      </c>
      <c r="M2177">
        <v>0</v>
      </c>
    </row>
    <row r="2178" spans="11:13" x14ac:dyDescent="0.2">
      <c r="K2178" t="s">
        <v>41</v>
      </c>
      <c r="L2178" t="s">
        <v>37</v>
      </c>
      <c r="M2178">
        <v>0</v>
      </c>
    </row>
    <row r="2179" spans="11:13" x14ac:dyDescent="0.2">
      <c r="K2179" t="s">
        <v>41</v>
      </c>
      <c r="L2179" t="s">
        <v>37</v>
      </c>
      <c r="M2179">
        <v>0</v>
      </c>
    </row>
    <row r="2180" spans="11:13" x14ac:dyDescent="0.2">
      <c r="K2180" t="s">
        <v>42</v>
      </c>
      <c r="L2180" t="s">
        <v>38</v>
      </c>
      <c r="M2180">
        <v>0</v>
      </c>
    </row>
    <row r="2181" spans="11:13" x14ac:dyDescent="0.2">
      <c r="K2181" t="s">
        <v>42</v>
      </c>
      <c r="L2181" t="s">
        <v>38</v>
      </c>
      <c r="M2181">
        <v>0</v>
      </c>
    </row>
    <row r="2182" spans="11:13" x14ac:dyDescent="0.2">
      <c r="K2182" t="s">
        <v>41</v>
      </c>
      <c r="L2182" t="s">
        <v>37</v>
      </c>
      <c r="M2182">
        <v>0</v>
      </c>
    </row>
    <row r="2183" spans="11:13" x14ac:dyDescent="0.2">
      <c r="K2183" t="s">
        <v>42</v>
      </c>
      <c r="L2183" t="s">
        <v>38</v>
      </c>
      <c r="M2183">
        <v>0</v>
      </c>
    </row>
    <row r="2184" spans="11:13" x14ac:dyDescent="0.2">
      <c r="K2184" t="s">
        <v>41</v>
      </c>
      <c r="L2184" t="s">
        <v>37</v>
      </c>
      <c r="M2184">
        <v>0</v>
      </c>
    </row>
    <row r="2185" spans="11:13" x14ac:dyDescent="0.2">
      <c r="K2185" t="s">
        <v>41</v>
      </c>
      <c r="L2185" t="s">
        <v>37</v>
      </c>
      <c r="M2185">
        <v>0</v>
      </c>
    </row>
    <row r="2186" spans="11:13" x14ac:dyDescent="0.2">
      <c r="K2186" t="s">
        <v>41</v>
      </c>
      <c r="L2186" t="s">
        <v>37</v>
      </c>
      <c r="M2186">
        <v>0</v>
      </c>
    </row>
    <row r="2187" spans="11:13" x14ac:dyDescent="0.2">
      <c r="K2187" t="s">
        <v>42</v>
      </c>
      <c r="L2187" t="s">
        <v>38</v>
      </c>
      <c r="M2187">
        <v>0</v>
      </c>
    </row>
    <row r="2188" spans="11:13" x14ac:dyDescent="0.2">
      <c r="K2188" t="s">
        <v>41</v>
      </c>
      <c r="L2188" t="s">
        <v>37</v>
      </c>
      <c r="M2188">
        <v>0</v>
      </c>
    </row>
    <row r="2189" spans="11:13" x14ac:dyDescent="0.2">
      <c r="K2189" t="s">
        <v>42</v>
      </c>
      <c r="L2189" t="s">
        <v>38</v>
      </c>
      <c r="M2189">
        <v>0</v>
      </c>
    </row>
    <row r="2190" spans="11:13" x14ac:dyDescent="0.2">
      <c r="K2190" t="s">
        <v>41</v>
      </c>
      <c r="L2190" t="s">
        <v>37</v>
      </c>
      <c r="M2190">
        <v>0</v>
      </c>
    </row>
    <row r="2191" spans="11:13" x14ac:dyDescent="0.2">
      <c r="K2191" t="s">
        <v>41</v>
      </c>
      <c r="L2191" t="s">
        <v>37</v>
      </c>
      <c r="M2191">
        <v>0</v>
      </c>
    </row>
    <row r="2192" spans="11:13" x14ac:dyDescent="0.2">
      <c r="K2192" t="s">
        <v>41</v>
      </c>
      <c r="L2192" t="s">
        <v>37</v>
      </c>
      <c r="M2192">
        <v>0</v>
      </c>
    </row>
    <row r="2193" spans="11:13" x14ac:dyDescent="0.2">
      <c r="K2193" t="s">
        <v>41</v>
      </c>
      <c r="L2193" t="s">
        <v>37</v>
      </c>
      <c r="M2193">
        <v>1</v>
      </c>
    </row>
    <row r="2194" spans="11:13" x14ac:dyDescent="0.2">
      <c r="K2194" t="s">
        <v>41</v>
      </c>
      <c r="L2194" t="s">
        <v>37</v>
      </c>
      <c r="M2194">
        <v>0</v>
      </c>
    </row>
    <row r="2195" spans="11:13" x14ac:dyDescent="0.2">
      <c r="K2195" t="s">
        <v>42</v>
      </c>
      <c r="L2195" t="s">
        <v>38</v>
      </c>
      <c r="M2195">
        <v>0</v>
      </c>
    </row>
    <row r="2196" spans="11:13" x14ac:dyDescent="0.2">
      <c r="K2196" t="s">
        <v>42</v>
      </c>
      <c r="L2196" t="s">
        <v>38</v>
      </c>
      <c r="M2196">
        <v>0</v>
      </c>
    </row>
    <row r="2197" spans="11:13" x14ac:dyDescent="0.2">
      <c r="K2197" t="s">
        <v>42</v>
      </c>
      <c r="L2197" t="s">
        <v>38</v>
      </c>
      <c r="M2197">
        <v>0</v>
      </c>
    </row>
    <row r="2198" spans="11:13" x14ac:dyDescent="0.2">
      <c r="K2198" t="s">
        <v>42</v>
      </c>
      <c r="L2198" t="s">
        <v>38</v>
      </c>
      <c r="M2198">
        <v>0</v>
      </c>
    </row>
    <row r="2199" spans="11:13" x14ac:dyDescent="0.2">
      <c r="K2199" t="s">
        <v>42</v>
      </c>
      <c r="L2199" t="s">
        <v>38</v>
      </c>
      <c r="M2199">
        <v>0</v>
      </c>
    </row>
    <row r="2200" spans="11:13" x14ac:dyDescent="0.2">
      <c r="K2200" t="s">
        <v>42</v>
      </c>
      <c r="L2200" t="s">
        <v>38</v>
      </c>
      <c r="M2200">
        <v>0</v>
      </c>
    </row>
    <row r="2201" spans="11:13" x14ac:dyDescent="0.2">
      <c r="K2201" t="s">
        <v>41</v>
      </c>
      <c r="L2201" t="s">
        <v>37</v>
      </c>
      <c r="M2201">
        <v>0</v>
      </c>
    </row>
    <row r="2202" spans="11:13" x14ac:dyDescent="0.2">
      <c r="K2202" t="s">
        <v>41</v>
      </c>
      <c r="L2202" t="s">
        <v>37</v>
      </c>
      <c r="M2202">
        <v>0</v>
      </c>
    </row>
    <row r="2203" spans="11:13" x14ac:dyDescent="0.2">
      <c r="K2203" t="s">
        <v>41</v>
      </c>
      <c r="L2203" t="s">
        <v>37</v>
      </c>
      <c r="M2203">
        <v>0</v>
      </c>
    </row>
    <row r="2204" spans="11:13" x14ac:dyDescent="0.2">
      <c r="K2204" t="s">
        <v>42</v>
      </c>
      <c r="L2204" t="s">
        <v>38</v>
      </c>
      <c r="M2204">
        <v>0</v>
      </c>
    </row>
    <row r="2205" spans="11:13" x14ac:dyDescent="0.2">
      <c r="K2205" t="s">
        <v>42</v>
      </c>
      <c r="L2205" t="s">
        <v>38</v>
      </c>
      <c r="M2205">
        <v>0</v>
      </c>
    </row>
    <row r="2206" spans="11:13" x14ac:dyDescent="0.2">
      <c r="K2206" t="s">
        <v>41</v>
      </c>
      <c r="L2206" t="s">
        <v>37</v>
      </c>
      <c r="M2206">
        <v>0</v>
      </c>
    </row>
    <row r="2207" spans="11:13" x14ac:dyDescent="0.2">
      <c r="K2207" t="s">
        <v>41</v>
      </c>
      <c r="L2207" t="s">
        <v>37</v>
      </c>
      <c r="M2207">
        <v>0</v>
      </c>
    </row>
    <row r="2208" spans="11:13" x14ac:dyDescent="0.2">
      <c r="K2208" t="s">
        <v>42</v>
      </c>
      <c r="L2208" t="s">
        <v>38</v>
      </c>
      <c r="M2208">
        <v>0</v>
      </c>
    </row>
    <row r="2209" spans="11:13" x14ac:dyDescent="0.2">
      <c r="K2209" t="s">
        <v>42</v>
      </c>
      <c r="L2209" t="s">
        <v>38</v>
      </c>
      <c r="M2209">
        <v>0</v>
      </c>
    </row>
    <row r="2210" spans="11:13" x14ac:dyDescent="0.2">
      <c r="K2210" t="s">
        <v>42</v>
      </c>
      <c r="L2210" t="s">
        <v>38</v>
      </c>
      <c r="M2210">
        <v>0</v>
      </c>
    </row>
    <row r="2211" spans="11:13" x14ac:dyDescent="0.2">
      <c r="K2211" t="s">
        <v>42</v>
      </c>
      <c r="L2211" t="s">
        <v>38</v>
      </c>
      <c r="M2211">
        <v>0</v>
      </c>
    </row>
    <row r="2212" spans="11:13" x14ac:dyDescent="0.2">
      <c r="K2212" t="s">
        <v>41</v>
      </c>
      <c r="L2212" t="s">
        <v>37</v>
      </c>
      <c r="M2212">
        <v>0</v>
      </c>
    </row>
    <row r="2213" spans="11:13" x14ac:dyDescent="0.2">
      <c r="K2213" t="s">
        <v>42</v>
      </c>
      <c r="L2213" t="s">
        <v>38</v>
      </c>
      <c r="M2213">
        <v>0</v>
      </c>
    </row>
    <row r="2214" spans="11:13" x14ac:dyDescent="0.2">
      <c r="K2214" t="s">
        <v>41</v>
      </c>
      <c r="L2214" t="s">
        <v>37</v>
      </c>
      <c r="M2214">
        <v>0</v>
      </c>
    </row>
    <row r="2215" spans="11:13" x14ac:dyDescent="0.2">
      <c r="K2215" t="s">
        <v>41</v>
      </c>
      <c r="L2215" t="s">
        <v>37</v>
      </c>
      <c r="M2215">
        <v>0</v>
      </c>
    </row>
    <row r="2216" spans="11:13" x14ac:dyDescent="0.2">
      <c r="K2216" t="s">
        <v>41</v>
      </c>
      <c r="L2216" t="s">
        <v>37</v>
      </c>
      <c r="M2216">
        <v>0</v>
      </c>
    </row>
    <row r="2217" spans="11:13" x14ac:dyDescent="0.2">
      <c r="K2217" t="s">
        <v>42</v>
      </c>
      <c r="L2217" t="s">
        <v>38</v>
      </c>
      <c r="M2217">
        <v>0</v>
      </c>
    </row>
    <row r="2218" spans="11:13" x14ac:dyDescent="0.2">
      <c r="K2218" t="s">
        <v>41</v>
      </c>
      <c r="L2218" t="s">
        <v>37</v>
      </c>
      <c r="M2218">
        <v>0</v>
      </c>
    </row>
    <row r="2219" spans="11:13" x14ac:dyDescent="0.2">
      <c r="K2219" t="s">
        <v>42</v>
      </c>
      <c r="L2219" t="s">
        <v>38</v>
      </c>
      <c r="M2219">
        <v>0</v>
      </c>
    </row>
    <row r="2220" spans="11:13" x14ac:dyDescent="0.2">
      <c r="K2220" t="s">
        <v>42</v>
      </c>
      <c r="L2220" t="s">
        <v>38</v>
      </c>
      <c r="M2220">
        <v>0</v>
      </c>
    </row>
    <row r="2221" spans="11:13" x14ac:dyDescent="0.2">
      <c r="K2221" t="s">
        <v>42</v>
      </c>
      <c r="L2221" t="s">
        <v>38</v>
      </c>
      <c r="M2221">
        <v>0</v>
      </c>
    </row>
    <row r="2222" spans="11:13" x14ac:dyDescent="0.2">
      <c r="K2222" t="s">
        <v>41</v>
      </c>
      <c r="L2222" t="s">
        <v>37</v>
      </c>
      <c r="M2222">
        <v>0</v>
      </c>
    </row>
    <row r="2223" spans="11:13" x14ac:dyDescent="0.2">
      <c r="K2223" t="s">
        <v>41</v>
      </c>
      <c r="L2223" t="s">
        <v>37</v>
      </c>
      <c r="M2223">
        <v>0</v>
      </c>
    </row>
    <row r="2224" spans="11:13" x14ac:dyDescent="0.2">
      <c r="K2224" t="s">
        <v>41</v>
      </c>
      <c r="L2224" t="s">
        <v>37</v>
      </c>
      <c r="M2224">
        <v>0</v>
      </c>
    </row>
    <row r="2225" spans="11:13" x14ac:dyDescent="0.2">
      <c r="K2225" t="s">
        <v>41</v>
      </c>
      <c r="L2225" t="s">
        <v>37</v>
      </c>
      <c r="M2225">
        <v>0</v>
      </c>
    </row>
    <row r="2226" spans="11:13" x14ac:dyDescent="0.2">
      <c r="K2226" t="s">
        <v>41</v>
      </c>
      <c r="L2226" t="s">
        <v>37</v>
      </c>
      <c r="M2226">
        <v>0</v>
      </c>
    </row>
    <row r="2227" spans="11:13" x14ac:dyDescent="0.2">
      <c r="K2227" t="s">
        <v>42</v>
      </c>
      <c r="L2227" t="s">
        <v>38</v>
      </c>
      <c r="M2227">
        <v>0</v>
      </c>
    </row>
    <row r="2228" spans="11:13" x14ac:dyDescent="0.2">
      <c r="K2228" t="s">
        <v>41</v>
      </c>
      <c r="L2228" t="s">
        <v>37</v>
      </c>
      <c r="M2228">
        <v>0</v>
      </c>
    </row>
    <row r="2229" spans="11:13" x14ac:dyDescent="0.2">
      <c r="K2229" t="s">
        <v>41</v>
      </c>
      <c r="L2229" t="s">
        <v>37</v>
      </c>
      <c r="M2229">
        <v>0</v>
      </c>
    </row>
    <row r="2230" spans="11:13" x14ac:dyDescent="0.2">
      <c r="K2230" t="s">
        <v>41</v>
      </c>
      <c r="L2230" t="s">
        <v>37</v>
      </c>
      <c r="M2230">
        <v>0</v>
      </c>
    </row>
    <row r="2231" spans="11:13" x14ac:dyDescent="0.2">
      <c r="K2231" t="s">
        <v>42</v>
      </c>
      <c r="L2231" t="s">
        <v>38</v>
      </c>
      <c r="M2231">
        <v>0</v>
      </c>
    </row>
    <row r="2232" spans="11:13" x14ac:dyDescent="0.2">
      <c r="K2232" t="s">
        <v>41</v>
      </c>
      <c r="L2232" t="s">
        <v>37</v>
      </c>
      <c r="M2232">
        <v>0</v>
      </c>
    </row>
    <row r="2233" spans="11:13" x14ac:dyDescent="0.2">
      <c r="K2233" t="s">
        <v>41</v>
      </c>
      <c r="L2233" t="s">
        <v>37</v>
      </c>
      <c r="M2233">
        <v>0</v>
      </c>
    </row>
    <row r="2234" spans="11:13" x14ac:dyDescent="0.2">
      <c r="K2234" t="s">
        <v>42</v>
      </c>
      <c r="L2234" t="s">
        <v>38</v>
      </c>
      <c r="M2234">
        <v>0</v>
      </c>
    </row>
    <row r="2235" spans="11:13" x14ac:dyDescent="0.2">
      <c r="K2235" t="s">
        <v>41</v>
      </c>
      <c r="L2235" t="s">
        <v>37</v>
      </c>
      <c r="M2235">
        <v>0</v>
      </c>
    </row>
    <row r="2236" spans="11:13" x14ac:dyDescent="0.2">
      <c r="K2236" t="s">
        <v>42</v>
      </c>
      <c r="L2236" t="s">
        <v>38</v>
      </c>
      <c r="M2236">
        <v>1</v>
      </c>
    </row>
    <row r="2237" spans="11:13" x14ac:dyDescent="0.2">
      <c r="K2237" t="s">
        <v>42</v>
      </c>
      <c r="L2237" t="s">
        <v>38</v>
      </c>
      <c r="M2237">
        <v>0</v>
      </c>
    </row>
    <row r="2238" spans="11:13" x14ac:dyDescent="0.2">
      <c r="K2238" t="s">
        <v>41</v>
      </c>
      <c r="L2238" t="s">
        <v>37</v>
      </c>
      <c r="M2238">
        <v>0</v>
      </c>
    </row>
    <row r="2239" spans="11:13" x14ac:dyDescent="0.2">
      <c r="K2239" t="s">
        <v>41</v>
      </c>
      <c r="L2239" t="s">
        <v>37</v>
      </c>
      <c r="M2239">
        <v>0</v>
      </c>
    </row>
    <row r="2240" spans="11:13" x14ac:dyDescent="0.2">
      <c r="K2240" t="s">
        <v>41</v>
      </c>
      <c r="L2240" t="s">
        <v>37</v>
      </c>
      <c r="M2240">
        <v>0</v>
      </c>
    </row>
    <row r="2241" spans="11:13" x14ac:dyDescent="0.2">
      <c r="K2241" t="s">
        <v>42</v>
      </c>
      <c r="L2241" t="s">
        <v>38</v>
      </c>
      <c r="M2241">
        <v>0</v>
      </c>
    </row>
    <row r="2242" spans="11:13" x14ac:dyDescent="0.2">
      <c r="K2242" t="s">
        <v>42</v>
      </c>
      <c r="L2242" t="s">
        <v>38</v>
      </c>
      <c r="M2242">
        <v>1</v>
      </c>
    </row>
    <row r="2243" spans="11:13" x14ac:dyDescent="0.2">
      <c r="K2243" t="s">
        <v>41</v>
      </c>
      <c r="L2243" t="s">
        <v>37</v>
      </c>
      <c r="M2243">
        <v>0</v>
      </c>
    </row>
    <row r="2244" spans="11:13" x14ac:dyDescent="0.2">
      <c r="K2244" t="s">
        <v>42</v>
      </c>
      <c r="L2244" t="s">
        <v>38</v>
      </c>
      <c r="M2244">
        <v>0</v>
      </c>
    </row>
    <row r="2245" spans="11:13" x14ac:dyDescent="0.2">
      <c r="K2245" t="s">
        <v>42</v>
      </c>
      <c r="L2245" t="s">
        <v>38</v>
      </c>
      <c r="M2245">
        <v>0</v>
      </c>
    </row>
    <row r="2246" spans="11:13" x14ac:dyDescent="0.2">
      <c r="K2246" t="s">
        <v>42</v>
      </c>
      <c r="L2246" t="s">
        <v>38</v>
      </c>
      <c r="M2246">
        <v>0</v>
      </c>
    </row>
    <row r="2247" spans="11:13" x14ac:dyDescent="0.2">
      <c r="K2247" t="s">
        <v>41</v>
      </c>
      <c r="L2247" t="s">
        <v>37</v>
      </c>
      <c r="M2247">
        <v>0</v>
      </c>
    </row>
    <row r="2248" spans="11:13" x14ac:dyDescent="0.2">
      <c r="K2248" t="s">
        <v>41</v>
      </c>
      <c r="L2248" t="s">
        <v>37</v>
      </c>
      <c r="M2248">
        <v>0</v>
      </c>
    </row>
    <row r="2249" spans="11:13" x14ac:dyDescent="0.2">
      <c r="K2249" t="s">
        <v>41</v>
      </c>
      <c r="L2249" t="s">
        <v>37</v>
      </c>
      <c r="M2249">
        <v>0</v>
      </c>
    </row>
    <row r="2250" spans="11:13" x14ac:dyDescent="0.2">
      <c r="K2250" t="s">
        <v>41</v>
      </c>
      <c r="L2250" t="s">
        <v>37</v>
      </c>
      <c r="M2250">
        <v>0</v>
      </c>
    </row>
    <row r="2251" spans="11:13" x14ac:dyDescent="0.2">
      <c r="K2251" t="s">
        <v>42</v>
      </c>
      <c r="L2251" t="s">
        <v>38</v>
      </c>
      <c r="M2251">
        <v>0</v>
      </c>
    </row>
    <row r="2252" spans="11:13" x14ac:dyDescent="0.2">
      <c r="K2252" t="s">
        <v>42</v>
      </c>
      <c r="L2252" t="s">
        <v>38</v>
      </c>
      <c r="M2252">
        <v>1</v>
      </c>
    </row>
    <row r="2253" spans="11:13" x14ac:dyDescent="0.2">
      <c r="K2253" t="s">
        <v>42</v>
      </c>
      <c r="L2253" t="s">
        <v>38</v>
      </c>
      <c r="M2253">
        <v>0</v>
      </c>
    </row>
    <row r="2254" spans="11:13" x14ac:dyDescent="0.2">
      <c r="K2254" t="s">
        <v>42</v>
      </c>
      <c r="L2254" t="s">
        <v>38</v>
      </c>
      <c r="M2254">
        <v>0</v>
      </c>
    </row>
    <row r="2255" spans="11:13" x14ac:dyDescent="0.2">
      <c r="K2255" t="s">
        <v>41</v>
      </c>
      <c r="L2255" t="s">
        <v>37</v>
      </c>
      <c r="M2255">
        <v>0</v>
      </c>
    </row>
    <row r="2256" spans="11:13" x14ac:dyDescent="0.2">
      <c r="K2256" t="s">
        <v>41</v>
      </c>
      <c r="L2256" t="s">
        <v>37</v>
      </c>
      <c r="M2256">
        <v>0</v>
      </c>
    </row>
    <row r="2257" spans="11:13" x14ac:dyDescent="0.2">
      <c r="K2257" t="s">
        <v>42</v>
      </c>
      <c r="L2257" t="s">
        <v>38</v>
      </c>
      <c r="M2257">
        <v>0</v>
      </c>
    </row>
    <row r="2258" spans="11:13" x14ac:dyDescent="0.2">
      <c r="K2258" t="s">
        <v>42</v>
      </c>
      <c r="L2258" t="s">
        <v>38</v>
      </c>
      <c r="M2258">
        <v>0</v>
      </c>
    </row>
    <row r="2259" spans="11:13" x14ac:dyDescent="0.2">
      <c r="K2259" t="s">
        <v>41</v>
      </c>
      <c r="L2259" t="s">
        <v>37</v>
      </c>
      <c r="M2259">
        <v>0</v>
      </c>
    </row>
    <row r="2260" spans="11:13" x14ac:dyDescent="0.2">
      <c r="K2260" t="s">
        <v>42</v>
      </c>
      <c r="L2260" t="s">
        <v>38</v>
      </c>
      <c r="M2260">
        <v>0</v>
      </c>
    </row>
    <row r="2261" spans="11:13" x14ac:dyDescent="0.2">
      <c r="K2261" t="s">
        <v>41</v>
      </c>
      <c r="L2261" t="s">
        <v>37</v>
      </c>
      <c r="M2261">
        <v>0</v>
      </c>
    </row>
    <row r="2262" spans="11:13" x14ac:dyDescent="0.2">
      <c r="K2262" t="s">
        <v>41</v>
      </c>
      <c r="L2262" t="s">
        <v>37</v>
      </c>
      <c r="M2262">
        <v>0</v>
      </c>
    </row>
    <row r="2263" spans="11:13" x14ac:dyDescent="0.2">
      <c r="K2263" t="s">
        <v>41</v>
      </c>
      <c r="L2263" t="s">
        <v>37</v>
      </c>
      <c r="M2263">
        <v>0</v>
      </c>
    </row>
    <row r="2264" spans="11:13" x14ac:dyDescent="0.2">
      <c r="K2264" t="s">
        <v>41</v>
      </c>
      <c r="L2264" t="s">
        <v>37</v>
      </c>
      <c r="M2264">
        <v>0</v>
      </c>
    </row>
    <row r="2265" spans="11:13" x14ac:dyDescent="0.2">
      <c r="K2265" t="s">
        <v>42</v>
      </c>
      <c r="L2265" t="s">
        <v>38</v>
      </c>
      <c r="M2265">
        <v>0</v>
      </c>
    </row>
    <row r="2266" spans="11:13" x14ac:dyDescent="0.2">
      <c r="K2266" t="s">
        <v>42</v>
      </c>
      <c r="L2266" t="s">
        <v>38</v>
      </c>
      <c r="M2266">
        <v>0</v>
      </c>
    </row>
    <row r="2267" spans="11:13" x14ac:dyDescent="0.2">
      <c r="K2267" t="s">
        <v>42</v>
      </c>
      <c r="L2267" t="s">
        <v>38</v>
      </c>
      <c r="M2267">
        <v>0</v>
      </c>
    </row>
    <row r="2268" spans="11:13" x14ac:dyDescent="0.2">
      <c r="K2268" t="s">
        <v>41</v>
      </c>
      <c r="L2268" t="s">
        <v>37</v>
      </c>
      <c r="M2268">
        <v>0</v>
      </c>
    </row>
    <row r="2269" spans="11:13" x14ac:dyDescent="0.2">
      <c r="K2269" t="s">
        <v>42</v>
      </c>
      <c r="L2269" t="s">
        <v>38</v>
      </c>
      <c r="M2269">
        <v>1</v>
      </c>
    </row>
    <row r="2270" spans="11:13" x14ac:dyDescent="0.2">
      <c r="K2270" t="s">
        <v>42</v>
      </c>
      <c r="L2270" t="s">
        <v>38</v>
      </c>
      <c r="M2270">
        <v>0</v>
      </c>
    </row>
    <row r="2271" spans="11:13" x14ac:dyDescent="0.2">
      <c r="K2271" t="s">
        <v>42</v>
      </c>
      <c r="L2271" t="s">
        <v>38</v>
      </c>
      <c r="M2271">
        <v>0</v>
      </c>
    </row>
    <row r="2272" spans="11:13" x14ac:dyDescent="0.2">
      <c r="K2272" t="s">
        <v>41</v>
      </c>
      <c r="L2272" t="s">
        <v>37</v>
      </c>
      <c r="M2272">
        <v>0</v>
      </c>
    </row>
    <row r="2273" spans="11:13" x14ac:dyDescent="0.2">
      <c r="K2273" t="s">
        <v>42</v>
      </c>
      <c r="L2273" t="s">
        <v>38</v>
      </c>
      <c r="M2273">
        <v>0</v>
      </c>
    </row>
    <row r="2274" spans="11:13" x14ac:dyDescent="0.2">
      <c r="K2274" t="s">
        <v>42</v>
      </c>
      <c r="L2274" t="s">
        <v>38</v>
      </c>
      <c r="M2274">
        <v>0</v>
      </c>
    </row>
    <row r="2275" spans="11:13" x14ac:dyDescent="0.2">
      <c r="K2275" t="s">
        <v>42</v>
      </c>
      <c r="L2275" t="s">
        <v>38</v>
      </c>
      <c r="M2275">
        <v>0</v>
      </c>
    </row>
    <row r="2276" spans="11:13" x14ac:dyDescent="0.2">
      <c r="K2276" t="s">
        <v>42</v>
      </c>
      <c r="L2276" t="s">
        <v>38</v>
      </c>
      <c r="M2276">
        <v>0</v>
      </c>
    </row>
    <row r="2277" spans="11:13" x14ac:dyDescent="0.2">
      <c r="K2277" t="s">
        <v>41</v>
      </c>
      <c r="L2277" t="s">
        <v>37</v>
      </c>
      <c r="M2277">
        <v>0</v>
      </c>
    </row>
    <row r="2278" spans="11:13" x14ac:dyDescent="0.2">
      <c r="K2278" t="s">
        <v>42</v>
      </c>
      <c r="L2278" t="s">
        <v>38</v>
      </c>
      <c r="M2278">
        <v>0</v>
      </c>
    </row>
    <row r="2279" spans="11:13" x14ac:dyDescent="0.2">
      <c r="K2279" t="s">
        <v>41</v>
      </c>
      <c r="L2279" t="s">
        <v>37</v>
      </c>
      <c r="M2279">
        <v>0</v>
      </c>
    </row>
    <row r="2280" spans="11:13" x14ac:dyDescent="0.2">
      <c r="K2280" t="s">
        <v>41</v>
      </c>
      <c r="L2280" t="s">
        <v>37</v>
      </c>
      <c r="M2280">
        <v>0</v>
      </c>
    </row>
    <row r="2281" spans="11:13" x14ac:dyDescent="0.2">
      <c r="K2281" t="s">
        <v>41</v>
      </c>
      <c r="L2281" t="s">
        <v>37</v>
      </c>
      <c r="M2281">
        <v>0</v>
      </c>
    </row>
    <row r="2282" spans="11:13" x14ac:dyDescent="0.2">
      <c r="K2282" t="s">
        <v>41</v>
      </c>
      <c r="L2282" t="s">
        <v>37</v>
      </c>
      <c r="M2282">
        <v>0</v>
      </c>
    </row>
    <row r="2283" spans="11:13" x14ac:dyDescent="0.2">
      <c r="K2283" t="s">
        <v>42</v>
      </c>
      <c r="L2283" t="s">
        <v>38</v>
      </c>
      <c r="M2283">
        <v>0</v>
      </c>
    </row>
    <row r="2284" spans="11:13" x14ac:dyDescent="0.2">
      <c r="K2284" t="s">
        <v>41</v>
      </c>
      <c r="L2284" t="s">
        <v>37</v>
      </c>
      <c r="M2284">
        <v>0</v>
      </c>
    </row>
    <row r="2285" spans="11:13" x14ac:dyDescent="0.2">
      <c r="K2285" t="s">
        <v>42</v>
      </c>
      <c r="L2285" t="s">
        <v>38</v>
      </c>
      <c r="M2285">
        <v>0</v>
      </c>
    </row>
    <row r="2286" spans="11:13" x14ac:dyDescent="0.2">
      <c r="K2286" t="s">
        <v>42</v>
      </c>
      <c r="L2286" t="s">
        <v>38</v>
      </c>
      <c r="M2286">
        <v>0</v>
      </c>
    </row>
    <row r="2287" spans="11:13" x14ac:dyDescent="0.2">
      <c r="K2287" t="s">
        <v>41</v>
      </c>
      <c r="L2287" t="s">
        <v>37</v>
      </c>
      <c r="M2287">
        <v>1</v>
      </c>
    </row>
    <row r="2288" spans="11:13" x14ac:dyDescent="0.2">
      <c r="K2288" t="s">
        <v>42</v>
      </c>
      <c r="L2288" t="s">
        <v>38</v>
      </c>
      <c r="M2288">
        <v>0</v>
      </c>
    </row>
    <row r="2289" spans="11:13" x14ac:dyDescent="0.2">
      <c r="K2289" t="s">
        <v>42</v>
      </c>
      <c r="L2289" t="s">
        <v>38</v>
      </c>
      <c r="M2289">
        <v>0</v>
      </c>
    </row>
    <row r="2290" spans="11:13" x14ac:dyDescent="0.2">
      <c r="K2290" t="s">
        <v>42</v>
      </c>
      <c r="L2290" t="s">
        <v>38</v>
      </c>
      <c r="M2290">
        <v>1</v>
      </c>
    </row>
    <row r="2291" spans="11:13" x14ac:dyDescent="0.2">
      <c r="K2291" t="s">
        <v>41</v>
      </c>
      <c r="L2291" t="s">
        <v>37</v>
      </c>
      <c r="M2291">
        <v>0</v>
      </c>
    </row>
    <row r="2292" spans="11:13" x14ac:dyDescent="0.2">
      <c r="K2292" t="s">
        <v>42</v>
      </c>
      <c r="L2292" t="s">
        <v>38</v>
      </c>
      <c r="M2292">
        <v>0</v>
      </c>
    </row>
    <row r="2293" spans="11:13" x14ac:dyDescent="0.2">
      <c r="K2293" t="s">
        <v>42</v>
      </c>
      <c r="L2293" t="s">
        <v>38</v>
      </c>
      <c r="M2293">
        <v>0</v>
      </c>
    </row>
    <row r="2294" spans="11:13" x14ac:dyDescent="0.2">
      <c r="K2294" t="s">
        <v>42</v>
      </c>
      <c r="L2294" t="s">
        <v>38</v>
      </c>
      <c r="M2294">
        <v>0</v>
      </c>
    </row>
    <row r="2295" spans="11:13" x14ac:dyDescent="0.2">
      <c r="K2295" t="s">
        <v>42</v>
      </c>
      <c r="L2295" t="s">
        <v>38</v>
      </c>
      <c r="M2295">
        <v>0</v>
      </c>
    </row>
    <row r="2296" spans="11:13" x14ac:dyDescent="0.2">
      <c r="K2296" t="s">
        <v>41</v>
      </c>
      <c r="L2296" t="s">
        <v>37</v>
      </c>
      <c r="M2296">
        <v>0</v>
      </c>
    </row>
    <row r="2297" spans="11:13" x14ac:dyDescent="0.2">
      <c r="K2297" t="s">
        <v>41</v>
      </c>
      <c r="L2297" t="s">
        <v>37</v>
      </c>
      <c r="M2297">
        <v>1</v>
      </c>
    </row>
    <row r="2298" spans="11:13" x14ac:dyDescent="0.2">
      <c r="K2298" t="s">
        <v>41</v>
      </c>
      <c r="L2298" t="s">
        <v>37</v>
      </c>
      <c r="M2298">
        <v>1</v>
      </c>
    </row>
    <row r="2299" spans="11:13" x14ac:dyDescent="0.2">
      <c r="K2299" t="s">
        <v>42</v>
      </c>
      <c r="L2299" t="s">
        <v>38</v>
      </c>
      <c r="M2299">
        <v>0</v>
      </c>
    </row>
    <row r="2300" spans="11:13" x14ac:dyDescent="0.2">
      <c r="K2300" t="s">
        <v>41</v>
      </c>
      <c r="L2300" t="s">
        <v>37</v>
      </c>
      <c r="M2300">
        <v>0</v>
      </c>
    </row>
    <row r="2301" spans="11:13" x14ac:dyDescent="0.2">
      <c r="K2301" t="s">
        <v>41</v>
      </c>
      <c r="L2301" t="s">
        <v>37</v>
      </c>
      <c r="M2301">
        <v>0</v>
      </c>
    </row>
    <row r="2302" spans="11:13" x14ac:dyDescent="0.2">
      <c r="K2302" t="s">
        <v>41</v>
      </c>
      <c r="L2302" t="s">
        <v>37</v>
      </c>
      <c r="M2302">
        <v>0</v>
      </c>
    </row>
    <row r="2303" spans="11:13" x14ac:dyDescent="0.2">
      <c r="K2303" t="s">
        <v>41</v>
      </c>
      <c r="L2303" t="s">
        <v>37</v>
      </c>
      <c r="M2303">
        <v>0</v>
      </c>
    </row>
    <row r="2304" spans="11:13" x14ac:dyDescent="0.2">
      <c r="K2304" t="s">
        <v>41</v>
      </c>
      <c r="L2304" t="s">
        <v>37</v>
      </c>
      <c r="M2304">
        <v>0</v>
      </c>
    </row>
    <row r="2305" spans="11:13" x14ac:dyDescent="0.2">
      <c r="K2305" t="s">
        <v>42</v>
      </c>
      <c r="L2305" t="s">
        <v>38</v>
      </c>
      <c r="M2305">
        <v>0</v>
      </c>
    </row>
    <row r="2306" spans="11:13" x14ac:dyDescent="0.2">
      <c r="K2306" t="s">
        <v>41</v>
      </c>
      <c r="L2306" t="s">
        <v>37</v>
      </c>
      <c r="M2306">
        <v>0</v>
      </c>
    </row>
    <row r="2307" spans="11:13" x14ac:dyDescent="0.2">
      <c r="K2307" t="s">
        <v>41</v>
      </c>
      <c r="L2307" t="s">
        <v>37</v>
      </c>
      <c r="M2307">
        <v>0</v>
      </c>
    </row>
    <row r="2308" spans="11:13" x14ac:dyDescent="0.2">
      <c r="K2308" t="s">
        <v>42</v>
      </c>
      <c r="L2308" t="s">
        <v>38</v>
      </c>
      <c r="M2308">
        <v>0</v>
      </c>
    </row>
    <row r="2309" spans="11:13" x14ac:dyDescent="0.2">
      <c r="K2309" t="s">
        <v>41</v>
      </c>
      <c r="L2309" t="s">
        <v>37</v>
      </c>
      <c r="M2309">
        <v>0</v>
      </c>
    </row>
    <row r="2310" spans="11:13" x14ac:dyDescent="0.2">
      <c r="K2310" t="s">
        <v>42</v>
      </c>
      <c r="L2310" t="s">
        <v>38</v>
      </c>
      <c r="M2310">
        <v>0</v>
      </c>
    </row>
    <row r="2311" spans="11:13" x14ac:dyDescent="0.2">
      <c r="K2311" t="s">
        <v>42</v>
      </c>
      <c r="L2311" t="s">
        <v>38</v>
      </c>
      <c r="M2311">
        <v>0</v>
      </c>
    </row>
    <row r="2312" spans="11:13" x14ac:dyDescent="0.2">
      <c r="K2312" t="s">
        <v>42</v>
      </c>
      <c r="L2312" t="s">
        <v>38</v>
      </c>
      <c r="M2312">
        <v>0</v>
      </c>
    </row>
    <row r="2313" spans="11:13" x14ac:dyDescent="0.2">
      <c r="K2313" t="s">
        <v>42</v>
      </c>
      <c r="L2313" t="s">
        <v>38</v>
      </c>
      <c r="M2313">
        <v>0</v>
      </c>
    </row>
    <row r="2314" spans="11:13" x14ac:dyDescent="0.2">
      <c r="K2314" t="s">
        <v>41</v>
      </c>
      <c r="L2314" t="s">
        <v>37</v>
      </c>
      <c r="M2314">
        <v>0</v>
      </c>
    </row>
    <row r="2315" spans="11:13" x14ac:dyDescent="0.2">
      <c r="K2315" t="s">
        <v>42</v>
      </c>
      <c r="L2315" t="s">
        <v>38</v>
      </c>
      <c r="M2315">
        <v>0</v>
      </c>
    </row>
    <row r="2316" spans="11:13" x14ac:dyDescent="0.2">
      <c r="K2316" t="s">
        <v>41</v>
      </c>
      <c r="L2316" t="s">
        <v>37</v>
      </c>
      <c r="M2316">
        <v>0</v>
      </c>
    </row>
    <row r="2317" spans="11:13" x14ac:dyDescent="0.2">
      <c r="K2317" t="s">
        <v>42</v>
      </c>
      <c r="L2317" t="s">
        <v>38</v>
      </c>
      <c r="M2317">
        <v>0</v>
      </c>
    </row>
    <row r="2318" spans="11:13" x14ac:dyDescent="0.2">
      <c r="K2318" t="s">
        <v>42</v>
      </c>
      <c r="L2318" t="s">
        <v>38</v>
      </c>
      <c r="M2318">
        <v>0</v>
      </c>
    </row>
    <row r="2319" spans="11:13" x14ac:dyDescent="0.2">
      <c r="K2319" t="s">
        <v>42</v>
      </c>
      <c r="L2319" t="s">
        <v>38</v>
      </c>
      <c r="M2319">
        <v>0</v>
      </c>
    </row>
    <row r="2320" spans="11:13" x14ac:dyDescent="0.2">
      <c r="K2320" t="s">
        <v>41</v>
      </c>
      <c r="L2320" t="s">
        <v>37</v>
      </c>
      <c r="M2320">
        <v>0</v>
      </c>
    </row>
    <row r="2321" spans="11:13" x14ac:dyDescent="0.2">
      <c r="K2321" t="s">
        <v>41</v>
      </c>
      <c r="L2321" t="s">
        <v>37</v>
      </c>
      <c r="M2321">
        <v>0</v>
      </c>
    </row>
    <row r="2322" spans="11:13" x14ac:dyDescent="0.2">
      <c r="K2322" t="s">
        <v>41</v>
      </c>
      <c r="L2322" t="s">
        <v>37</v>
      </c>
      <c r="M2322">
        <v>0</v>
      </c>
    </row>
    <row r="2323" spans="11:13" x14ac:dyDescent="0.2">
      <c r="K2323" t="s">
        <v>41</v>
      </c>
      <c r="L2323" t="s">
        <v>37</v>
      </c>
      <c r="M2323">
        <v>0</v>
      </c>
    </row>
    <row r="2324" spans="11:13" x14ac:dyDescent="0.2">
      <c r="K2324" t="s">
        <v>42</v>
      </c>
      <c r="L2324" t="s">
        <v>38</v>
      </c>
      <c r="M2324">
        <v>1</v>
      </c>
    </row>
    <row r="2325" spans="11:13" x14ac:dyDescent="0.2">
      <c r="K2325" t="s">
        <v>42</v>
      </c>
      <c r="L2325" t="s">
        <v>38</v>
      </c>
      <c r="M2325">
        <v>0</v>
      </c>
    </row>
    <row r="2326" spans="11:13" x14ac:dyDescent="0.2">
      <c r="K2326" t="s">
        <v>42</v>
      </c>
      <c r="L2326" t="s">
        <v>38</v>
      </c>
      <c r="M2326">
        <v>0</v>
      </c>
    </row>
    <row r="2327" spans="11:13" x14ac:dyDescent="0.2">
      <c r="K2327" t="s">
        <v>41</v>
      </c>
      <c r="L2327" t="s">
        <v>37</v>
      </c>
      <c r="M2327">
        <v>0</v>
      </c>
    </row>
    <row r="2328" spans="11:13" x14ac:dyDescent="0.2">
      <c r="K2328" t="s">
        <v>42</v>
      </c>
      <c r="L2328" t="s">
        <v>38</v>
      </c>
      <c r="M2328">
        <v>0</v>
      </c>
    </row>
    <row r="2329" spans="11:13" x14ac:dyDescent="0.2">
      <c r="K2329" t="s">
        <v>41</v>
      </c>
      <c r="L2329" t="s">
        <v>37</v>
      </c>
      <c r="M2329">
        <v>0</v>
      </c>
    </row>
    <row r="2330" spans="11:13" x14ac:dyDescent="0.2">
      <c r="K2330" t="s">
        <v>42</v>
      </c>
      <c r="L2330" t="s">
        <v>38</v>
      </c>
      <c r="M2330">
        <v>0</v>
      </c>
    </row>
    <row r="2331" spans="11:13" x14ac:dyDescent="0.2">
      <c r="K2331" t="s">
        <v>42</v>
      </c>
      <c r="L2331" t="s">
        <v>38</v>
      </c>
      <c r="M2331">
        <v>0</v>
      </c>
    </row>
    <row r="2332" spans="11:13" x14ac:dyDescent="0.2">
      <c r="K2332" t="s">
        <v>42</v>
      </c>
      <c r="L2332" t="s">
        <v>38</v>
      </c>
      <c r="M2332">
        <v>1</v>
      </c>
    </row>
    <row r="2333" spans="11:13" x14ac:dyDescent="0.2">
      <c r="K2333" t="s">
        <v>41</v>
      </c>
      <c r="L2333" t="s">
        <v>37</v>
      </c>
      <c r="M2333">
        <v>0</v>
      </c>
    </row>
    <row r="2334" spans="11:13" x14ac:dyDescent="0.2">
      <c r="K2334" t="s">
        <v>41</v>
      </c>
      <c r="L2334" t="s">
        <v>37</v>
      </c>
      <c r="M2334">
        <v>0</v>
      </c>
    </row>
    <row r="2335" spans="11:13" x14ac:dyDescent="0.2">
      <c r="K2335" t="s">
        <v>41</v>
      </c>
      <c r="L2335" t="s">
        <v>37</v>
      </c>
      <c r="M2335">
        <v>0</v>
      </c>
    </row>
    <row r="2336" spans="11:13" x14ac:dyDescent="0.2">
      <c r="K2336" t="s">
        <v>42</v>
      </c>
      <c r="L2336" t="s">
        <v>38</v>
      </c>
      <c r="M2336">
        <v>0</v>
      </c>
    </row>
    <row r="2337" spans="11:13" x14ac:dyDescent="0.2">
      <c r="K2337" t="s">
        <v>42</v>
      </c>
      <c r="L2337" t="s">
        <v>38</v>
      </c>
      <c r="M2337">
        <v>0</v>
      </c>
    </row>
    <row r="2338" spans="11:13" x14ac:dyDescent="0.2">
      <c r="K2338" t="s">
        <v>42</v>
      </c>
      <c r="L2338" t="s">
        <v>38</v>
      </c>
      <c r="M2338">
        <v>1</v>
      </c>
    </row>
    <row r="2339" spans="11:13" x14ac:dyDescent="0.2">
      <c r="K2339" t="s">
        <v>41</v>
      </c>
      <c r="L2339" t="s">
        <v>37</v>
      </c>
      <c r="M2339">
        <v>0</v>
      </c>
    </row>
    <row r="2340" spans="11:13" x14ac:dyDescent="0.2">
      <c r="K2340" t="s">
        <v>41</v>
      </c>
      <c r="L2340" t="s">
        <v>37</v>
      </c>
      <c r="M2340">
        <v>0</v>
      </c>
    </row>
    <row r="2341" spans="11:13" x14ac:dyDescent="0.2">
      <c r="K2341" t="s">
        <v>42</v>
      </c>
      <c r="L2341" t="s">
        <v>38</v>
      </c>
      <c r="M2341">
        <v>0</v>
      </c>
    </row>
    <row r="2342" spans="11:13" x14ac:dyDescent="0.2">
      <c r="K2342" t="s">
        <v>42</v>
      </c>
      <c r="L2342" t="s">
        <v>38</v>
      </c>
      <c r="M2342">
        <v>0</v>
      </c>
    </row>
    <row r="2343" spans="11:13" x14ac:dyDescent="0.2">
      <c r="K2343" t="s">
        <v>41</v>
      </c>
      <c r="L2343" t="s">
        <v>37</v>
      </c>
      <c r="M2343">
        <v>0</v>
      </c>
    </row>
    <row r="2344" spans="11:13" x14ac:dyDescent="0.2">
      <c r="K2344" t="s">
        <v>41</v>
      </c>
      <c r="L2344" t="s">
        <v>37</v>
      </c>
      <c r="M2344">
        <v>0</v>
      </c>
    </row>
    <row r="2345" spans="11:13" x14ac:dyDescent="0.2">
      <c r="K2345" t="s">
        <v>41</v>
      </c>
      <c r="L2345" t="s">
        <v>37</v>
      </c>
      <c r="M2345">
        <v>0</v>
      </c>
    </row>
    <row r="2346" spans="11:13" x14ac:dyDescent="0.2">
      <c r="K2346" t="s">
        <v>42</v>
      </c>
      <c r="L2346" t="s">
        <v>38</v>
      </c>
      <c r="M2346">
        <v>0</v>
      </c>
    </row>
    <row r="2347" spans="11:13" x14ac:dyDescent="0.2">
      <c r="K2347" t="s">
        <v>41</v>
      </c>
      <c r="L2347" t="s">
        <v>37</v>
      </c>
      <c r="M2347">
        <v>0</v>
      </c>
    </row>
    <row r="2348" spans="11:13" x14ac:dyDescent="0.2">
      <c r="K2348" t="s">
        <v>41</v>
      </c>
      <c r="L2348" t="s">
        <v>37</v>
      </c>
      <c r="M2348">
        <v>0</v>
      </c>
    </row>
    <row r="2349" spans="11:13" x14ac:dyDescent="0.2">
      <c r="K2349" t="s">
        <v>41</v>
      </c>
      <c r="L2349" t="s">
        <v>37</v>
      </c>
      <c r="M2349">
        <v>0</v>
      </c>
    </row>
    <row r="2350" spans="11:13" x14ac:dyDescent="0.2">
      <c r="K2350" t="s">
        <v>42</v>
      </c>
      <c r="L2350" t="s">
        <v>38</v>
      </c>
      <c r="M2350">
        <v>0</v>
      </c>
    </row>
    <row r="2351" spans="11:13" x14ac:dyDescent="0.2">
      <c r="K2351" t="s">
        <v>41</v>
      </c>
      <c r="L2351" t="s">
        <v>37</v>
      </c>
      <c r="M2351">
        <v>0</v>
      </c>
    </row>
    <row r="2352" spans="11:13" x14ac:dyDescent="0.2">
      <c r="K2352" t="s">
        <v>41</v>
      </c>
      <c r="L2352" t="s">
        <v>37</v>
      </c>
      <c r="M2352">
        <v>0</v>
      </c>
    </row>
    <row r="2353" spans="11:13" x14ac:dyDescent="0.2">
      <c r="K2353" t="s">
        <v>42</v>
      </c>
      <c r="L2353" t="s">
        <v>38</v>
      </c>
      <c r="M2353">
        <v>0</v>
      </c>
    </row>
    <row r="2354" spans="11:13" x14ac:dyDescent="0.2">
      <c r="K2354" t="s">
        <v>41</v>
      </c>
      <c r="L2354" t="s">
        <v>37</v>
      </c>
      <c r="M2354">
        <v>0</v>
      </c>
    </row>
    <row r="2355" spans="11:13" x14ac:dyDescent="0.2">
      <c r="K2355" t="s">
        <v>42</v>
      </c>
      <c r="L2355" t="s">
        <v>38</v>
      </c>
      <c r="M2355">
        <v>0</v>
      </c>
    </row>
    <row r="2356" spans="11:13" x14ac:dyDescent="0.2">
      <c r="K2356" t="s">
        <v>41</v>
      </c>
      <c r="L2356" t="s">
        <v>37</v>
      </c>
      <c r="M2356">
        <v>0</v>
      </c>
    </row>
    <row r="2357" spans="11:13" x14ac:dyDescent="0.2">
      <c r="K2357" t="s">
        <v>41</v>
      </c>
      <c r="L2357" t="s">
        <v>37</v>
      </c>
      <c r="M2357">
        <v>0</v>
      </c>
    </row>
    <row r="2358" spans="11:13" x14ac:dyDescent="0.2">
      <c r="K2358" t="s">
        <v>41</v>
      </c>
      <c r="L2358" t="s">
        <v>37</v>
      </c>
      <c r="M2358">
        <v>0</v>
      </c>
    </row>
    <row r="2359" spans="11:13" x14ac:dyDescent="0.2">
      <c r="K2359" t="s">
        <v>41</v>
      </c>
      <c r="L2359" t="s">
        <v>37</v>
      </c>
      <c r="M2359">
        <v>0</v>
      </c>
    </row>
    <row r="2360" spans="11:13" x14ac:dyDescent="0.2">
      <c r="K2360" t="s">
        <v>41</v>
      </c>
      <c r="L2360" t="s">
        <v>37</v>
      </c>
      <c r="M2360">
        <v>0</v>
      </c>
    </row>
    <row r="2361" spans="11:13" x14ac:dyDescent="0.2">
      <c r="K2361" t="s">
        <v>42</v>
      </c>
      <c r="L2361" t="s">
        <v>38</v>
      </c>
      <c r="M2361">
        <v>0</v>
      </c>
    </row>
    <row r="2362" spans="11:13" x14ac:dyDescent="0.2">
      <c r="K2362" t="s">
        <v>41</v>
      </c>
      <c r="L2362" t="s">
        <v>37</v>
      </c>
      <c r="M2362">
        <v>0</v>
      </c>
    </row>
    <row r="2363" spans="11:13" x14ac:dyDescent="0.2">
      <c r="K2363" t="s">
        <v>41</v>
      </c>
      <c r="L2363" t="s">
        <v>37</v>
      </c>
      <c r="M2363">
        <v>0</v>
      </c>
    </row>
    <row r="2364" spans="11:13" x14ac:dyDescent="0.2">
      <c r="K2364" t="s">
        <v>42</v>
      </c>
      <c r="L2364" t="s">
        <v>38</v>
      </c>
      <c r="M2364">
        <v>0</v>
      </c>
    </row>
    <row r="2365" spans="11:13" x14ac:dyDescent="0.2">
      <c r="K2365" t="s">
        <v>42</v>
      </c>
      <c r="L2365" t="s">
        <v>38</v>
      </c>
      <c r="M2365">
        <v>0</v>
      </c>
    </row>
    <row r="2366" spans="11:13" x14ac:dyDescent="0.2">
      <c r="K2366" t="s">
        <v>42</v>
      </c>
      <c r="L2366" t="s">
        <v>38</v>
      </c>
      <c r="M2366">
        <v>0</v>
      </c>
    </row>
    <row r="2367" spans="11:13" x14ac:dyDescent="0.2">
      <c r="K2367" t="s">
        <v>41</v>
      </c>
      <c r="L2367" t="s">
        <v>37</v>
      </c>
      <c r="M2367">
        <v>0</v>
      </c>
    </row>
    <row r="2368" spans="11:13" x14ac:dyDescent="0.2">
      <c r="K2368" t="s">
        <v>41</v>
      </c>
      <c r="L2368" t="s">
        <v>37</v>
      </c>
      <c r="M2368">
        <v>0</v>
      </c>
    </row>
    <row r="2369" spans="11:13" x14ac:dyDescent="0.2">
      <c r="K2369" t="s">
        <v>42</v>
      </c>
      <c r="L2369" t="s">
        <v>38</v>
      </c>
      <c r="M2369">
        <v>0</v>
      </c>
    </row>
    <row r="2370" spans="11:13" x14ac:dyDescent="0.2">
      <c r="K2370" t="s">
        <v>41</v>
      </c>
      <c r="L2370" t="s">
        <v>37</v>
      </c>
      <c r="M2370">
        <v>1</v>
      </c>
    </row>
    <row r="2371" spans="11:13" x14ac:dyDescent="0.2">
      <c r="K2371" t="s">
        <v>42</v>
      </c>
      <c r="L2371" t="s">
        <v>38</v>
      </c>
      <c r="M2371">
        <v>0</v>
      </c>
    </row>
    <row r="2372" spans="11:13" x14ac:dyDescent="0.2">
      <c r="K2372" t="s">
        <v>42</v>
      </c>
      <c r="L2372" t="s">
        <v>38</v>
      </c>
      <c r="M2372">
        <v>0</v>
      </c>
    </row>
    <row r="2373" spans="11:13" x14ac:dyDescent="0.2">
      <c r="K2373" t="s">
        <v>41</v>
      </c>
      <c r="L2373" t="s">
        <v>37</v>
      </c>
      <c r="M2373">
        <v>0</v>
      </c>
    </row>
    <row r="2374" spans="11:13" x14ac:dyDescent="0.2">
      <c r="K2374" t="s">
        <v>42</v>
      </c>
      <c r="L2374" t="s">
        <v>38</v>
      </c>
      <c r="M2374">
        <v>0</v>
      </c>
    </row>
    <row r="2375" spans="11:13" x14ac:dyDescent="0.2">
      <c r="K2375" t="s">
        <v>41</v>
      </c>
      <c r="L2375" t="s">
        <v>37</v>
      </c>
      <c r="M2375">
        <v>0</v>
      </c>
    </row>
    <row r="2376" spans="11:13" x14ac:dyDescent="0.2">
      <c r="K2376" t="s">
        <v>41</v>
      </c>
      <c r="L2376" t="s">
        <v>37</v>
      </c>
      <c r="M2376">
        <v>0</v>
      </c>
    </row>
    <row r="2377" spans="11:13" x14ac:dyDescent="0.2">
      <c r="K2377" t="s">
        <v>41</v>
      </c>
      <c r="L2377" t="s">
        <v>37</v>
      </c>
      <c r="M2377">
        <v>0</v>
      </c>
    </row>
    <row r="2378" spans="11:13" x14ac:dyDescent="0.2">
      <c r="K2378" t="s">
        <v>41</v>
      </c>
      <c r="L2378" t="s">
        <v>37</v>
      </c>
      <c r="M2378">
        <v>0</v>
      </c>
    </row>
    <row r="2379" spans="11:13" x14ac:dyDescent="0.2">
      <c r="K2379" t="s">
        <v>42</v>
      </c>
      <c r="L2379" t="s">
        <v>38</v>
      </c>
      <c r="M2379">
        <v>0</v>
      </c>
    </row>
    <row r="2380" spans="11:13" x14ac:dyDescent="0.2">
      <c r="K2380" t="s">
        <v>41</v>
      </c>
      <c r="L2380" t="s">
        <v>37</v>
      </c>
      <c r="M2380">
        <v>0</v>
      </c>
    </row>
    <row r="2381" spans="11:13" x14ac:dyDescent="0.2">
      <c r="K2381" t="s">
        <v>42</v>
      </c>
      <c r="L2381" t="s">
        <v>38</v>
      </c>
      <c r="M2381">
        <v>0</v>
      </c>
    </row>
    <row r="2382" spans="11:13" x14ac:dyDescent="0.2">
      <c r="K2382" t="s">
        <v>41</v>
      </c>
      <c r="L2382" t="s">
        <v>37</v>
      </c>
      <c r="M2382">
        <v>0</v>
      </c>
    </row>
    <row r="2383" spans="11:13" x14ac:dyDescent="0.2">
      <c r="K2383" t="s">
        <v>42</v>
      </c>
      <c r="L2383" t="s">
        <v>38</v>
      </c>
      <c r="M2383">
        <v>0</v>
      </c>
    </row>
    <row r="2384" spans="11:13" x14ac:dyDescent="0.2">
      <c r="K2384" t="s">
        <v>41</v>
      </c>
      <c r="L2384" t="s">
        <v>37</v>
      </c>
      <c r="M2384">
        <v>0</v>
      </c>
    </row>
    <row r="2385" spans="11:13" x14ac:dyDescent="0.2">
      <c r="K2385" t="s">
        <v>42</v>
      </c>
      <c r="L2385" t="s">
        <v>38</v>
      </c>
      <c r="M2385">
        <v>0</v>
      </c>
    </row>
    <row r="2386" spans="11:13" x14ac:dyDescent="0.2">
      <c r="K2386" t="s">
        <v>42</v>
      </c>
      <c r="L2386" t="s">
        <v>38</v>
      </c>
      <c r="M2386">
        <v>0</v>
      </c>
    </row>
    <row r="2387" spans="11:13" x14ac:dyDescent="0.2">
      <c r="K2387" t="s">
        <v>41</v>
      </c>
      <c r="L2387" t="s">
        <v>37</v>
      </c>
      <c r="M2387">
        <v>0</v>
      </c>
    </row>
    <row r="2388" spans="11:13" x14ac:dyDescent="0.2">
      <c r="K2388" t="s">
        <v>42</v>
      </c>
      <c r="L2388" t="s">
        <v>38</v>
      </c>
      <c r="M2388">
        <v>0</v>
      </c>
    </row>
    <row r="2389" spans="11:13" x14ac:dyDescent="0.2">
      <c r="K2389" t="s">
        <v>41</v>
      </c>
      <c r="L2389" t="s">
        <v>37</v>
      </c>
      <c r="M2389">
        <v>0</v>
      </c>
    </row>
    <row r="2390" spans="11:13" x14ac:dyDescent="0.2">
      <c r="K2390" t="s">
        <v>41</v>
      </c>
      <c r="L2390" t="s">
        <v>37</v>
      </c>
      <c r="M2390">
        <v>0</v>
      </c>
    </row>
    <row r="2391" spans="11:13" x14ac:dyDescent="0.2">
      <c r="K2391" t="s">
        <v>41</v>
      </c>
      <c r="L2391" t="s">
        <v>37</v>
      </c>
      <c r="M2391">
        <v>0</v>
      </c>
    </row>
    <row r="2392" spans="11:13" x14ac:dyDescent="0.2">
      <c r="K2392" t="s">
        <v>42</v>
      </c>
      <c r="L2392" t="s">
        <v>38</v>
      </c>
      <c r="M2392">
        <v>0</v>
      </c>
    </row>
    <row r="2393" spans="11:13" x14ac:dyDescent="0.2">
      <c r="K2393" t="s">
        <v>42</v>
      </c>
      <c r="L2393" t="s">
        <v>38</v>
      </c>
      <c r="M2393">
        <v>0</v>
      </c>
    </row>
    <row r="2394" spans="11:13" x14ac:dyDescent="0.2">
      <c r="K2394" t="s">
        <v>41</v>
      </c>
      <c r="L2394" t="s">
        <v>37</v>
      </c>
      <c r="M2394">
        <v>0</v>
      </c>
    </row>
    <row r="2395" spans="11:13" x14ac:dyDescent="0.2">
      <c r="K2395" t="s">
        <v>42</v>
      </c>
      <c r="L2395" t="s">
        <v>38</v>
      </c>
      <c r="M2395">
        <v>0</v>
      </c>
    </row>
    <row r="2396" spans="11:13" x14ac:dyDescent="0.2">
      <c r="K2396" t="s">
        <v>42</v>
      </c>
      <c r="L2396" t="s">
        <v>38</v>
      </c>
      <c r="M2396">
        <v>0</v>
      </c>
    </row>
    <row r="2397" spans="11:13" x14ac:dyDescent="0.2">
      <c r="K2397" t="s">
        <v>42</v>
      </c>
      <c r="L2397" t="s">
        <v>38</v>
      </c>
      <c r="M2397">
        <v>0</v>
      </c>
    </row>
    <row r="2398" spans="11:13" x14ac:dyDescent="0.2">
      <c r="K2398" t="s">
        <v>41</v>
      </c>
      <c r="L2398" t="s">
        <v>37</v>
      </c>
      <c r="M2398">
        <v>0</v>
      </c>
    </row>
    <row r="2399" spans="11:13" x14ac:dyDescent="0.2">
      <c r="K2399" t="s">
        <v>41</v>
      </c>
      <c r="L2399" t="s">
        <v>37</v>
      </c>
      <c r="M2399">
        <v>0</v>
      </c>
    </row>
    <row r="2400" spans="11:13" x14ac:dyDescent="0.2">
      <c r="K2400" t="s">
        <v>41</v>
      </c>
      <c r="L2400" t="s">
        <v>37</v>
      </c>
      <c r="M2400">
        <v>0</v>
      </c>
    </row>
    <row r="2401" spans="11:13" x14ac:dyDescent="0.2">
      <c r="K2401" t="s">
        <v>41</v>
      </c>
      <c r="L2401" t="s">
        <v>37</v>
      </c>
      <c r="M2401">
        <v>0</v>
      </c>
    </row>
    <row r="2402" spans="11:13" x14ac:dyDescent="0.2">
      <c r="K2402" t="s">
        <v>42</v>
      </c>
      <c r="L2402" t="s">
        <v>38</v>
      </c>
      <c r="M2402">
        <v>0</v>
      </c>
    </row>
    <row r="2403" spans="11:13" x14ac:dyDescent="0.2">
      <c r="K2403" t="s">
        <v>41</v>
      </c>
      <c r="L2403" t="s">
        <v>37</v>
      </c>
      <c r="M2403">
        <v>0</v>
      </c>
    </row>
    <row r="2404" spans="11:13" x14ac:dyDescent="0.2">
      <c r="K2404" t="s">
        <v>41</v>
      </c>
      <c r="L2404" t="s">
        <v>37</v>
      </c>
      <c r="M2404">
        <v>0</v>
      </c>
    </row>
    <row r="2405" spans="11:13" x14ac:dyDescent="0.2">
      <c r="K2405" t="s">
        <v>42</v>
      </c>
      <c r="L2405" t="s">
        <v>38</v>
      </c>
      <c r="M2405">
        <v>1</v>
      </c>
    </row>
    <row r="2406" spans="11:13" x14ac:dyDescent="0.2">
      <c r="K2406" t="s">
        <v>42</v>
      </c>
      <c r="L2406" t="s">
        <v>38</v>
      </c>
      <c r="M2406">
        <v>0</v>
      </c>
    </row>
    <row r="2407" spans="11:13" x14ac:dyDescent="0.2">
      <c r="K2407" t="s">
        <v>42</v>
      </c>
      <c r="L2407" t="s">
        <v>38</v>
      </c>
      <c r="M2407">
        <v>0</v>
      </c>
    </row>
    <row r="2408" spans="11:13" x14ac:dyDescent="0.2">
      <c r="K2408" t="s">
        <v>42</v>
      </c>
      <c r="L2408" t="s">
        <v>38</v>
      </c>
      <c r="M2408">
        <v>0</v>
      </c>
    </row>
    <row r="2409" spans="11:13" x14ac:dyDescent="0.2">
      <c r="K2409" t="s">
        <v>42</v>
      </c>
      <c r="L2409" t="s">
        <v>38</v>
      </c>
      <c r="M2409">
        <v>0</v>
      </c>
    </row>
    <row r="2410" spans="11:13" x14ac:dyDescent="0.2">
      <c r="K2410" t="s">
        <v>41</v>
      </c>
      <c r="L2410" t="s">
        <v>37</v>
      </c>
      <c r="M2410">
        <v>0</v>
      </c>
    </row>
    <row r="2411" spans="11:13" x14ac:dyDescent="0.2">
      <c r="K2411" t="s">
        <v>41</v>
      </c>
      <c r="L2411" t="s">
        <v>37</v>
      </c>
      <c r="M2411">
        <v>0</v>
      </c>
    </row>
    <row r="2412" spans="11:13" x14ac:dyDescent="0.2">
      <c r="K2412" t="s">
        <v>42</v>
      </c>
      <c r="L2412" t="s">
        <v>38</v>
      </c>
      <c r="M2412">
        <v>0</v>
      </c>
    </row>
    <row r="2413" spans="11:13" x14ac:dyDescent="0.2">
      <c r="K2413" t="s">
        <v>41</v>
      </c>
      <c r="L2413" t="s">
        <v>37</v>
      </c>
      <c r="M2413">
        <v>0</v>
      </c>
    </row>
    <row r="2414" spans="11:13" x14ac:dyDescent="0.2">
      <c r="K2414" t="s">
        <v>41</v>
      </c>
      <c r="L2414" t="s">
        <v>37</v>
      </c>
      <c r="M2414">
        <v>0</v>
      </c>
    </row>
    <row r="2415" spans="11:13" x14ac:dyDescent="0.2">
      <c r="K2415" t="s">
        <v>42</v>
      </c>
      <c r="L2415" t="s">
        <v>38</v>
      </c>
      <c r="M2415">
        <v>0</v>
      </c>
    </row>
    <row r="2416" spans="11:13" x14ac:dyDescent="0.2">
      <c r="K2416" t="s">
        <v>42</v>
      </c>
      <c r="L2416" t="s">
        <v>38</v>
      </c>
      <c r="M2416">
        <v>0</v>
      </c>
    </row>
    <row r="2417" spans="11:13" x14ac:dyDescent="0.2">
      <c r="K2417" t="s">
        <v>41</v>
      </c>
      <c r="L2417" t="s">
        <v>37</v>
      </c>
      <c r="M2417">
        <v>0</v>
      </c>
    </row>
    <row r="2418" spans="11:13" x14ac:dyDescent="0.2">
      <c r="K2418" t="s">
        <v>41</v>
      </c>
      <c r="L2418" t="s">
        <v>37</v>
      </c>
      <c r="M2418">
        <v>0</v>
      </c>
    </row>
    <row r="2419" spans="11:13" x14ac:dyDescent="0.2">
      <c r="K2419" t="s">
        <v>42</v>
      </c>
      <c r="L2419" t="s">
        <v>38</v>
      </c>
      <c r="M2419">
        <v>0</v>
      </c>
    </row>
    <row r="2420" spans="11:13" x14ac:dyDescent="0.2">
      <c r="K2420" t="s">
        <v>42</v>
      </c>
      <c r="L2420" t="s">
        <v>38</v>
      </c>
      <c r="M2420">
        <v>0</v>
      </c>
    </row>
    <row r="2421" spans="11:13" x14ac:dyDescent="0.2">
      <c r="K2421" t="s">
        <v>42</v>
      </c>
      <c r="L2421" t="s">
        <v>38</v>
      </c>
      <c r="M2421">
        <v>0</v>
      </c>
    </row>
    <row r="2422" spans="11:13" x14ac:dyDescent="0.2">
      <c r="K2422" t="s">
        <v>42</v>
      </c>
      <c r="L2422" t="s">
        <v>38</v>
      </c>
      <c r="M2422">
        <v>0</v>
      </c>
    </row>
    <row r="2423" spans="11:13" x14ac:dyDescent="0.2">
      <c r="K2423" t="s">
        <v>41</v>
      </c>
      <c r="L2423" t="s">
        <v>37</v>
      </c>
      <c r="M2423">
        <v>0</v>
      </c>
    </row>
    <row r="2424" spans="11:13" x14ac:dyDescent="0.2">
      <c r="K2424" t="s">
        <v>41</v>
      </c>
      <c r="L2424" t="s">
        <v>37</v>
      </c>
      <c r="M2424">
        <v>0</v>
      </c>
    </row>
    <row r="2425" spans="11:13" x14ac:dyDescent="0.2">
      <c r="K2425" t="s">
        <v>42</v>
      </c>
      <c r="L2425" t="s">
        <v>38</v>
      </c>
      <c r="M2425">
        <v>0</v>
      </c>
    </row>
    <row r="2426" spans="11:13" x14ac:dyDescent="0.2">
      <c r="K2426" t="s">
        <v>41</v>
      </c>
      <c r="L2426" t="s">
        <v>37</v>
      </c>
      <c r="M2426">
        <v>0</v>
      </c>
    </row>
    <row r="2427" spans="11:13" x14ac:dyDescent="0.2">
      <c r="K2427" t="s">
        <v>42</v>
      </c>
      <c r="L2427" t="s">
        <v>38</v>
      </c>
      <c r="M2427">
        <v>0</v>
      </c>
    </row>
    <row r="2428" spans="11:13" x14ac:dyDescent="0.2">
      <c r="K2428" t="s">
        <v>41</v>
      </c>
      <c r="L2428" t="s">
        <v>37</v>
      </c>
      <c r="M2428">
        <v>0</v>
      </c>
    </row>
    <row r="2429" spans="11:13" x14ac:dyDescent="0.2">
      <c r="K2429" t="s">
        <v>42</v>
      </c>
      <c r="L2429" t="s">
        <v>38</v>
      </c>
      <c r="M2429">
        <v>0</v>
      </c>
    </row>
    <row r="2430" spans="11:13" x14ac:dyDescent="0.2">
      <c r="K2430" t="s">
        <v>42</v>
      </c>
      <c r="L2430" t="s">
        <v>38</v>
      </c>
      <c r="M2430">
        <v>0</v>
      </c>
    </row>
    <row r="2431" spans="11:13" x14ac:dyDescent="0.2">
      <c r="K2431" t="s">
        <v>41</v>
      </c>
      <c r="L2431" t="s">
        <v>37</v>
      </c>
      <c r="M2431">
        <v>1</v>
      </c>
    </row>
    <row r="2432" spans="11:13" x14ac:dyDescent="0.2">
      <c r="K2432" t="s">
        <v>42</v>
      </c>
      <c r="L2432" t="s">
        <v>38</v>
      </c>
      <c r="M2432">
        <v>0</v>
      </c>
    </row>
    <row r="2433" spans="11:13" x14ac:dyDescent="0.2">
      <c r="K2433" t="s">
        <v>42</v>
      </c>
      <c r="L2433" t="s">
        <v>38</v>
      </c>
      <c r="M2433">
        <v>0</v>
      </c>
    </row>
    <row r="2434" spans="11:13" x14ac:dyDescent="0.2">
      <c r="K2434" t="s">
        <v>42</v>
      </c>
      <c r="L2434" t="s">
        <v>38</v>
      </c>
      <c r="M2434">
        <v>0</v>
      </c>
    </row>
    <row r="2435" spans="11:13" x14ac:dyDescent="0.2">
      <c r="K2435" t="s">
        <v>41</v>
      </c>
      <c r="L2435" t="s">
        <v>37</v>
      </c>
      <c r="M2435">
        <v>0</v>
      </c>
    </row>
    <row r="2436" spans="11:13" x14ac:dyDescent="0.2">
      <c r="K2436" t="s">
        <v>42</v>
      </c>
      <c r="L2436" t="s">
        <v>38</v>
      </c>
      <c r="M2436">
        <v>0</v>
      </c>
    </row>
    <row r="2437" spans="11:13" x14ac:dyDescent="0.2">
      <c r="K2437" t="s">
        <v>41</v>
      </c>
      <c r="L2437" t="s">
        <v>37</v>
      </c>
      <c r="M2437">
        <v>0</v>
      </c>
    </row>
    <row r="2438" spans="11:13" x14ac:dyDescent="0.2">
      <c r="K2438" t="s">
        <v>42</v>
      </c>
      <c r="L2438" t="s">
        <v>38</v>
      </c>
      <c r="M2438">
        <v>0</v>
      </c>
    </row>
    <row r="2439" spans="11:13" x14ac:dyDescent="0.2">
      <c r="K2439" t="s">
        <v>41</v>
      </c>
      <c r="L2439" t="s">
        <v>37</v>
      </c>
      <c r="M2439">
        <v>0</v>
      </c>
    </row>
    <row r="2440" spans="11:13" x14ac:dyDescent="0.2">
      <c r="K2440" t="s">
        <v>42</v>
      </c>
      <c r="L2440" t="s">
        <v>38</v>
      </c>
      <c r="M2440">
        <v>0</v>
      </c>
    </row>
    <row r="2441" spans="11:13" x14ac:dyDescent="0.2">
      <c r="K2441" t="s">
        <v>42</v>
      </c>
      <c r="L2441" t="s">
        <v>38</v>
      </c>
      <c r="M2441">
        <v>0</v>
      </c>
    </row>
    <row r="2442" spans="11:13" x14ac:dyDescent="0.2">
      <c r="K2442" t="s">
        <v>42</v>
      </c>
      <c r="L2442" t="s">
        <v>38</v>
      </c>
      <c r="M2442">
        <v>0</v>
      </c>
    </row>
    <row r="2443" spans="11:13" x14ac:dyDescent="0.2">
      <c r="K2443" t="s">
        <v>41</v>
      </c>
      <c r="L2443" t="s">
        <v>37</v>
      </c>
      <c r="M2443">
        <v>0</v>
      </c>
    </row>
    <row r="2444" spans="11:13" x14ac:dyDescent="0.2">
      <c r="K2444" t="s">
        <v>41</v>
      </c>
      <c r="L2444" t="s">
        <v>37</v>
      </c>
      <c r="M2444">
        <v>0</v>
      </c>
    </row>
    <row r="2445" spans="11:13" x14ac:dyDescent="0.2">
      <c r="K2445" t="s">
        <v>41</v>
      </c>
      <c r="L2445" t="s">
        <v>37</v>
      </c>
      <c r="M2445">
        <v>0</v>
      </c>
    </row>
    <row r="2446" spans="11:13" x14ac:dyDescent="0.2">
      <c r="K2446" t="s">
        <v>41</v>
      </c>
      <c r="L2446" t="s">
        <v>37</v>
      </c>
      <c r="M2446">
        <v>0</v>
      </c>
    </row>
    <row r="2447" spans="11:13" x14ac:dyDescent="0.2">
      <c r="K2447" t="s">
        <v>42</v>
      </c>
      <c r="L2447" t="s">
        <v>38</v>
      </c>
      <c r="M2447">
        <v>0</v>
      </c>
    </row>
    <row r="2448" spans="11:13" x14ac:dyDescent="0.2">
      <c r="K2448" t="s">
        <v>41</v>
      </c>
      <c r="L2448" t="s">
        <v>37</v>
      </c>
      <c r="M2448">
        <v>0</v>
      </c>
    </row>
    <row r="2449" spans="11:13" x14ac:dyDescent="0.2">
      <c r="K2449" t="s">
        <v>42</v>
      </c>
      <c r="L2449" t="s">
        <v>38</v>
      </c>
      <c r="M2449">
        <v>0</v>
      </c>
    </row>
    <row r="2450" spans="11:13" x14ac:dyDescent="0.2">
      <c r="K2450" t="s">
        <v>41</v>
      </c>
      <c r="L2450" t="s">
        <v>37</v>
      </c>
      <c r="M2450">
        <v>0</v>
      </c>
    </row>
    <row r="2451" spans="11:13" x14ac:dyDescent="0.2">
      <c r="K2451" t="s">
        <v>42</v>
      </c>
      <c r="L2451" t="s">
        <v>38</v>
      </c>
      <c r="M2451">
        <v>0</v>
      </c>
    </row>
    <row r="2452" spans="11:13" x14ac:dyDescent="0.2">
      <c r="K2452" t="s">
        <v>42</v>
      </c>
      <c r="L2452" t="s">
        <v>38</v>
      </c>
      <c r="M2452">
        <v>0</v>
      </c>
    </row>
    <row r="2453" spans="11:13" x14ac:dyDescent="0.2">
      <c r="K2453" t="s">
        <v>41</v>
      </c>
      <c r="L2453" t="s">
        <v>37</v>
      </c>
      <c r="M2453">
        <v>0</v>
      </c>
    </row>
    <row r="2454" spans="11:13" x14ac:dyDescent="0.2">
      <c r="K2454" t="s">
        <v>42</v>
      </c>
      <c r="L2454" t="s">
        <v>38</v>
      </c>
      <c r="M2454">
        <v>0</v>
      </c>
    </row>
    <row r="2455" spans="11:13" x14ac:dyDescent="0.2">
      <c r="K2455" t="s">
        <v>42</v>
      </c>
      <c r="L2455" t="s">
        <v>38</v>
      </c>
      <c r="M2455">
        <v>0</v>
      </c>
    </row>
    <row r="2456" spans="11:13" x14ac:dyDescent="0.2">
      <c r="K2456" t="s">
        <v>42</v>
      </c>
      <c r="L2456" t="s">
        <v>38</v>
      </c>
      <c r="M2456">
        <v>0</v>
      </c>
    </row>
    <row r="2457" spans="11:13" x14ac:dyDescent="0.2">
      <c r="K2457" t="s">
        <v>41</v>
      </c>
      <c r="L2457" t="s">
        <v>37</v>
      </c>
      <c r="M2457">
        <v>0</v>
      </c>
    </row>
    <row r="2458" spans="11:13" x14ac:dyDescent="0.2">
      <c r="K2458" t="s">
        <v>41</v>
      </c>
      <c r="L2458" t="s">
        <v>37</v>
      </c>
      <c r="M2458">
        <v>0</v>
      </c>
    </row>
    <row r="2459" spans="11:13" x14ac:dyDescent="0.2">
      <c r="K2459" t="s">
        <v>42</v>
      </c>
      <c r="L2459" t="s">
        <v>38</v>
      </c>
      <c r="M2459">
        <v>0</v>
      </c>
    </row>
    <row r="2460" spans="11:13" x14ac:dyDescent="0.2">
      <c r="K2460" t="s">
        <v>42</v>
      </c>
      <c r="L2460" t="s">
        <v>38</v>
      </c>
      <c r="M2460">
        <v>0</v>
      </c>
    </row>
    <row r="2461" spans="11:13" x14ac:dyDescent="0.2">
      <c r="K2461" t="s">
        <v>41</v>
      </c>
      <c r="L2461" t="s">
        <v>37</v>
      </c>
      <c r="M2461">
        <v>0</v>
      </c>
    </row>
    <row r="2462" spans="11:13" x14ac:dyDescent="0.2">
      <c r="K2462" t="s">
        <v>42</v>
      </c>
      <c r="L2462" t="s">
        <v>38</v>
      </c>
      <c r="M2462">
        <v>1</v>
      </c>
    </row>
    <row r="2463" spans="11:13" x14ac:dyDescent="0.2">
      <c r="K2463" t="s">
        <v>42</v>
      </c>
      <c r="L2463" t="s">
        <v>38</v>
      </c>
      <c r="M2463">
        <v>0</v>
      </c>
    </row>
    <row r="2464" spans="11:13" x14ac:dyDescent="0.2">
      <c r="K2464" t="s">
        <v>42</v>
      </c>
      <c r="L2464" t="s">
        <v>38</v>
      </c>
      <c r="M2464">
        <v>0</v>
      </c>
    </row>
    <row r="2465" spans="11:13" x14ac:dyDescent="0.2">
      <c r="K2465" t="s">
        <v>42</v>
      </c>
      <c r="L2465" t="s">
        <v>38</v>
      </c>
      <c r="M2465">
        <v>0</v>
      </c>
    </row>
    <row r="2466" spans="11:13" x14ac:dyDescent="0.2">
      <c r="K2466" t="s">
        <v>41</v>
      </c>
      <c r="L2466" t="s">
        <v>37</v>
      </c>
      <c r="M2466">
        <v>0</v>
      </c>
    </row>
    <row r="2467" spans="11:13" x14ac:dyDescent="0.2">
      <c r="K2467" t="s">
        <v>42</v>
      </c>
      <c r="L2467" t="s">
        <v>38</v>
      </c>
      <c r="M2467">
        <v>0</v>
      </c>
    </row>
    <row r="2468" spans="11:13" x14ac:dyDescent="0.2">
      <c r="K2468" t="s">
        <v>42</v>
      </c>
      <c r="L2468" t="s">
        <v>38</v>
      </c>
      <c r="M2468">
        <v>0</v>
      </c>
    </row>
    <row r="2469" spans="11:13" x14ac:dyDescent="0.2">
      <c r="K2469" t="s">
        <v>42</v>
      </c>
      <c r="L2469" t="s">
        <v>38</v>
      </c>
      <c r="M2469">
        <v>0</v>
      </c>
    </row>
    <row r="2470" spans="11:13" x14ac:dyDescent="0.2">
      <c r="K2470" t="s">
        <v>42</v>
      </c>
      <c r="L2470" t="s">
        <v>38</v>
      </c>
      <c r="M2470">
        <v>0</v>
      </c>
    </row>
    <row r="2471" spans="11:13" x14ac:dyDescent="0.2">
      <c r="K2471" t="s">
        <v>42</v>
      </c>
      <c r="L2471" t="s">
        <v>38</v>
      </c>
      <c r="M2471">
        <v>0</v>
      </c>
    </row>
    <row r="2472" spans="11:13" x14ac:dyDescent="0.2">
      <c r="K2472" t="s">
        <v>42</v>
      </c>
      <c r="L2472" t="s">
        <v>38</v>
      </c>
      <c r="M2472">
        <v>0</v>
      </c>
    </row>
    <row r="2473" spans="11:13" x14ac:dyDescent="0.2">
      <c r="K2473" t="s">
        <v>42</v>
      </c>
      <c r="L2473" t="s">
        <v>38</v>
      </c>
      <c r="M2473">
        <v>0</v>
      </c>
    </row>
    <row r="2474" spans="11:13" x14ac:dyDescent="0.2">
      <c r="K2474" t="s">
        <v>41</v>
      </c>
      <c r="L2474" t="s">
        <v>37</v>
      </c>
      <c r="M2474">
        <v>0</v>
      </c>
    </row>
    <row r="2475" spans="11:13" x14ac:dyDescent="0.2">
      <c r="K2475" t="s">
        <v>41</v>
      </c>
      <c r="L2475" t="s">
        <v>37</v>
      </c>
      <c r="M2475">
        <v>0</v>
      </c>
    </row>
    <row r="2476" spans="11:13" x14ac:dyDescent="0.2">
      <c r="K2476" t="s">
        <v>41</v>
      </c>
      <c r="L2476" t="s">
        <v>37</v>
      </c>
      <c r="M2476">
        <v>0</v>
      </c>
    </row>
    <row r="2477" spans="11:13" x14ac:dyDescent="0.2">
      <c r="K2477" t="s">
        <v>41</v>
      </c>
      <c r="L2477" t="s">
        <v>37</v>
      </c>
      <c r="M2477">
        <v>0</v>
      </c>
    </row>
    <row r="2478" spans="11:13" x14ac:dyDescent="0.2">
      <c r="K2478" t="s">
        <v>41</v>
      </c>
      <c r="L2478" t="s">
        <v>37</v>
      </c>
      <c r="M2478">
        <v>0</v>
      </c>
    </row>
    <row r="2479" spans="11:13" x14ac:dyDescent="0.2">
      <c r="K2479" t="s">
        <v>41</v>
      </c>
      <c r="L2479" t="s">
        <v>37</v>
      </c>
      <c r="M2479">
        <v>0</v>
      </c>
    </row>
    <row r="2480" spans="11:13" x14ac:dyDescent="0.2">
      <c r="K2480" t="s">
        <v>42</v>
      </c>
      <c r="L2480" t="s">
        <v>38</v>
      </c>
      <c r="M2480">
        <v>0</v>
      </c>
    </row>
    <row r="2481" spans="11:13" x14ac:dyDescent="0.2">
      <c r="K2481" t="s">
        <v>41</v>
      </c>
      <c r="L2481" t="s">
        <v>37</v>
      </c>
      <c r="M2481">
        <v>0</v>
      </c>
    </row>
    <row r="2482" spans="11:13" x14ac:dyDescent="0.2">
      <c r="K2482" t="s">
        <v>42</v>
      </c>
      <c r="L2482" t="s">
        <v>38</v>
      </c>
      <c r="M2482">
        <v>0</v>
      </c>
    </row>
    <row r="2483" spans="11:13" x14ac:dyDescent="0.2">
      <c r="K2483" t="s">
        <v>42</v>
      </c>
      <c r="L2483" t="s">
        <v>38</v>
      </c>
      <c r="M2483">
        <v>0</v>
      </c>
    </row>
    <row r="2484" spans="11:13" x14ac:dyDescent="0.2">
      <c r="K2484" t="s">
        <v>42</v>
      </c>
      <c r="L2484" t="s">
        <v>38</v>
      </c>
      <c r="M2484">
        <v>0</v>
      </c>
    </row>
    <row r="2485" spans="11:13" x14ac:dyDescent="0.2">
      <c r="K2485" t="s">
        <v>42</v>
      </c>
      <c r="L2485" t="s">
        <v>38</v>
      </c>
      <c r="M2485">
        <v>0</v>
      </c>
    </row>
    <row r="2486" spans="11:13" x14ac:dyDescent="0.2">
      <c r="K2486" t="s">
        <v>41</v>
      </c>
      <c r="L2486" t="s">
        <v>37</v>
      </c>
      <c r="M2486">
        <v>0</v>
      </c>
    </row>
    <row r="2487" spans="11:13" x14ac:dyDescent="0.2">
      <c r="K2487" t="s">
        <v>41</v>
      </c>
      <c r="L2487" t="s">
        <v>37</v>
      </c>
      <c r="M2487">
        <v>0</v>
      </c>
    </row>
    <row r="2488" spans="11:13" x14ac:dyDescent="0.2">
      <c r="K2488" t="s">
        <v>42</v>
      </c>
      <c r="L2488" t="s">
        <v>38</v>
      </c>
      <c r="M2488">
        <v>0</v>
      </c>
    </row>
    <row r="2489" spans="11:13" x14ac:dyDescent="0.2">
      <c r="K2489" t="s">
        <v>41</v>
      </c>
      <c r="L2489" t="s">
        <v>37</v>
      </c>
      <c r="M2489">
        <v>0</v>
      </c>
    </row>
    <row r="2490" spans="11:13" x14ac:dyDescent="0.2">
      <c r="K2490" t="s">
        <v>41</v>
      </c>
      <c r="L2490" t="s">
        <v>37</v>
      </c>
      <c r="M2490">
        <v>0</v>
      </c>
    </row>
    <row r="2491" spans="11:13" x14ac:dyDescent="0.2">
      <c r="K2491" t="s">
        <v>41</v>
      </c>
      <c r="L2491" t="s">
        <v>37</v>
      </c>
      <c r="M2491">
        <v>0</v>
      </c>
    </row>
    <row r="2492" spans="11:13" x14ac:dyDescent="0.2">
      <c r="K2492" t="s">
        <v>41</v>
      </c>
      <c r="L2492" t="s">
        <v>37</v>
      </c>
      <c r="M2492">
        <v>0</v>
      </c>
    </row>
    <row r="2493" spans="11:13" x14ac:dyDescent="0.2">
      <c r="K2493" t="s">
        <v>42</v>
      </c>
      <c r="L2493" t="s">
        <v>38</v>
      </c>
      <c r="M2493">
        <v>0</v>
      </c>
    </row>
    <row r="2494" spans="11:13" x14ac:dyDescent="0.2">
      <c r="K2494" t="s">
        <v>42</v>
      </c>
      <c r="L2494" t="s">
        <v>38</v>
      </c>
      <c r="M2494">
        <v>0</v>
      </c>
    </row>
    <row r="2495" spans="11:13" x14ac:dyDescent="0.2">
      <c r="K2495" t="s">
        <v>41</v>
      </c>
      <c r="L2495" t="s">
        <v>37</v>
      </c>
      <c r="M2495">
        <v>0</v>
      </c>
    </row>
    <row r="2496" spans="11:13" x14ac:dyDescent="0.2">
      <c r="K2496" t="s">
        <v>42</v>
      </c>
      <c r="L2496" t="s">
        <v>38</v>
      </c>
      <c r="M2496">
        <v>0</v>
      </c>
    </row>
    <row r="2497" spans="11:13" x14ac:dyDescent="0.2">
      <c r="K2497" t="s">
        <v>42</v>
      </c>
      <c r="L2497" t="s">
        <v>38</v>
      </c>
      <c r="M2497">
        <v>0</v>
      </c>
    </row>
    <row r="2498" spans="11:13" x14ac:dyDescent="0.2">
      <c r="K2498" t="s">
        <v>41</v>
      </c>
      <c r="L2498" t="s">
        <v>37</v>
      </c>
      <c r="M2498">
        <v>0</v>
      </c>
    </row>
    <row r="2499" spans="11:13" x14ac:dyDescent="0.2">
      <c r="K2499" t="s">
        <v>41</v>
      </c>
      <c r="L2499" t="s">
        <v>37</v>
      </c>
      <c r="M2499">
        <v>0</v>
      </c>
    </row>
    <row r="2500" spans="11:13" x14ac:dyDescent="0.2">
      <c r="K2500" t="s">
        <v>42</v>
      </c>
      <c r="L2500" t="s">
        <v>38</v>
      </c>
      <c r="M2500">
        <v>0</v>
      </c>
    </row>
    <row r="2501" spans="11:13" x14ac:dyDescent="0.2">
      <c r="K2501" t="s">
        <v>42</v>
      </c>
      <c r="L2501" t="s">
        <v>38</v>
      </c>
      <c r="M2501">
        <v>0</v>
      </c>
    </row>
    <row r="2502" spans="11:13" x14ac:dyDescent="0.2">
      <c r="K2502" t="s">
        <v>41</v>
      </c>
      <c r="L2502" t="s">
        <v>37</v>
      </c>
      <c r="M2502">
        <v>0</v>
      </c>
    </row>
    <row r="2503" spans="11:13" x14ac:dyDescent="0.2">
      <c r="K2503" t="s">
        <v>41</v>
      </c>
      <c r="L2503" t="s">
        <v>37</v>
      </c>
      <c r="M2503">
        <v>0</v>
      </c>
    </row>
    <row r="2504" spans="11:13" x14ac:dyDescent="0.2">
      <c r="K2504" t="s">
        <v>41</v>
      </c>
      <c r="L2504" t="s">
        <v>37</v>
      </c>
      <c r="M2504">
        <v>0</v>
      </c>
    </row>
    <row r="2505" spans="11:13" x14ac:dyDescent="0.2">
      <c r="K2505" t="s">
        <v>41</v>
      </c>
      <c r="L2505" t="s">
        <v>37</v>
      </c>
      <c r="M2505">
        <v>0</v>
      </c>
    </row>
    <row r="2506" spans="11:13" x14ac:dyDescent="0.2">
      <c r="K2506" t="s">
        <v>42</v>
      </c>
      <c r="L2506" t="s">
        <v>38</v>
      </c>
      <c r="M2506">
        <v>0</v>
      </c>
    </row>
    <row r="2507" spans="11:13" x14ac:dyDescent="0.2">
      <c r="K2507" t="s">
        <v>42</v>
      </c>
      <c r="L2507" t="s">
        <v>38</v>
      </c>
      <c r="M2507">
        <v>0</v>
      </c>
    </row>
    <row r="2508" spans="11:13" x14ac:dyDescent="0.2">
      <c r="K2508" t="s">
        <v>42</v>
      </c>
      <c r="L2508" t="s">
        <v>38</v>
      </c>
      <c r="M2508">
        <v>0</v>
      </c>
    </row>
    <row r="2509" spans="11:13" x14ac:dyDescent="0.2">
      <c r="K2509" t="s">
        <v>42</v>
      </c>
      <c r="L2509" t="s">
        <v>38</v>
      </c>
      <c r="M2509">
        <v>1</v>
      </c>
    </row>
    <row r="2510" spans="11:13" x14ac:dyDescent="0.2">
      <c r="K2510" t="s">
        <v>42</v>
      </c>
      <c r="L2510" t="s">
        <v>38</v>
      </c>
      <c r="M2510">
        <v>0</v>
      </c>
    </row>
    <row r="2511" spans="11:13" x14ac:dyDescent="0.2">
      <c r="K2511" t="s">
        <v>42</v>
      </c>
      <c r="L2511" t="s">
        <v>38</v>
      </c>
      <c r="M2511">
        <v>0</v>
      </c>
    </row>
    <row r="2512" spans="11:13" x14ac:dyDescent="0.2">
      <c r="K2512" t="s">
        <v>42</v>
      </c>
      <c r="L2512" t="s">
        <v>38</v>
      </c>
      <c r="M2512">
        <v>0</v>
      </c>
    </row>
    <row r="2513" spans="11:13" x14ac:dyDescent="0.2">
      <c r="K2513" t="s">
        <v>42</v>
      </c>
      <c r="L2513" t="s">
        <v>38</v>
      </c>
      <c r="M2513">
        <v>0</v>
      </c>
    </row>
    <row r="2514" spans="11:13" x14ac:dyDescent="0.2">
      <c r="K2514" t="s">
        <v>41</v>
      </c>
      <c r="L2514" t="s">
        <v>37</v>
      </c>
      <c r="M2514">
        <v>0</v>
      </c>
    </row>
    <row r="2515" spans="11:13" x14ac:dyDescent="0.2">
      <c r="K2515" t="s">
        <v>42</v>
      </c>
      <c r="L2515" t="s">
        <v>38</v>
      </c>
      <c r="M2515">
        <v>0</v>
      </c>
    </row>
    <row r="2516" spans="11:13" x14ac:dyDescent="0.2">
      <c r="K2516" t="s">
        <v>41</v>
      </c>
      <c r="L2516" t="s">
        <v>37</v>
      </c>
      <c r="M2516">
        <v>0</v>
      </c>
    </row>
    <row r="2517" spans="11:13" x14ac:dyDescent="0.2">
      <c r="K2517" t="s">
        <v>42</v>
      </c>
      <c r="L2517" t="s">
        <v>38</v>
      </c>
      <c r="M2517">
        <v>0</v>
      </c>
    </row>
    <row r="2518" spans="11:13" x14ac:dyDescent="0.2">
      <c r="K2518" t="s">
        <v>42</v>
      </c>
      <c r="L2518" t="s">
        <v>38</v>
      </c>
      <c r="M2518">
        <v>0</v>
      </c>
    </row>
    <row r="2519" spans="11:13" x14ac:dyDescent="0.2">
      <c r="K2519" t="s">
        <v>41</v>
      </c>
      <c r="L2519" t="s">
        <v>37</v>
      </c>
      <c r="M2519">
        <v>0</v>
      </c>
    </row>
    <row r="2520" spans="11:13" x14ac:dyDescent="0.2">
      <c r="K2520" t="s">
        <v>41</v>
      </c>
      <c r="L2520" t="s">
        <v>37</v>
      </c>
      <c r="M2520">
        <v>0</v>
      </c>
    </row>
    <row r="2521" spans="11:13" x14ac:dyDescent="0.2">
      <c r="K2521" t="s">
        <v>41</v>
      </c>
      <c r="L2521" t="s">
        <v>37</v>
      </c>
      <c r="M2521">
        <v>0</v>
      </c>
    </row>
    <row r="2522" spans="11:13" x14ac:dyDescent="0.2">
      <c r="K2522" t="s">
        <v>41</v>
      </c>
      <c r="L2522" t="s">
        <v>37</v>
      </c>
      <c r="M2522">
        <v>0</v>
      </c>
    </row>
    <row r="2523" spans="11:13" x14ac:dyDescent="0.2">
      <c r="K2523" t="s">
        <v>41</v>
      </c>
      <c r="L2523" t="s">
        <v>37</v>
      </c>
      <c r="M2523">
        <v>0</v>
      </c>
    </row>
    <row r="2524" spans="11:13" x14ac:dyDescent="0.2">
      <c r="K2524" t="s">
        <v>42</v>
      </c>
      <c r="L2524" t="s">
        <v>38</v>
      </c>
      <c r="M2524">
        <v>0</v>
      </c>
    </row>
    <row r="2525" spans="11:13" x14ac:dyDescent="0.2">
      <c r="K2525" t="s">
        <v>41</v>
      </c>
      <c r="L2525" t="s">
        <v>37</v>
      </c>
      <c r="M2525">
        <v>0</v>
      </c>
    </row>
    <row r="2526" spans="11:13" x14ac:dyDescent="0.2">
      <c r="K2526" t="s">
        <v>41</v>
      </c>
      <c r="L2526" t="s">
        <v>37</v>
      </c>
      <c r="M2526">
        <v>0</v>
      </c>
    </row>
    <row r="2527" spans="11:13" x14ac:dyDescent="0.2">
      <c r="K2527" t="s">
        <v>42</v>
      </c>
      <c r="L2527" t="s">
        <v>38</v>
      </c>
      <c r="M2527">
        <v>0</v>
      </c>
    </row>
    <row r="2528" spans="11:13" x14ac:dyDescent="0.2">
      <c r="K2528" t="s">
        <v>41</v>
      </c>
      <c r="L2528" t="s">
        <v>37</v>
      </c>
      <c r="M2528">
        <v>0</v>
      </c>
    </row>
    <row r="2529" spans="11:13" x14ac:dyDescent="0.2">
      <c r="K2529" t="s">
        <v>41</v>
      </c>
      <c r="L2529" t="s">
        <v>37</v>
      </c>
      <c r="M2529">
        <v>0</v>
      </c>
    </row>
    <row r="2530" spans="11:13" x14ac:dyDescent="0.2">
      <c r="K2530" t="s">
        <v>42</v>
      </c>
      <c r="L2530" t="s">
        <v>38</v>
      </c>
      <c r="M2530">
        <v>0</v>
      </c>
    </row>
    <row r="2531" spans="11:13" x14ac:dyDescent="0.2">
      <c r="K2531" t="s">
        <v>41</v>
      </c>
      <c r="L2531" t="s">
        <v>37</v>
      </c>
      <c r="M2531">
        <v>1</v>
      </c>
    </row>
    <row r="2532" spans="11:13" x14ac:dyDescent="0.2">
      <c r="K2532" t="s">
        <v>42</v>
      </c>
      <c r="L2532" t="s">
        <v>38</v>
      </c>
      <c r="M2532">
        <v>0</v>
      </c>
    </row>
    <row r="2533" spans="11:13" x14ac:dyDescent="0.2">
      <c r="K2533" t="s">
        <v>42</v>
      </c>
      <c r="L2533" t="s">
        <v>38</v>
      </c>
      <c r="M2533">
        <v>0</v>
      </c>
    </row>
    <row r="2534" spans="11:13" x14ac:dyDescent="0.2">
      <c r="K2534" t="s">
        <v>41</v>
      </c>
      <c r="L2534" t="s">
        <v>37</v>
      </c>
      <c r="M2534">
        <v>0</v>
      </c>
    </row>
    <row r="2535" spans="11:13" x14ac:dyDescent="0.2">
      <c r="K2535" t="s">
        <v>41</v>
      </c>
      <c r="L2535" t="s">
        <v>37</v>
      </c>
      <c r="M2535">
        <v>0</v>
      </c>
    </row>
    <row r="2536" spans="11:13" x14ac:dyDescent="0.2">
      <c r="K2536" t="s">
        <v>42</v>
      </c>
      <c r="L2536" t="s">
        <v>38</v>
      </c>
      <c r="M2536">
        <v>0</v>
      </c>
    </row>
    <row r="2537" spans="11:13" x14ac:dyDescent="0.2">
      <c r="K2537" t="s">
        <v>41</v>
      </c>
      <c r="L2537" t="s">
        <v>37</v>
      </c>
      <c r="M2537">
        <v>0</v>
      </c>
    </row>
    <row r="2538" spans="11:13" x14ac:dyDescent="0.2">
      <c r="K2538" t="s">
        <v>41</v>
      </c>
      <c r="L2538" t="s">
        <v>37</v>
      </c>
      <c r="M2538">
        <v>0</v>
      </c>
    </row>
    <row r="2539" spans="11:13" x14ac:dyDescent="0.2">
      <c r="K2539" t="s">
        <v>42</v>
      </c>
      <c r="L2539" t="s">
        <v>38</v>
      </c>
      <c r="M2539">
        <v>0</v>
      </c>
    </row>
    <row r="2540" spans="11:13" x14ac:dyDescent="0.2">
      <c r="K2540" t="s">
        <v>42</v>
      </c>
      <c r="L2540" t="s">
        <v>38</v>
      </c>
      <c r="M2540">
        <v>0</v>
      </c>
    </row>
    <row r="2541" spans="11:13" x14ac:dyDescent="0.2">
      <c r="K2541" t="s">
        <v>42</v>
      </c>
      <c r="L2541" t="s">
        <v>38</v>
      </c>
      <c r="M2541">
        <v>0</v>
      </c>
    </row>
    <row r="2542" spans="11:13" x14ac:dyDescent="0.2">
      <c r="K2542" t="s">
        <v>42</v>
      </c>
      <c r="L2542" t="s">
        <v>38</v>
      </c>
      <c r="M2542">
        <v>0</v>
      </c>
    </row>
    <row r="2543" spans="11:13" x14ac:dyDescent="0.2">
      <c r="K2543" t="s">
        <v>41</v>
      </c>
      <c r="L2543" t="s">
        <v>37</v>
      </c>
      <c r="M2543">
        <v>0</v>
      </c>
    </row>
    <row r="2544" spans="11:13" x14ac:dyDescent="0.2">
      <c r="K2544" t="s">
        <v>42</v>
      </c>
      <c r="L2544" t="s">
        <v>38</v>
      </c>
      <c r="M2544">
        <v>0</v>
      </c>
    </row>
    <row r="2545" spans="11:13" x14ac:dyDescent="0.2">
      <c r="K2545" t="s">
        <v>41</v>
      </c>
      <c r="L2545" t="s">
        <v>37</v>
      </c>
      <c r="M2545">
        <v>0</v>
      </c>
    </row>
    <row r="2546" spans="11:13" x14ac:dyDescent="0.2">
      <c r="K2546" t="s">
        <v>41</v>
      </c>
      <c r="L2546" t="s">
        <v>37</v>
      </c>
      <c r="M2546">
        <v>0</v>
      </c>
    </row>
    <row r="2547" spans="11:13" x14ac:dyDescent="0.2">
      <c r="K2547" t="s">
        <v>42</v>
      </c>
      <c r="L2547" t="s">
        <v>38</v>
      </c>
      <c r="M2547">
        <v>0</v>
      </c>
    </row>
    <row r="2548" spans="11:13" x14ac:dyDescent="0.2">
      <c r="K2548" t="s">
        <v>41</v>
      </c>
      <c r="L2548" t="s">
        <v>37</v>
      </c>
      <c r="M2548">
        <v>0</v>
      </c>
    </row>
    <row r="2549" spans="11:13" x14ac:dyDescent="0.2">
      <c r="K2549" t="s">
        <v>42</v>
      </c>
      <c r="L2549" t="s">
        <v>38</v>
      </c>
      <c r="M2549">
        <v>0</v>
      </c>
    </row>
    <row r="2550" spans="11:13" x14ac:dyDescent="0.2">
      <c r="K2550" t="s">
        <v>42</v>
      </c>
      <c r="L2550" t="s">
        <v>38</v>
      </c>
      <c r="M2550">
        <v>0</v>
      </c>
    </row>
    <row r="2551" spans="11:13" x14ac:dyDescent="0.2">
      <c r="K2551" t="s">
        <v>41</v>
      </c>
      <c r="L2551" t="s">
        <v>37</v>
      </c>
      <c r="M2551">
        <v>0</v>
      </c>
    </row>
    <row r="2552" spans="11:13" x14ac:dyDescent="0.2">
      <c r="K2552" t="s">
        <v>41</v>
      </c>
      <c r="L2552" t="s">
        <v>37</v>
      </c>
      <c r="M2552">
        <v>0</v>
      </c>
    </row>
    <row r="2553" spans="11:13" x14ac:dyDescent="0.2">
      <c r="K2553" t="s">
        <v>41</v>
      </c>
      <c r="L2553" t="s">
        <v>37</v>
      </c>
      <c r="M2553">
        <v>0</v>
      </c>
    </row>
    <row r="2554" spans="11:13" x14ac:dyDescent="0.2">
      <c r="K2554" t="s">
        <v>42</v>
      </c>
      <c r="L2554" t="s">
        <v>38</v>
      </c>
      <c r="M2554">
        <v>0</v>
      </c>
    </row>
    <row r="2555" spans="11:13" x14ac:dyDescent="0.2">
      <c r="K2555" t="s">
        <v>42</v>
      </c>
      <c r="L2555" t="s">
        <v>38</v>
      </c>
      <c r="M2555">
        <v>0</v>
      </c>
    </row>
    <row r="2556" spans="11:13" x14ac:dyDescent="0.2">
      <c r="K2556" t="s">
        <v>42</v>
      </c>
      <c r="L2556" t="s">
        <v>38</v>
      </c>
      <c r="M2556">
        <v>0</v>
      </c>
    </row>
    <row r="2557" spans="11:13" x14ac:dyDescent="0.2">
      <c r="K2557" t="s">
        <v>41</v>
      </c>
      <c r="L2557" t="s">
        <v>37</v>
      </c>
      <c r="M2557">
        <v>0</v>
      </c>
    </row>
    <row r="2558" spans="11:13" x14ac:dyDescent="0.2">
      <c r="K2558" t="s">
        <v>41</v>
      </c>
      <c r="L2558" t="s">
        <v>37</v>
      </c>
      <c r="M2558">
        <v>0</v>
      </c>
    </row>
    <row r="2559" spans="11:13" x14ac:dyDescent="0.2">
      <c r="K2559" t="s">
        <v>41</v>
      </c>
      <c r="L2559" t="s">
        <v>37</v>
      </c>
      <c r="M2559">
        <v>0</v>
      </c>
    </row>
    <row r="2560" spans="11:13" x14ac:dyDescent="0.2">
      <c r="K2560" t="s">
        <v>42</v>
      </c>
      <c r="L2560" t="s">
        <v>38</v>
      </c>
      <c r="M2560">
        <v>0</v>
      </c>
    </row>
    <row r="2561" spans="11:13" x14ac:dyDescent="0.2">
      <c r="K2561" t="s">
        <v>41</v>
      </c>
      <c r="L2561" t="s">
        <v>37</v>
      </c>
      <c r="M2561">
        <v>0</v>
      </c>
    </row>
    <row r="2562" spans="11:13" x14ac:dyDescent="0.2">
      <c r="K2562" t="s">
        <v>41</v>
      </c>
      <c r="L2562" t="s">
        <v>37</v>
      </c>
      <c r="M2562">
        <v>0</v>
      </c>
    </row>
    <row r="2563" spans="11:13" x14ac:dyDescent="0.2">
      <c r="K2563" t="s">
        <v>41</v>
      </c>
      <c r="L2563" t="s">
        <v>37</v>
      </c>
      <c r="M2563">
        <v>0</v>
      </c>
    </row>
    <row r="2564" spans="11:13" x14ac:dyDescent="0.2">
      <c r="K2564" t="s">
        <v>42</v>
      </c>
      <c r="L2564" t="s">
        <v>38</v>
      </c>
      <c r="M2564">
        <v>0</v>
      </c>
    </row>
    <row r="2565" spans="11:13" x14ac:dyDescent="0.2">
      <c r="K2565" t="s">
        <v>41</v>
      </c>
      <c r="L2565" t="s">
        <v>37</v>
      </c>
      <c r="M2565">
        <v>0</v>
      </c>
    </row>
    <row r="2566" spans="11:13" x14ac:dyDescent="0.2">
      <c r="K2566" t="s">
        <v>41</v>
      </c>
      <c r="L2566" t="s">
        <v>37</v>
      </c>
      <c r="M2566">
        <v>0</v>
      </c>
    </row>
    <row r="2567" spans="11:13" x14ac:dyDescent="0.2">
      <c r="K2567" t="s">
        <v>42</v>
      </c>
      <c r="L2567" t="s">
        <v>38</v>
      </c>
      <c r="M2567">
        <v>0</v>
      </c>
    </row>
    <row r="2568" spans="11:13" x14ac:dyDescent="0.2">
      <c r="K2568" t="s">
        <v>42</v>
      </c>
      <c r="L2568" t="s">
        <v>38</v>
      </c>
      <c r="M2568">
        <v>0</v>
      </c>
    </row>
    <row r="2569" spans="11:13" x14ac:dyDescent="0.2">
      <c r="K2569" t="s">
        <v>41</v>
      </c>
      <c r="L2569" t="s">
        <v>37</v>
      </c>
      <c r="M2569">
        <v>0</v>
      </c>
    </row>
    <row r="2570" spans="11:13" x14ac:dyDescent="0.2">
      <c r="K2570" t="s">
        <v>41</v>
      </c>
      <c r="L2570" t="s">
        <v>37</v>
      </c>
      <c r="M2570">
        <v>0</v>
      </c>
    </row>
    <row r="2571" spans="11:13" x14ac:dyDescent="0.2">
      <c r="K2571" t="s">
        <v>42</v>
      </c>
      <c r="L2571" t="s">
        <v>38</v>
      </c>
      <c r="M2571">
        <v>0</v>
      </c>
    </row>
    <row r="2572" spans="11:13" x14ac:dyDescent="0.2">
      <c r="K2572" t="s">
        <v>42</v>
      </c>
      <c r="L2572" t="s">
        <v>38</v>
      </c>
      <c r="M2572">
        <v>0</v>
      </c>
    </row>
    <row r="2573" spans="11:13" x14ac:dyDescent="0.2">
      <c r="K2573" t="s">
        <v>42</v>
      </c>
      <c r="L2573" t="s">
        <v>38</v>
      </c>
      <c r="M2573">
        <v>0</v>
      </c>
    </row>
    <row r="2574" spans="11:13" x14ac:dyDescent="0.2">
      <c r="K2574" t="s">
        <v>41</v>
      </c>
      <c r="L2574" t="s">
        <v>37</v>
      </c>
      <c r="M2574">
        <v>0</v>
      </c>
    </row>
    <row r="2575" spans="11:13" x14ac:dyDescent="0.2">
      <c r="K2575" t="s">
        <v>41</v>
      </c>
      <c r="L2575" t="s">
        <v>37</v>
      </c>
      <c r="M2575">
        <v>0</v>
      </c>
    </row>
    <row r="2576" spans="11:13" x14ac:dyDescent="0.2">
      <c r="K2576" t="s">
        <v>41</v>
      </c>
      <c r="L2576" t="s">
        <v>37</v>
      </c>
      <c r="M2576">
        <v>0</v>
      </c>
    </row>
    <row r="2577" spans="11:13" x14ac:dyDescent="0.2">
      <c r="K2577" t="s">
        <v>42</v>
      </c>
      <c r="L2577" t="s">
        <v>38</v>
      </c>
      <c r="M2577">
        <v>1</v>
      </c>
    </row>
    <row r="2578" spans="11:13" x14ac:dyDescent="0.2">
      <c r="K2578" t="s">
        <v>41</v>
      </c>
      <c r="L2578" t="s">
        <v>37</v>
      </c>
      <c r="M2578">
        <v>0</v>
      </c>
    </row>
    <row r="2579" spans="11:13" x14ac:dyDescent="0.2">
      <c r="K2579" t="s">
        <v>41</v>
      </c>
      <c r="L2579" t="s">
        <v>37</v>
      </c>
      <c r="M2579">
        <v>0</v>
      </c>
    </row>
    <row r="2580" spans="11:13" x14ac:dyDescent="0.2">
      <c r="K2580" t="s">
        <v>42</v>
      </c>
      <c r="L2580" t="s">
        <v>38</v>
      </c>
      <c r="M2580">
        <v>0</v>
      </c>
    </row>
    <row r="2581" spans="11:13" x14ac:dyDescent="0.2">
      <c r="K2581" t="s">
        <v>41</v>
      </c>
      <c r="L2581" t="s">
        <v>37</v>
      </c>
      <c r="M2581">
        <v>0</v>
      </c>
    </row>
    <row r="2582" spans="11:13" x14ac:dyDescent="0.2">
      <c r="K2582" t="s">
        <v>42</v>
      </c>
      <c r="L2582" t="s">
        <v>38</v>
      </c>
      <c r="M2582">
        <v>0</v>
      </c>
    </row>
    <row r="2583" spans="11:13" x14ac:dyDescent="0.2">
      <c r="K2583" t="s">
        <v>42</v>
      </c>
      <c r="L2583" t="s">
        <v>38</v>
      </c>
      <c r="M2583">
        <v>0</v>
      </c>
    </row>
    <row r="2584" spans="11:13" x14ac:dyDescent="0.2">
      <c r="K2584" t="s">
        <v>42</v>
      </c>
      <c r="L2584" t="s">
        <v>38</v>
      </c>
      <c r="M2584">
        <v>0</v>
      </c>
    </row>
    <row r="2585" spans="11:13" x14ac:dyDescent="0.2">
      <c r="K2585" t="s">
        <v>42</v>
      </c>
      <c r="L2585" t="s">
        <v>38</v>
      </c>
      <c r="M2585">
        <v>0</v>
      </c>
    </row>
    <row r="2586" spans="11:13" x14ac:dyDescent="0.2">
      <c r="K2586" t="s">
        <v>41</v>
      </c>
      <c r="L2586" t="s">
        <v>37</v>
      </c>
      <c r="M2586">
        <v>0</v>
      </c>
    </row>
    <row r="2587" spans="11:13" x14ac:dyDescent="0.2">
      <c r="K2587" t="s">
        <v>41</v>
      </c>
      <c r="L2587" t="s">
        <v>37</v>
      </c>
      <c r="M2587">
        <v>0</v>
      </c>
    </row>
    <row r="2588" spans="11:13" x14ac:dyDescent="0.2">
      <c r="K2588" t="s">
        <v>42</v>
      </c>
      <c r="L2588" t="s">
        <v>38</v>
      </c>
      <c r="M2588">
        <v>0</v>
      </c>
    </row>
    <row r="2589" spans="11:13" x14ac:dyDescent="0.2">
      <c r="K2589" t="s">
        <v>42</v>
      </c>
      <c r="L2589" t="s">
        <v>38</v>
      </c>
      <c r="M2589">
        <v>0</v>
      </c>
    </row>
    <row r="2590" spans="11:13" x14ac:dyDescent="0.2">
      <c r="K2590" t="s">
        <v>41</v>
      </c>
      <c r="L2590" t="s">
        <v>37</v>
      </c>
      <c r="M2590">
        <v>0</v>
      </c>
    </row>
    <row r="2591" spans="11:13" x14ac:dyDescent="0.2">
      <c r="K2591" t="s">
        <v>41</v>
      </c>
      <c r="L2591" t="s">
        <v>37</v>
      </c>
      <c r="M2591">
        <v>0</v>
      </c>
    </row>
    <row r="2592" spans="11:13" x14ac:dyDescent="0.2">
      <c r="K2592" t="s">
        <v>41</v>
      </c>
      <c r="L2592" t="s">
        <v>37</v>
      </c>
      <c r="M2592">
        <v>0</v>
      </c>
    </row>
    <row r="2593" spans="11:13" x14ac:dyDescent="0.2">
      <c r="K2593" t="s">
        <v>41</v>
      </c>
      <c r="L2593" t="s">
        <v>37</v>
      </c>
      <c r="M2593">
        <v>0</v>
      </c>
    </row>
    <row r="2594" spans="11:13" x14ac:dyDescent="0.2">
      <c r="K2594" t="s">
        <v>41</v>
      </c>
      <c r="L2594" t="s">
        <v>37</v>
      </c>
      <c r="M2594">
        <v>0</v>
      </c>
    </row>
    <row r="2595" spans="11:13" x14ac:dyDescent="0.2">
      <c r="K2595" t="s">
        <v>41</v>
      </c>
      <c r="L2595" t="s">
        <v>37</v>
      </c>
      <c r="M2595">
        <v>0</v>
      </c>
    </row>
    <row r="2596" spans="11:13" x14ac:dyDescent="0.2">
      <c r="K2596" t="s">
        <v>41</v>
      </c>
      <c r="L2596" t="s">
        <v>37</v>
      </c>
      <c r="M2596">
        <v>0</v>
      </c>
    </row>
    <row r="2597" spans="11:13" x14ac:dyDescent="0.2">
      <c r="K2597" t="s">
        <v>41</v>
      </c>
      <c r="L2597" t="s">
        <v>37</v>
      </c>
      <c r="M2597">
        <v>0</v>
      </c>
    </row>
    <row r="2598" spans="11:13" x14ac:dyDescent="0.2">
      <c r="K2598" t="s">
        <v>42</v>
      </c>
      <c r="L2598" t="s">
        <v>38</v>
      </c>
      <c r="M2598">
        <v>0</v>
      </c>
    </row>
    <row r="2599" spans="11:13" x14ac:dyDescent="0.2">
      <c r="K2599" t="s">
        <v>41</v>
      </c>
      <c r="L2599" t="s">
        <v>37</v>
      </c>
      <c r="M2599">
        <v>0</v>
      </c>
    </row>
    <row r="2600" spans="11:13" x14ac:dyDescent="0.2">
      <c r="K2600" t="s">
        <v>42</v>
      </c>
      <c r="L2600" t="s">
        <v>38</v>
      </c>
      <c r="M2600">
        <v>0</v>
      </c>
    </row>
    <row r="2601" spans="11:13" x14ac:dyDescent="0.2">
      <c r="K2601" t="s">
        <v>41</v>
      </c>
      <c r="L2601" t="s">
        <v>37</v>
      </c>
      <c r="M2601">
        <v>0</v>
      </c>
    </row>
    <row r="2602" spans="11:13" x14ac:dyDescent="0.2">
      <c r="K2602" t="s">
        <v>41</v>
      </c>
      <c r="L2602" t="s">
        <v>37</v>
      </c>
      <c r="M2602">
        <v>0</v>
      </c>
    </row>
    <row r="2603" spans="11:13" x14ac:dyDescent="0.2">
      <c r="K2603" t="s">
        <v>41</v>
      </c>
      <c r="L2603" t="s">
        <v>37</v>
      </c>
      <c r="M2603">
        <v>0</v>
      </c>
    </row>
    <row r="2604" spans="11:13" x14ac:dyDescent="0.2">
      <c r="K2604" t="s">
        <v>41</v>
      </c>
      <c r="L2604" t="s">
        <v>37</v>
      </c>
      <c r="M2604">
        <v>0</v>
      </c>
    </row>
    <row r="2605" spans="11:13" x14ac:dyDescent="0.2">
      <c r="K2605" t="s">
        <v>41</v>
      </c>
      <c r="L2605" t="s">
        <v>37</v>
      </c>
      <c r="M2605">
        <v>0</v>
      </c>
    </row>
    <row r="2606" spans="11:13" x14ac:dyDescent="0.2">
      <c r="K2606" t="s">
        <v>41</v>
      </c>
      <c r="L2606" t="s">
        <v>37</v>
      </c>
      <c r="M2606">
        <v>0</v>
      </c>
    </row>
    <row r="2607" spans="11:13" x14ac:dyDescent="0.2">
      <c r="K2607" t="s">
        <v>41</v>
      </c>
      <c r="L2607" t="s">
        <v>37</v>
      </c>
      <c r="M2607">
        <v>0</v>
      </c>
    </row>
    <row r="2608" spans="11:13" x14ac:dyDescent="0.2">
      <c r="K2608" t="s">
        <v>42</v>
      </c>
      <c r="L2608" t="s">
        <v>38</v>
      </c>
      <c r="M2608">
        <v>0</v>
      </c>
    </row>
    <row r="2609" spans="11:13" x14ac:dyDescent="0.2">
      <c r="K2609" t="s">
        <v>41</v>
      </c>
      <c r="L2609" t="s">
        <v>37</v>
      </c>
      <c r="M2609">
        <v>0</v>
      </c>
    </row>
    <row r="2610" spans="11:13" x14ac:dyDescent="0.2">
      <c r="K2610" t="s">
        <v>41</v>
      </c>
      <c r="L2610" t="s">
        <v>37</v>
      </c>
      <c r="M2610">
        <v>0</v>
      </c>
    </row>
    <row r="2611" spans="11:13" x14ac:dyDescent="0.2">
      <c r="K2611" t="s">
        <v>42</v>
      </c>
      <c r="L2611" t="s">
        <v>38</v>
      </c>
      <c r="M2611">
        <v>0</v>
      </c>
    </row>
    <row r="2612" spans="11:13" x14ac:dyDescent="0.2">
      <c r="K2612" t="s">
        <v>42</v>
      </c>
      <c r="L2612" t="s">
        <v>38</v>
      </c>
      <c r="M2612">
        <v>0</v>
      </c>
    </row>
    <row r="2613" spans="11:13" x14ac:dyDescent="0.2">
      <c r="K2613" t="s">
        <v>41</v>
      </c>
      <c r="L2613" t="s">
        <v>37</v>
      </c>
      <c r="M2613">
        <v>0</v>
      </c>
    </row>
    <row r="2614" spans="11:13" x14ac:dyDescent="0.2">
      <c r="K2614" t="s">
        <v>42</v>
      </c>
      <c r="L2614" t="s">
        <v>38</v>
      </c>
      <c r="M2614">
        <v>0</v>
      </c>
    </row>
    <row r="2615" spans="11:13" x14ac:dyDescent="0.2">
      <c r="K2615" t="s">
        <v>42</v>
      </c>
      <c r="L2615" t="s">
        <v>38</v>
      </c>
      <c r="M2615">
        <v>0</v>
      </c>
    </row>
    <row r="2616" spans="11:13" x14ac:dyDescent="0.2">
      <c r="K2616" t="s">
        <v>42</v>
      </c>
      <c r="L2616" t="s">
        <v>38</v>
      </c>
      <c r="M2616">
        <v>0</v>
      </c>
    </row>
    <row r="2617" spans="11:13" x14ac:dyDescent="0.2">
      <c r="K2617" t="s">
        <v>41</v>
      </c>
      <c r="L2617" t="s">
        <v>37</v>
      </c>
      <c r="M2617">
        <v>0</v>
      </c>
    </row>
    <row r="2618" spans="11:13" x14ac:dyDescent="0.2">
      <c r="K2618" t="s">
        <v>41</v>
      </c>
      <c r="L2618" t="s">
        <v>37</v>
      </c>
      <c r="M2618">
        <v>0</v>
      </c>
    </row>
    <row r="2619" spans="11:13" x14ac:dyDescent="0.2">
      <c r="K2619" t="s">
        <v>41</v>
      </c>
      <c r="L2619" t="s">
        <v>37</v>
      </c>
      <c r="M2619">
        <v>0</v>
      </c>
    </row>
    <row r="2620" spans="11:13" x14ac:dyDescent="0.2">
      <c r="K2620" t="s">
        <v>41</v>
      </c>
      <c r="L2620" t="s">
        <v>37</v>
      </c>
      <c r="M2620">
        <v>0</v>
      </c>
    </row>
    <row r="2621" spans="11:13" x14ac:dyDescent="0.2">
      <c r="K2621" t="s">
        <v>42</v>
      </c>
      <c r="L2621" t="s">
        <v>38</v>
      </c>
      <c r="M2621">
        <v>0</v>
      </c>
    </row>
    <row r="2622" spans="11:13" x14ac:dyDescent="0.2">
      <c r="K2622" t="s">
        <v>42</v>
      </c>
      <c r="L2622" t="s">
        <v>38</v>
      </c>
      <c r="M2622">
        <v>0</v>
      </c>
    </row>
    <row r="2623" spans="11:13" x14ac:dyDescent="0.2">
      <c r="K2623" t="s">
        <v>42</v>
      </c>
      <c r="L2623" t="s">
        <v>38</v>
      </c>
      <c r="M2623">
        <v>0</v>
      </c>
    </row>
    <row r="2624" spans="11:13" x14ac:dyDescent="0.2">
      <c r="K2624" t="s">
        <v>41</v>
      </c>
      <c r="L2624" t="s">
        <v>37</v>
      </c>
      <c r="M2624">
        <v>0</v>
      </c>
    </row>
    <row r="2625" spans="11:13" x14ac:dyDescent="0.2">
      <c r="K2625" t="s">
        <v>42</v>
      </c>
      <c r="L2625" t="s">
        <v>38</v>
      </c>
      <c r="M2625">
        <v>0</v>
      </c>
    </row>
    <row r="2626" spans="11:13" x14ac:dyDescent="0.2">
      <c r="K2626" t="s">
        <v>41</v>
      </c>
      <c r="L2626" t="s">
        <v>37</v>
      </c>
      <c r="M2626">
        <v>0</v>
      </c>
    </row>
    <row r="2627" spans="11:13" x14ac:dyDescent="0.2">
      <c r="K2627" t="s">
        <v>41</v>
      </c>
      <c r="L2627" t="s">
        <v>37</v>
      </c>
      <c r="M2627">
        <v>0</v>
      </c>
    </row>
    <row r="2628" spans="11:13" x14ac:dyDescent="0.2">
      <c r="K2628" t="s">
        <v>42</v>
      </c>
      <c r="L2628" t="s">
        <v>38</v>
      </c>
      <c r="M2628">
        <v>0</v>
      </c>
    </row>
    <row r="2629" spans="11:13" x14ac:dyDescent="0.2">
      <c r="K2629" t="s">
        <v>41</v>
      </c>
      <c r="L2629" t="s">
        <v>37</v>
      </c>
      <c r="M2629">
        <v>0</v>
      </c>
    </row>
    <row r="2630" spans="11:13" x14ac:dyDescent="0.2">
      <c r="K2630" t="s">
        <v>41</v>
      </c>
      <c r="L2630" t="s">
        <v>37</v>
      </c>
      <c r="M2630">
        <v>0</v>
      </c>
    </row>
    <row r="2631" spans="11:13" x14ac:dyDescent="0.2">
      <c r="K2631" t="s">
        <v>42</v>
      </c>
      <c r="L2631" t="s">
        <v>38</v>
      </c>
      <c r="M2631">
        <v>0</v>
      </c>
    </row>
    <row r="2632" spans="11:13" x14ac:dyDescent="0.2">
      <c r="K2632" t="s">
        <v>42</v>
      </c>
      <c r="L2632" t="s">
        <v>38</v>
      </c>
      <c r="M2632">
        <v>0</v>
      </c>
    </row>
    <row r="2633" spans="11:13" x14ac:dyDescent="0.2">
      <c r="K2633" t="s">
        <v>41</v>
      </c>
      <c r="L2633" t="s">
        <v>37</v>
      </c>
      <c r="M2633">
        <v>0</v>
      </c>
    </row>
    <row r="2634" spans="11:13" x14ac:dyDescent="0.2">
      <c r="K2634" t="s">
        <v>41</v>
      </c>
      <c r="L2634" t="s">
        <v>37</v>
      </c>
      <c r="M2634">
        <v>0</v>
      </c>
    </row>
    <row r="2635" spans="11:13" x14ac:dyDescent="0.2">
      <c r="K2635" t="s">
        <v>42</v>
      </c>
      <c r="L2635" t="s">
        <v>38</v>
      </c>
      <c r="M2635">
        <v>0</v>
      </c>
    </row>
    <row r="2636" spans="11:13" x14ac:dyDescent="0.2">
      <c r="K2636" t="s">
        <v>42</v>
      </c>
      <c r="L2636" t="s">
        <v>38</v>
      </c>
      <c r="M2636">
        <v>0</v>
      </c>
    </row>
    <row r="2637" spans="11:13" x14ac:dyDescent="0.2">
      <c r="K2637" t="s">
        <v>42</v>
      </c>
      <c r="L2637" t="s">
        <v>38</v>
      </c>
      <c r="M2637">
        <v>0</v>
      </c>
    </row>
    <row r="2638" spans="11:13" x14ac:dyDescent="0.2">
      <c r="K2638" t="s">
        <v>42</v>
      </c>
      <c r="L2638" t="s">
        <v>38</v>
      </c>
      <c r="M2638">
        <v>0</v>
      </c>
    </row>
    <row r="2639" spans="11:13" x14ac:dyDescent="0.2">
      <c r="K2639" t="s">
        <v>41</v>
      </c>
      <c r="L2639" t="s">
        <v>37</v>
      </c>
      <c r="M2639">
        <v>0</v>
      </c>
    </row>
    <row r="2640" spans="11:13" x14ac:dyDescent="0.2">
      <c r="K2640" t="s">
        <v>41</v>
      </c>
      <c r="L2640" t="s">
        <v>37</v>
      </c>
      <c r="M2640">
        <v>0</v>
      </c>
    </row>
    <row r="2641" spans="11:13" x14ac:dyDescent="0.2">
      <c r="K2641" t="s">
        <v>42</v>
      </c>
      <c r="L2641" t="s">
        <v>38</v>
      </c>
      <c r="M2641">
        <v>0</v>
      </c>
    </row>
    <row r="2642" spans="11:13" x14ac:dyDescent="0.2">
      <c r="K2642" t="s">
        <v>42</v>
      </c>
      <c r="L2642" t="s">
        <v>38</v>
      </c>
      <c r="M2642">
        <v>0</v>
      </c>
    </row>
    <row r="2643" spans="11:13" x14ac:dyDescent="0.2">
      <c r="K2643" t="s">
        <v>41</v>
      </c>
      <c r="L2643" t="s">
        <v>37</v>
      </c>
      <c r="M2643">
        <v>0</v>
      </c>
    </row>
    <row r="2644" spans="11:13" x14ac:dyDescent="0.2">
      <c r="K2644" t="s">
        <v>42</v>
      </c>
      <c r="L2644" t="s">
        <v>38</v>
      </c>
      <c r="M2644">
        <v>0</v>
      </c>
    </row>
    <row r="2645" spans="11:13" x14ac:dyDescent="0.2">
      <c r="K2645" t="s">
        <v>42</v>
      </c>
      <c r="L2645" t="s">
        <v>38</v>
      </c>
      <c r="M2645">
        <v>0</v>
      </c>
    </row>
    <row r="2646" spans="11:13" x14ac:dyDescent="0.2">
      <c r="K2646" t="s">
        <v>41</v>
      </c>
      <c r="L2646" t="s">
        <v>37</v>
      </c>
      <c r="M2646">
        <v>0</v>
      </c>
    </row>
    <row r="2647" spans="11:13" x14ac:dyDescent="0.2">
      <c r="K2647" t="s">
        <v>41</v>
      </c>
      <c r="L2647" t="s">
        <v>37</v>
      </c>
      <c r="M2647">
        <v>0</v>
      </c>
    </row>
    <row r="2648" spans="11:13" x14ac:dyDescent="0.2">
      <c r="K2648" t="s">
        <v>42</v>
      </c>
      <c r="L2648" t="s">
        <v>38</v>
      </c>
      <c r="M2648">
        <v>0</v>
      </c>
    </row>
    <row r="2649" spans="11:13" x14ac:dyDescent="0.2">
      <c r="K2649" t="s">
        <v>41</v>
      </c>
      <c r="L2649" t="s">
        <v>37</v>
      </c>
      <c r="M2649">
        <v>0</v>
      </c>
    </row>
    <row r="2650" spans="11:13" x14ac:dyDescent="0.2">
      <c r="K2650" t="s">
        <v>41</v>
      </c>
      <c r="L2650" t="s">
        <v>37</v>
      </c>
      <c r="M2650">
        <v>0</v>
      </c>
    </row>
    <row r="2651" spans="11:13" x14ac:dyDescent="0.2">
      <c r="K2651" t="s">
        <v>41</v>
      </c>
      <c r="L2651" t="s">
        <v>37</v>
      </c>
      <c r="M2651">
        <v>0</v>
      </c>
    </row>
    <row r="2652" spans="11:13" x14ac:dyDescent="0.2">
      <c r="K2652" t="s">
        <v>42</v>
      </c>
      <c r="L2652" t="s">
        <v>38</v>
      </c>
      <c r="M2652">
        <v>0</v>
      </c>
    </row>
    <row r="2653" spans="11:13" x14ac:dyDescent="0.2">
      <c r="K2653" t="s">
        <v>41</v>
      </c>
      <c r="L2653" t="s">
        <v>37</v>
      </c>
      <c r="M2653">
        <v>0</v>
      </c>
    </row>
    <row r="2654" spans="11:13" x14ac:dyDescent="0.2">
      <c r="K2654" t="s">
        <v>42</v>
      </c>
      <c r="L2654" t="s">
        <v>38</v>
      </c>
      <c r="M2654">
        <v>0</v>
      </c>
    </row>
    <row r="2655" spans="11:13" x14ac:dyDescent="0.2">
      <c r="K2655" t="s">
        <v>42</v>
      </c>
      <c r="L2655" t="s">
        <v>38</v>
      </c>
      <c r="M2655">
        <v>1</v>
      </c>
    </row>
    <row r="2656" spans="11:13" x14ac:dyDescent="0.2">
      <c r="K2656" t="s">
        <v>42</v>
      </c>
      <c r="L2656" t="s">
        <v>38</v>
      </c>
      <c r="M2656">
        <v>0</v>
      </c>
    </row>
    <row r="2657" spans="11:13" x14ac:dyDescent="0.2">
      <c r="K2657" t="s">
        <v>41</v>
      </c>
      <c r="L2657" t="s">
        <v>37</v>
      </c>
      <c r="M2657">
        <v>0</v>
      </c>
    </row>
    <row r="2658" spans="11:13" x14ac:dyDescent="0.2">
      <c r="K2658" t="s">
        <v>42</v>
      </c>
      <c r="L2658" t="s">
        <v>38</v>
      </c>
      <c r="M2658">
        <v>0</v>
      </c>
    </row>
    <row r="2659" spans="11:13" x14ac:dyDescent="0.2">
      <c r="K2659" t="s">
        <v>42</v>
      </c>
      <c r="L2659" t="s">
        <v>38</v>
      </c>
      <c r="M2659">
        <v>0</v>
      </c>
    </row>
    <row r="2660" spans="11:13" x14ac:dyDescent="0.2">
      <c r="K2660" t="s">
        <v>42</v>
      </c>
      <c r="L2660" t="s">
        <v>38</v>
      </c>
      <c r="M2660">
        <v>0</v>
      </c>
    </row>
    <row r="2661" spans="11:13" x14ac:dyDescent="0.2">
      <c r="K2661" t="s">
        <v>42</v>
      </c>
      <c r="L2661" t="s">
        <v>38</v>
      </c>
      <c r="M2661">
        <v>0</v>
      </c>
    </row>
    <row r="2662" spans="11:13" x14ac:dyDescent="0.2">
      <c r="K2662" t="s">
        <v>41</v>
      </c>
      <c r="L2662" t="s">
        <v>37</v>
      </c>
      <c r="M2662">
        <v>0</v>
      </c>
    </row>
    <row r="2663" spans="11:13" x14ac:dyDescent="0.2">
      <c r="K2663" t="s">
        <v>42</v>
      </c>
      <c r="L2663" t="s">
        <v>38</v>
      </c>
      <c r="M2663">
        <v>0</v>
      </c>
    </row>
    <row r="2664" spans="11:13" x14ac:dyDescent="0.2">
      <c r="K2664" t="s">
        <v>41</v>
      </c>
      <c r="L2664" t="s">
        <v>37</v>
      </c>
      <c r="M2664">
        <v>0</v>
      </c>
    </row>
    <row r="2665" spans="11:13" x14ac:dyDescent="0.2">
      <c r="K2665" t="s">
        <v>42</v>
      </c>
      <c r="L2665" t="s">
        <v>38</v>
      </c>
      <c r="M2665">
        <v>0</v>
      </c>
    </row>
    <row r="2666" spans="11:13" x14ac:dyDescent="0.2">
      <c r="K2666" t="s">
        <v>41</v>
      </c>
      <c r="L2666" t="s">
        <v>37</v>
      </c>
      <c r="M2666">
        <v>0</v>
      </c>
    </row>
    <row r="2667" spans="11:13" x14ac:dyDescent="0.2">
      <c r="K2667" t="s">
        <v>42</v>
      </c>
      <c r="L2667" t="s">
        <v>38</v>
      </c>
      <c r="M2667">
        <v>0</v>
      </c>
    </row>
    <row r="2668" spans="11:13" x14ac:dyDescent="0.2">
      <c r="K2668" t="s">
        <v>41</v>
      </c>
      <c r="L2668" t="s">
        <v>37</v>
      </c>
      <c r="M2668">
        <v>0</v>
      </c>
    </row>
    <row r="2669" spans="11:13" x14ac:dyDescent="0.2">
      <c r="K2669" t="s">
        <v>41</v>
      </c>
      <c r="L2669" t="s">
        <v>37</v>
      </c>
      <c r="M2669">
        <v>0</v>
      </c>
    </row>
    <row r="2670" spans="11:13" x14ac:dyDescent="0.2">
      <c r="K2670" t="s">
        <v>41</v>
      </c>
      <c r="L2670" t="s">
        <v>37</v>
      </c>
      <c r="M2670">
        <v>0</v>
      </c>
    </row>
    <row r="2671" spans="11:13" x14ac:dyDescent="0.2">
      <c r="K2671" t="s">
        <v>42</v>
      </c>
      <c r="L2671" t="s">
        <v>38</v>
      </c>
      <c r="M2671">
        <v>0</v>
      </c>
    </row>
    <row r="2672" spans="11:13" x14ac:dyDescent="0.2">
      <c r="K2672" t="s">
        <v>41</v>
      </c>
      <c r="L2672" t="s">
        <v>37</v>
      </c>
      <c r="M2672">
        <v>0</v>
      </c>
    </row>
    <row r="2673" spans="11:13" x14ac:dyDescent="0.2">
      <c r="K2673" t="s">
        <v>42</v>
      </c>
      <c r="L2673" t="s">
        <v>38</v>
      </c>
      <c r="M2673">
        <v>0</v>
      </c>
    </row>
    <row r="2674" spans="11:13" x14ac:dyDescent="0.2">
      <c r="K2674" t="s">
        <v>42</v>
      </c>
      <c r="L2674" t="s">
        <v>38</v>
      </c>
      <c r="M2674">
        <v>0</v>
      </c>
    </row>
    <row r="2675" spans="11:13" x14ac:dyDescent="0.2">
      <c r="K2675" t="s">
        <v>41</v>
      </c>
      <c r="L2675" t="s">
        <v>37</v>
      </c>
      <c r="M2675">
        <v>0</v>
      </c>
    </row>
    <row r="2676" spans="11:13" x14ac:dyDescent="0.2">
      <c r="K2676" t="s">
        <v>42</v>
      </c>
      <c r="L2676" t="s">
        <v>38</v>
      </c>
      <c r="M2676">
        <v>0</v>
      </c>
    </row>
    <row r="2677" spans="11:13" x14ac:dyDescent="0.2">
      <c r="K2677" t="s">
        <v>42</v>
      </c>
      <c r="L2677" t="s">
        <v>38</v>
      </c>
      <c r="M2677">
        <v>0</v>
      </c>
    </row>
    <row r="2678" spans="11:13" x14ac:dyDescent="0.2">
      <c r="K2678" t="s">
        <v>42</v>
      </c>
      <c r="L2678" t="s">
        <v>38</v>
      </c>
      <c r="M2678">
        <v>0</v>
      </c>
    </row>
    <row r="2679" spans="11:13" x14ac:dyDescent="0.2">
      <c r="K2679" t="s">
        <v>41</v>
      </c>
      <c r="L2679" t="s">
        <v>37</v>
      </c>
      <c r="M2679">
        <v>0</v>
      </c>
    </row>
    <row r="2680" spans="11:13" x14ac:dyDescent="0.2">
      <c r="K2680" t="s">
        <v>42</v>
      </c>
      <c r="L2680" t="s">
        <v>38</v>
      </c>
      <c r="M2680">
        <v>0</v>
      </c>
    </row>
    <row r="2681" spans="11:13" x14ac:dyDescent="0.2">
      <c r="K2681" t="s">
        <v>42</v>
      </c>
      <c r="L2681" t="s">
        <v>38</v>
      </c>
      <c r="M2681">
        <v>0</v>
      </c>
    </row>
    <row r="2682" spans="11:13" x14ac:dyDescent="0.2">
      <c r="K2682" t="s">
        <v>42</v>
      </c>
      <c r="L2682" t="s">
        <v>38</v>
      </c>
      <c r="M2682">
        <v>0</v>
      </c>
    </row>
    <row r="2683" spans="11:13" x14ac:dyDescent="0.2">
      <c r="K2683" t="s">
        <v>42</v>
      </c>
      <c r="L2683" t="s">
        <v>38</v>
      </c>
      <c r="M2683">
        <v>0</v>
      </c>
    </row>
    <row r="2684" spans="11:13" x14ac:dyDescent="0.2">
      <c r="K2684" t="s">
        <v>42</v>
      </c>
      <c r="L2684" t="s">
        <v>38</v>
      </c>
      <c r="M2684">
        <v>0</v>
      </c>
    </row>
    <row r="2685" spans="11:13" x14ac:dyDescent="0.2">
      <c r="K2685" t="s">
        <v>41</v>
      </c>
      <c r="L2685" t="s">
        <v>37</v>
      </c>
      <c r="M2685">
        <v>0</v>
      </c>
    </row>
    <row r="2686" spans="11:13" x14ac:dyDescent="0.2">
      <c r="K2686" t="s">
        <v>41</v>
      </c>
      <c r="L2686" t="s">
        <v>37</v>
      </c>
      <c r="M2686">
        <v>0</v>
      </c>
    </row>
    <row r="2687" spans="11:13" x14ac:dyDescent="0.2">
      <c r="K2687" t="s">
        <v>41</v>
      </c>
      <c r="L2687" t="s">
        <v>37</v>
      </c>
      <c r="M2687">
        <v>0</v>
      </c>
    </row>
    <row r="2688" spans="11:13" x14ac:dyDescent="0.2">
      <c r="K2688" t="s">
        <v>42</v>
      </c>
      <c r="L2688" t="s">
        <v>38</v>
      </c>
      <c r="M2688">
        <v>0</v>
      </c>
    </row>
    <row r="2689" spans="11:13" x14ac:dyDescent="0.2">
      <c r="K2689" t="s">
        <v>42</v>
      </c>
      <c r="L2689" t="s">
        <v>38</v>
      </c>
      <c r="M2689">
        <v>0</v>
      </c>
    </row>
    <row r="2690" spans="11:13" x14ac:dyDescent="0.2">
      <c r="K2690" t="s">
        <v>42</v>
      </c>
      <c r="L2690" t="s">
        <v>38</v>
      </c>
      <c r="M2690">
        <v>0</v>
      </c>
    </row>
    <row r="2691" spans="11:13" x14ac:dyDescent="0.2">
      <c r="K2691" t="s">
        <v>42</v>
      </c>
      <c r="L2691" t="s">
        <v>38</v>
      </c>
      <c r="M2691">
        <v>0</v>
      </c>
    </row>
    <row r="2692" spans="11:13" x14ac:dyDescent="0.2">
      <c r="K2692" t="s">
        <v>42</v>
      </c>
      <c r="L2692" t="s">
        <v>38</v>
      </c>
      <c r="M2692">
        <v>0</v>
      </c>
    </row>
    <row r="2693" spans="11:13" x14ac:dyDescent="0.2">
      <c r="K2693" t="s">
        <v>42</v>
      </c>
      <c r="L2693" t="s">
        <v>38</v>
      </c>
      <c r="M2693">
        <v>0</v>
      </c>
    </row>
    <row r="2694" spans="11:13" x14ac:dyDescent="0.2">
      <c r="K2694" t="s">
        <v>41</v>
      </c>
      <c r="L2694" t="s">
        <v>37</v>
      </c>
      <c r="M2694">
        <v>0</v>
      </c>
    </row>
    <row r="2695" spans="11:13" x14ac:dyDescent="0.2">
      <c r="K2695" t="s">
        <v>41</v>
      </c>
      <c r="L2695" t="s">
        <v>37</v>
      </c>
      <c r="M2695">
        <v>1</v>
      </c>
    </row>
    <row r="2696" spans="11:13" x14ac:dyDescent="0.2">
      <c r="K2696" t="s">
        <v>41</v>
      </c>
      <c r="L2696" t="s">
        <v>37</v>
      </c>
      <c r="M2696">
        <v>1</v>
      </c>
    </row>
    <row r="2697" spans="11:13" x14ac:dyDescent="0.2">
      <c r="K2697" t="s">
        <v>42</v>
      </c>
      <c r="L2697" t="s">
        <v>38</v>
      </c>
      <c r="M2697">
        <v>0</v>
      </c>
    </row>
    <row r="2698" spans="11:13" x14ac:dyDescent="0.2">
      <c r="K2698" t="s">
        <v>41</v>
      </c>
      <c r="L2698" t="s">
        <v>37</v>
      </c>
      <c r="M2698">
        <v>0</v>
      </c>
    </row>
    <row r="2699" spans="11:13" x14ac:dyDescent="0.2">
      <c r="K2699" t="s">
        <v>41</v>
      </c>
      <c r="L2699" t="s">
        <v>37</v>
      </c>
      <c r="M2699">
        <v>0</v>
      </c>
    </row>
    <row r="2700" spans="11:13" x14ac:dyDescent="0.2">
      <c r="K2700" t="s">
        <v>41</v>
      </c>
      <c r="L2700" t="s">
        <v>37</v>
      </c>
      <c r="M2700">
        <v>0</v>
      </c>
    </row>
    <row r="2701" spans="11:13" x14ac:dyDescent="0.2">
      <c r="K2701" t="s">
        <v>41</v>
      </c>
      <c r="L2701" t="s">
        <v>37</v>
      </c>
      <c r="M2701">
        <v>0</v>
      </c>
    </row>
    <row r="2702" spans="11:13" x14ac:dyDescent="0.2">
      <c r="K2702" t="s">
        <v>42</v>
      </c>
      <c r="L2702" t="s">
        <v>38</v>
      </c>
      <c r="M2702">
        <v>0</v>
      </c>
    </row>
    <row r="2703" spans="11:13" x14ac:dyDescent="0.2">
      <c r="K2703" t="s">
        <v>41</v>
      </c>
      <c r="L2703" t="s">
        <v>37</v>
      </c>
      <c r="M2703">
        <v>0</v>
      </c>
    </row>
    <row r="2704" spans="11:13" x14ac:dyDescent="0.2">
      <c r="K2704" t="s">
        <v>42</v>
      </c>
      <c r="L2704" t="s">
        <v>38</v>
      </c>
      <c r="M2704">
        <v>0</v>
      </c>
    </row>
    <row r="2705" spans="11:13" x14ac:dyDescent="0.2">
      <c r="K2705" t="s">
        <v>41</v>
      </c>
      <c r="L2705" t="s">
        <v>37</v>
      </c>
      <c r="M2705">
        <v>0</v>
      </c>
    </row>
    <row r="2706" spans="11:13" x14ac:dyDescent="0.2">
      <c r="K2706" t="s">
        <v>41</v>
      </c>
      <c r="L2706" t="s">
        <v>37</v>
      </c>
      <c r="M2706">
        <v>0</v>
      </c>
    </row>
    <row r="2707" spans="11:13" x14ac:dyDescent="0.2">
      <c r="K2707" t="s">
        <v>42</v>
      </c>
      <c r="L2707" t="s">
        <v>38</v>
      </c>
      <c r="M2707">
        <v>0</v>
      </c>
    </row>
    <row r="2708" spans="11:13" x14ac:dyDescent="0.2">
      <c r="K2708" t="s">
        <v>42</v>
      </c>
      <c r="L2708" t="s">
        <v>38</v>
      </c>
      <c r="M2708">
        <v>0</v>
      </c>
    </row>
    <row r="2709" spans="11:13" x14ac:dyDescent="0.2">
      <c r="K2709" t="s">
        <v>41</v>
      </c>
      <c r="L2709" t="s">
        <v>37</v>
      </c>
      <c r="M2709">
        <v>0</v>
      </c>
    </row>
    <row r="2710" spans="11:13" x14ac:dyDescent="0.2">
      <c r="K2710" t="s">
        <v>41</v>
      </c>
      <c r="L2710" t="s">
        <v>37</v>
      </c>
      <c r="M2710">
        <v>0</v>
      </c>
    </row>
    <row r="2711" spans="11:13" x14ac:dyDescent="0.2">
      <c r="K2711" t="s">
        <v>42</v>
      </c>
      <c r="L2711" t="s">
        <v>38</v>
      </c>
      <c r="M2711">
        <v>0</v>
      </c>
    </row>
    <row r="2712" spans="11:13" x14ac:dyDescent="0.2">
      <c r="K2712" t="s">
        <v>42</v>
      </c>
      <c r="L2712" t="s">
        <v>38</v>
      </c>
      <c r="M2712">
        <v>0</v>
      </c>
    </row>
    <row r="2713" spans="11:13" x14ac:dyDescent="0.2">
      <c r="K2713" t="s">
        <v>42</v>
      </c>
      <c r="L2713" t="s">
        <v>38</v>
      </c>
      <c r="M2713">
        <v>0</v>
      </c>
    </row>
    <row r="2714" spans="11:13" x14ac:dyDescent="0.2">
      <c r="K2714" t="s">
        <v>41</v>
      </c>
      <c r="L2714" t="s">
        <v>37</v>
      </c>
      <c r="M2714">
        <v>0</v>
      </c>
    </row>
    <row r="2715" spans="11:13" x14ac:dyDescent="0.2">
      <c r="K2715" t="s">
        <v>41</v>
      </c>
      <c r="L2715" t="s">
        <v>37</v>
      </c>
      <c r="M2715">
        <v>1</v>
      </c>
    </row>
    <row r="2716" spans="11:13" x14ac:dyDescent="0.2">
      <c r="K2716" t="s">
        <v>41</v>
      </c>
      <c r="L2716" t="s">
        <v>37</v>
      </c>
      <c r="M2716">
        <v>0</v>
      </c>
    </row>
    <row r="2717" spans="11:13" x14ac:dyDescent="0.2">
      <c r="K2717" t="s">
        <v>41</v>
      </c>
      <c r="L2717" t="s">
        <v>37</v>
      </c>
      <c r="M2717">
        <v>0</v>
      </c>
    </row>
    <row r="2718" spans="11:13" x14ac:dyDescent="0.2">
      <c r="K2718" t="s">
        <v>42</v>
      </c>
      <c r="L2718" t="s">
        <v>38</v>
      </c>
      <c r="M2718">
        <v>0</v>
      </c>
    </row>
    <row r="2719" spans="11:13" x14ac:dyDescent="0.2">
      <c r="K2719" t="s">
        <v>41</v>
      </c>
      <c r="L2719" t="s">
        <v>37</v>
      </c>
      <c r="M2719">
        <v>0</v>
      </c>
    </row>
    <row r="2720" spans="11:13" x14ac:dyDescent="0.2">
      <c r="K2720" t="s">
        <v>42</v>
      </c>
      <c r="L2720" t="s">
        <v>38</v>
      </c>
      <c r="M2720">
        <v>0</v>
      </c>
    </row>
    <row r="2721" spans="11:13" x14ac:dyDescent="0.2">
      <c r="K2721" t="s">
        <v>42</v>
      </c>
      <c r="L2721" t="s">
        <v>38</v>
      </c>
      <c r="M2721">
        <v>0</v>
      </c>
    </row>
    <row r="2722" spans="11:13" x14ac:dyDescent="0.2">
      <c r="K2722" t="s">
        <v>42</v>
      </c>
      <c r="L2722" t="s">
        <v>38</v>
      </c>
      <c r="M2722">
        <v>0</v>
      </c>
    </row>
    <row r="2723" spans="11:13" x14ac:dyDescent="0.2">
      <c r="K2723" t="s">
        <v>41</v>
      </c>
      <c r="L2723" t="s">
        <v>37</v>
      </c>
      <c r="M2723">
        <v>0</v>
      </c>
    </row>
    <row r="2724" spans="11:13" x14ac:dyDescent="0.2">
      <c r="K2724" t="s">
        <v>41</v>
      </c>
      <c r="L2724" t="s">
        <v>37</v>
      </c>
      <c r="M2724">
        <v>0</v>
      </c>
    </row>
    <row r="2725" spans="11:13" x14ac:dyDescent="0.2">
      <c r="K2725" t="s">
        <v>42</v>
      </c>
      <c r="L2725" t="s">
        <v>38</v>
      </c>
      <c r="M2725">
        <v>0</v>
      </c>
    </row>
    <row r="2726" spans="11:13" x14ac:dyDescent="0.2">
      <c r="K2726" t="s">
        <v>42</v>
      </c>
      <c r="L2726" t="s">
        <v>38</v>
      </c>
      <c r="M2726">
        <v>0</v>
      </c>
    </row>
    <row r="2727" spans="11:13" x14ac:dyDescent="0.2">
      <c r="K2727" t="s">
        <v>42</v>
      </c>
      <c r="L2727" t="s">
        <v>38</v>
      </c>
      <c r="M2727">
        <v>0</v>
      </c>
    </row>
    <row r="2728" spans="11:13" x14ac:dyDescent="0.2">
      <c r="K2728" t="s">
        <v>42</v>
      </c>
      <c r="L2728" t="s">
        <v>38</v>
      </c>
      <c r="M2728">
        <v>0</v>
      </c>
    </row>
    <row r="2729" spans="11:13" x14ac:dyDescent="0.2">
      <c r="K2729" t="s">
        <v>41</v>
      </c>
      <c r="L2729" t="s">
        <v>37</v>
      </c>
      <c r="M2729">
        <v>0</v>
      </c>
    </row>
    <row r="2730" spans="11:13" x14ac:dyDescent="0.2">
      <c r="K2730" t="s">
        <v>42</v>
      </c>
      <c r="L2730" t="s">
        <v>38</v>
      </c>
      <c r="M2730">
        <v>0</v>
      </c>
    </row>
    <row r="2731" spans="11:13" x14ac:dyDescent="0.2">
      <c r="K2731" t="s">
        <v>42</v>
      </c>
      <c r="L2731" t="s">
        <v>38</v>
      </c>
      <c r="M2731">
        <v>0</v>
      </c>
    </row>
    <row r="2732" spans="11:13" x14ac:dyDescent="0.2">
      <c r="K2732" t="s">
        <v>42</v>
      </c>
      <c r="L2732" t="s">
        <v>38</v>
      </c>
      <c r="M2732">
        <v>0</v>
      </c>
    </row>
    <row r="2733" spans="11:13" x14ac:dyDescent="0.2">
      <c r="K2733" t="s">
        <v>41</v>
      </c>
      <c r="L2733" t="s">
        <v>37</v>
      </c>
      <c r="M2733">
        <v>0</v>
      </c>
    </row>
    <row r="2734" spans="11:13" x14ac:dyDescent="0.2">
      <c r="K2734" t="s">
        <v>42</v>
      </c>
      <c r="L2734" t="s">
        <v>38</v>
      </c>
      <c r="M2734">
        <v>0</v>
      </c>
    </row>
    <row r="2735" spans="11:13" x14ac:dyDescent="0.2">
      <c r="K2735" t="s">
        <v>42</v>
      </c>
      <c r="L2735" t="s">
        <v>38</v>
      </c>
      <c r="M2735">
        <v>0</v>
      </c>
    </row>
    <row r="2736" spans="11:13" x14ac:dyDescent="0.2">
      <c r="K2736" t="s">
        <v>42</v>
      </c>
      <c r="L2736" t="s">
        <v>38</v>
      </c>
      <c r="M2736">
        <v>1</v>
      </c>
    </row>
    <row r="2737" spans="11:13" x14ac:dyDescent="0.2">
      <c r="K2737" t="s">
        <v>42</v>
      </c>
      <c r="L2737" t="s">
        <v>38</v>
      </c>
      <c r="M2737">
        <v>0</v>
      </c>
    </row>
    <row r="2738" spans="11:13" x14ac:dyDescent="0.2">
      <c r="K2738" t="s">
        <v>42</v>
      </c>
      <c r="L2738" t="s">
        <v>38</v>
      </c>
      <c r="M2738">
        <v>0</v>
      </c>
    </row>
    <row r="2739" spans="11:13" x14ac:dyDescent="0.2">
      <c r="K2739" t="s">
        <v>41</v>
      </c>
      <c r="L2739" t="s">
        <v>37</v>
      </c>
      <c r="M2739">
        <v>0</v>
      </c>
    </row>
    <row r="2740" spans="11:13" x14ac:dyDescent="0.2">
      <c r="K2740" t="s">
        <v>41</v>
      </c>
      <c r="L2740" t="s">
        <v>37</v>
      </c>
      <c r="M2740">
        <v>0</v>
      </c>
    </row>
    <row r="2741" spans="11:13" x14ac:dyDescent="0.2">
      <c r="K2741" t="s">
        <v>41</v>
      </c>
      <c r="L2741" t="s">
        <v>37</v>
      </c>
      <c r="M2741">
        <v>0</v>
      </c>
    </row>
    <row r="2742" spans="11:13" x14ac:dyDescent="0.2">
      <c r="K2742" t="s">
        <v>41</v>
      </c>
      <c r="L2742" t="s">
        <v>37</v>
      </c>
      <c r="M2742">
        <v>0</v>
      </c>
    </row>
    <row r="2743" spans="11:13" x14ac:dyDescent="0.2">
      <c r="K2743" t="s">
        <v>42</v>
      </c>
      <c r="L2743" t="s">
        <v>38</v>
      </c>
      <c r="M2743">
        <v>0</v>
      </c>
    </row>
    <row r="2744" spans="11:13" x14ac:dyDescent="0.2">
      <c r="K2744" t="s">
        <v>42</v>
      </c>
      <c r="L2744" t="s">
        <v>38</v>
      </c>
      <c r="M2744">
        <v>0</v>
      </c>
    </row>
    <row r="2745" spans="11:13" x14ac:dyDescent="0.2">
      <c r="K2745" t="s">
        <v>42</v>
      </c>
      <c r="L2745" t="s">
        <v>38</v>
      </c>
      <c r="M2745">
        <v>0</v>
      </c>
    </row>
    <row r="2746" spans="11:13" x14ac:dyDescent="0.2">
      <c r="K2746" t="s">
        <v>41</v>
      </c>
      <c r="L2746" t="s">
        <v>37</v>
      </c>
      <c r="M2746">
        <v>0</v>
      </c>
    </row>
    <row r="2747" spans="11:13" x14ac:dyDescent="0.2">
      <c r="K2747" t="s">
        <v>41</v>
      </c>
      <c r="L2747" t="s">
        <v>37</v>
      </c>
      <c r="M2747">
        <v>1</v>
      </c>
    </row>
    <row r="2748" spans="11:13" x14ac:dyDescent="0.2">
      <c r="K2748" t="s">
        <v>42</v>
      </c>
      <c r="L2748" t="s">
        <v>38</v>
      </c>
      <c r="M2748">
        <v>0</v>
      </c>
    </row>
    <row r="2749" spans="11:13" x14ac:dyDescent="0.2">
      <c r="K2749" t="s">
        <v>41</v>
      </c>
      <c r="L2749" t="s">
        <v>37</v>
      </c>
      <c r="M2749">
        <v>0</v>
      </c>
    </row>
    <row r="2750" spans="11:13" x14ac:dyDescent="0.2">
      <c r="K2750" t="s">
        <v>41</v>
      </c>
      <c r="L2750" t="s">
        <v>37</v>
      </c>
      <c r="M2750">
        <v>0</v>
      </c>
    </row>
    <row r="2751" spans="11:13" x14ac:dyDescent="0.2">
      <c r="K2751" t="s">
        <v>42</v>
      </c>
      <c r="L2751" t="s">
        <v>38</v>
      </c>
      <c r="M2751">
        <v>0</v>
      </c>
    </row>
    <row r="2752" spans="11:13" x14ac:dyDescent="0.2">
      <c r="K2752" t="s">
        <v>41</v>
      </c>
      <c r="L2752" t="s">
        <v>37</v>
      </c>
      <c r="M2752">
        <v>0</v>
      </c>
    </row>
    <row r="2753" spans="11:13" x14ac:dyDescent="0.2">
      <c r="K2753" t="s">
        <v>42</v>
      </c>
      <c r="L2753" t="s">
        <v>38</v>
      </c>
      <c r="M2753">
        <v>0</v>
      </c>
    </row>
    <row r="2754" spans="11:13" x14ac:dyDescent="0.2">
      <c r="K2754" t="s">
        <v>42</v>
      </c>
      <c r="L2754" t="s">
        <v>38</v>
      </c>
      <c r="M2754">
        <v>0</v>
      </c>
    </row>
    <row r="2755" spans="11:13" x14ac:dyDescent="0.2">
      <c r="K2755" t="s">
        <v>41</v>
      </c>
      <c r="L2755" t="s">
        <v>37</v>
      </c>
      <c r="M2755">
        <v>0</v>
      </c>
    </row>
    <row r="2756" spans="11:13" x14ac:dyDescent="0.2">
      <c r="K2756" t="s">
        <v>41</v>
      </c>
      <c r="L2756" t="s">
        <v>37</v>
      </c>
      <c r="M2756">
        <v>0</v>
      </c>
    </row>
    <row r="2757" spans="11:13" x14ac:dyDescent="0.2">
      <c r="K2757" t="s">
        <v>42</v>
      </c>
      <c r="L2757" t="s">
        <v>38</v>
      </c>
      <c r="M2757">
        <v>1</v>
      </c>
    </row>
    <row r="2758" spans="11:13" x14ac:dyDescent="0.2">
      <c r="K2758" t="s">
        <v>41</v>
      </c>
      <c r="L2758" t="s">
        <v>37</v>
      </c>
      <c r="M2758">
        <v>0</v>
      </c>
    </row>
    <row r="2759" spans="11:13" x14ac:dyDescent="0.2">
      <c r="K2759" t="s">
        <v>41</v>
      </c>
      <c r="L2759" t="s">
        <v>37</v>
      </c>
      <c r="M2759">
        <v>0</v>
      </c>
    </row>
    <row r="2760" spans="11:13" x14ac:dyDescent="0.2">
      <c r="K2760" t="s">
        <v>42</v>
      </c>
      <c r="L2760" t="s">
        <v>38</v>
      </c>
      <c r="M2760">
        <v>0</v>
      </c>
    </row>
    <row r="2761" spans="11:13" x14ac:dyDescent="0.2">
      <c r="K2761" t="s">
        <v>42</v>
      </c>
      <c r="L2761" t="s">
        <v>38</v>
      </c>
      <c r="M2761">
        <v>0</v>
      </c>
    </row>
    <row r="2762" spans="11:13" x14ac:dyDescent="0.2">
      <c r="K2762" t="s">
        <v>42</v>
      </c>
      <c r="L2762" t="s">
        <v>38</v>
      </c>
      <c r="M2762">
        <v>0</v>
      </c>
    </row>
    <row r="2763" spans="11:13" x14ac:dyDescent="0.2">
      <c r="K2763" t="s">
        <v>41</v>
      </c>
      <c r="L2763" t="s">
        <v>37</v>
      </c>
      <c r="M2763">
        <v>0</v>
      </c>
    </row>
    <row r="2764" spans="11:13" x14ac:dyDescent="0.2">
      <c r="K2764" t="s">
        <v>42</v>
      </c>
      <c r="L2764" t="s">
        <v>38</v>
      </c>
      <c r="M2764">
        <v>0</v>
      </c>
    </row>
    <row r="2765" spans="11:13" x14ac:dyDescent="0.2">
      <c r="K2765" t="s">
        <v>41</v>
      </c>
      <c r="L2765" t="s">
        <v>37</v>
      </c>
      <c r="M2765">
        <v>0</v>
      </c>
    </row>
    <row r="2766" spans="11:13" x14ac:dyDescent="0.2">
      <c r="K2766" t="s">
        <v>42</v>
      </c>
      <c r="L2766" t="s">
        <v>38</v>
      </c>
      <c r="M2766">
        <v>0</v>
      </c>
    </row>
    <row r="2767" spans="11:13" x14ac:dyDescent="0.2">
      <c r="K2767" t="s">
        <v>41</v>
      </c>
      <c r="L2767" t="s">
        <v>37</v>
      </c>
      <c r="M2767">
        <v>0</v>
      </c>
    </row>
    <row r="2768" spans="11:13" x14ac:dyDescent="0.2">
      <c r="K2768" t="s">
        <v>42</v>
      </c>
      <c r="L2768" t="s">
        <v>38</v>
      </c>
      <c r="M2768">
        <v>0</v>
      </c>
    </row>
    <row r="2769" spans="11:13" x14ac:dyDescent="0.2">
      <c r="K2769" t="s">
        <v>41</v>
      </c>
      <c r="L2769" t="s">
        <v>37</v>
      </c>
      <c r="M2769">
        <v>0</v>
      </c>
    </row>
    <row r="2770" spans="11:13" x14ac:dyDescent="0.2">
      <c r="K2770" t="s">
        <v>41</v>
      </c>
      <c r="L2770" t="s">
        <v>37</v>
      </c>
      <c r="M2770">
        <v>1</v>
      </c>
    </row>
    <row r="2771" spans="11:13" x14ac:dyDescent="0.2">
      <c r="K2771" t="s">
        <v>41</v>
      </c>
      <c r="L2771" t="s">
        <v>37</v>
      </c>
      <c r="M2771">
        <v>0</v>
      </c>
    </row>
    <row r="2772" spans="11:13" x14ac:dyDescent="0.2">
      <c r="K2772" t="s">
        <v>42</v>
      </c>
      <c r="L2772" t="s">
        <v>38</v>
      </c>
      <c r="M2772">
        <v>0</v>
      </c>
    </row>
    <row r="2773" spans="11:13" x14ac:dyDescent="0.2">
      <c r="K2773" t="s">
        <v>42</v>
      </c>
      <c r="L2773" t="s">
        <v>38</v>
      </c>
      <c r="M2773">
        <v>0</v>
      </c>
    </row>
    <row r="2774" spans="11:13" x14ac:dyDescent="0.2">
      <c r="K2774" t="s">
        <v>42</v>
      </c>
      <c r="L2774" t="s">
        <v>38</v>
      </c>
      <c r="M2774">
        <v>0</v>
      </c>
    </row>
    <row r="2775" spans="11:13" x14ac:dyDescent="0.2">
      <c r="K2775" t="s">
        <v>42</v>
      </c>
      <c r="L2775" t="s">
        <v>38</v>
      </c>
      <c r="M2775">
        <v>0</v>
      </c>
    </row>
    <row r="2776" spans="11:13" x14ac:dyDescent="0.2">
      <c r="K2776" t="s">
        <v>42</v>
      </c>
      <c r="L2776" t="s">
        <v>38</v>
      </c>
      <c r="M2776">
        <v>0</v>
      </c>
    </row>
    <row r="2777" spans="11:13" x14ac:dyDescent="0.2">
      <c r="K2777" t="s">
        <v>42</v>
      </c>
      <c r="L2777" t="s">
        <v>38</v>
      </c>
      <c r="M2777">
        <v>0</v>
      </c>
    </row>
    <row r="2778" spans="11:13" x14ac:dyDescent="0.2">
      <c r="K2778" t="s">
        <v>42</v>
      </c>
      <c r="L2778" t="s">
        <v>38</v>
      </c>
      <c r="M2778">
        <v>0</v>
      </c>
    </row>
    <row r="2779" spans="11:13" x14ac:dyDescent="0.2">
      <c r="K2779" t="s">
        <v>42</v>
      </c>
      <c r="L2779" t="s">
        <v>38</v>
      </c>
      <c r="M2779">
        <v>0</v>
      </c>
    </row>
    <row r="2780" spans="11:13" x14ac:dyDescent="0.2">
      <c r="K2780" t="s">
        <v>41</v>
      </c>
      <c r="L2780" t="s">
        <v>37</v>
      </c>
      <c r="M2780">
        <v>0</v>
      </c>
    </row>
    <row r="2781" spans="11:13" x14ac:dyDescent="0.2">
      <c r="K2781" t="s">
        <v>41</v>
      </c>
      <c r="L2781" t="s">
        <v>37</v>
      </c>
      <c r="M2781">
        <v>0</v>
      </c>
    </row>
    <row r="2782" spans="11:13" x14ac:dyDescent="0.2">
      <c r="K2782" t="s">
        <v>41</v>
      </c>
      <c r="L2782" t="s">
        <v>37</v>
      </c>
      <c r="M2782">
        <v>0</v>
      </c>
    </row>
    <row r="2783" spans="11:13" x14ac:dyDescent="0.2">
      <c r="K2783" t="s">
        <v>41</v>
      </c>
      <c r="L2783" t="s">
        <v>37</v>
      </c>
      <c r="M2783">
        <v>0</v>
      </c>
    </row>
    <row r="2784" spans="11:13" x14ac:dyDescent="0.2">
      <c r="K2784" t="s">
        <v>42</v>
      </c>
      <c r="L2784" t="s">
        <v>38</v>
      </c>
      <c r="M2784">
        <v>0</v>
      </c>
    </row>
    <row r="2785" spans="11:13" x14ac:dyDescent="0.2">
      <c r="K2785" t="s">
        <v>42</v>
      </c>
      <c r="L2785" t="s">
        <v>38</v>
      </c>
      <c r="M2785">
        <v>0</v>
      </c>
    </row>
    <row r="2786" spans="11:13" x14ac:dyDescent="0.2">
      <c r="K2786" t="s">
        <v>42</v>
      </c>
      <c r="L2786" t="s">
        <v>38</v>
      </c>
      <c r="M2786">
        <v>0</v>
      </c>
    </row>
    <row r="2787" spans="11:13" x14ac:dyDescent="0.2">
      <c r="K2787" t="s">
        <v>42</v>
      </c>
      <c r="L2787" t="s">
        <v>38</v>
      </c>
      <c r="M2787">
        <v>0</v>
      </c>
    </row>
    <row r="2788" spans="11:13" x14ac:dyDescent="0.2">
      <c r="K2788" t="s">
        <v>42</v>
      </c>
      <c r="L2788" t="s">
        <v>38</v>
      </c>
      <c r="M2788">
        <v>0</v>
      </c>
    </row>
    <row r="2789" spans="11:13" x14ac:dyDescent="0.2">
      <c r="K2789" t="s">
        <v>41</v>
      </c>
      <c r="L2789" t="s">
        <v>37</v>
      </c>
      <c r="M2789">
        <v>0</v>
      </c>
    </row>
    <row r="2790" spans="11:13" x14ac:dyDescent="0.2">
      <c r="K2790" t="s">
        <v>41</v>
      </c>
      <c r="L2790" t="s">
        <v>37</v>
      </c>
      <c r="M2790">
        <v>0</v>
      </c>
    </row>
    <row r="2791" spans="11:13" x14ac:dyDescent="0.2">
      <c r="K2791" t="s">
        <v>42</v>
      </c>
      <c r="L2791" t="s">
        <v>38</v>
      </c>
      <c r="M2791">
        <v>0</v>
      </c>
    </row>
    <row r="2792" spans="11:13" x14ac:dyDescent="0.2">
      <c r="K2792" t="s">
        <v>41</v>
      </c>
      <c r="L2792" t="s">
        <v>37</v>
      </c>
      <c r="M2792">
        <v>0</v>
      </c>
    </row>
    <row r="2793" spans="11:13" x14ac:dyDescent="0.2">
      <c r="K2793" t="s">
        <v>41</v>
      </c>
      <c r="L2793" t="s">
        <v>37</v>
      </c>
      <c r="M2793">
        <v>0</v>
      </c>
    </row>
    <row r="2794" spans="11:13" x14ac:dyDescent="0.2">
      <c r="K2794" t="s">
        <v>41</v>
      </c>
      <c r="L2794" t="s">
        <v>37</v>
      </c>
      <c r="M2794">
        <v>0</v>
      </c>
    </row>
    <row r="2795" spans="11:13" x14ac:dyDescent="0.2">
      <c r="K2795" t="s">
        <v>42</v>
      </c>
      <c r="L2795" t="s">
        <v>38</v>
      </c>
      <c r="M2795">
        <v>0</v>
      </c>
    </row>
    <row r="2796" spans="11:13" x14ac:dyDescent="0.2">
      <c r="K2796" t="s">
        <v>42</v>
      </c>
      <c r="L2796" t="s">
        <v>38</v>
      </c>
      <c r="M2796">
        <v>0</v>
      </c>
    </row>
    <row r="2797" spans="11:13" x14ac:dyDescent="0.2">
      <c r="K2797" t="s">
        <v>41</v>
      </c>
      <c r="L2797" t="s">
        <v>37</v>
      </c>
      <c r="M2797">
        <v>0</v>
      </c>
    </row>
    <row r="2798" spans="11:13" x14ac:dyDescent="0.2">
      <c r="K2798" t="s">
        <v>41</v>
      </c>
      <c r="L2798" t="s">
        <v>37</v>
      </c>
      <c r="M2798">
        <v>0</v>
      </c>
    </row>
    <row r="2799" spans="11:13" x14ac:dyDescent="0.2">
      <c r="K2799" t="s">
        <v>41</v>
      </c>
      <c r="L2799" t="s">
        <v>37</v>
      </c>
      <c r="M2799">
        <v>0</v>
      </c>
    </row>
    <row r="2800" spans="11:13" x14ac:dyDescent="0.2">
      <c r="K2800" t="s">
        <v>42</v>
      </c>
      <c r="L2800" t="s">
        <v>38</v>
      </c>
      <c r="M2800">
        <v>0</v>
      </c>
    </row>
    <row r="2801" spans="11:13" x14ac:dyDescent="0.2">
      <c r="K2801" t="s">
        <v>42</v>
      </c>
      <c r="L2801" t="s">
        <v>38</v>
      </c>
      <c r="M2801">
        <v>0</v>
      </c>
    </row>
    <row r="2802" spans="11:13" x14ac:dyDescent="0.2">
      <c r="K2802" t="s">
        <v>41</v>
      </c>
      <c r="L2802" t="s">
        <v>37</v>
      </c>
      <c r="M2802">
        <v>0</v>
      </c>
    </row>
    <row r="2803" spans="11:13" x14ac:dyDescent="0.2">
      <c r="K2803" t="s">
        <v>41</v>
      </c>
      <c r="L2803" t="s">
        <v>37</v>
      </c>
      <c r="M2803">
        <v>0</v>
      </c>
    </row>
    <row r="2804" spans="11:13" x14ac:dyDescent="0.2">
      <c r="K2804" t="s">
        <v>41</v>
      </c>
      <c r="L2804" t="s">
        <v>37</v>
      </c>
      <c r="M2804">
        <v>0</v>
      </c>
    </row>
    <row r="2805" spans="11:13" x14ac:dyDescent="0.2">
      <c r="K2805" t="s">
        <v>41</v>
      </c>
      <c r="L2805" t="s">
        <v>37</v>
      </c>
      <c r="M2805">
        <v>0</v>
      </c>
    </row>
    <row r="2806" spans="11:13" x14ac:dyDescent="0.2">
      <c r="K2806" t="s">
        <v>42</v>
      </c>
      <c r="L2806" t="s">
        <v>38</v>
      </c>
      <c r="M2806">
        <v>0</v>
      </c>
    </row>
    <row r="2807" spans="11:13" x14ac:dyDescent="0.2">
      <c r="K2807" t="s">
        <v>41</v>
      </c>
      <c r="L2807" t="s">
        <v>37</v>
      </c>
      <c r="M2807">
        <v>0</v>
      </c>
    </row>
    <row r="2808" spans="11:13" x14ac:dyDescent="0.2">
      <c r="K2808" t="s">
        <v>41</v>
      </c>
      <c r="L2808" t="s">
        <v>37</v>
      </c>
      <c r="M2808">
        <v>0</v>
      </c>
    </row>
    <row r="2809" spans="11:13" x14ac:dyDescent="0.2">
      <c r="K2809" t="s">
        <v>42</v>
      </c>
      <c r="L2809" t="s">
        <v>38</v>
      </c>
      <c r="M2809">
        <v>0</v>
      </c>
    </row>
    <row r="2810" spans="11:13" x14ac:dyDescent="0.2">
      <c r="K2810" t="s">
        <v>42</v>
      </c>
      <c r="L2810" t="s">
        <v>38</v>
      </c>
      <c r="M2810">
        <v>0</v>
      </c>
    </row>
    <row r="2811" spans="11:13" x14ac:dyDescent="0.2">
      <c r="K2811" t="s">
        <v>41</v>
      </c>
      <c r="L2811" t="s">
        <v>37</v>
      </c>
      <c r="M2811">
        <v>0</v>
      </c>
    </row>
    <row r="2812" spans="11:13" x14ac:dyDescent="0.2">
      <c r="K2812" t="s">
        <v>41</v>
      </c>
      <c r="L2812" t="s">
        <v>37</v>
      </c>
      <c r="M2812">
        <v>0</v>
      </c>
    </row>
    <row r="2813" spans="11:13" x14ac:dyDescent="0.2">
      <c r="K2813" t="s">
        <v>41</v>
      </c>
      <c r="L2813" t="s">
        <v>37</v>
      </c>
      <c r="M2813">
        <v>0</v>
      </c>
    </row>
    <row r="2814" spans="11:13" x14ac:dyDescent="0.2">
      <c r="K2814" t="s">
        <v>41</v>
      </c>
      <c r="L2814" t="s">
        <v>37</v>
      </c>
      <c r="M2814">
        <v>0</v>
      </c>
    </row>
    <row r="2815" spans="11:13" x14ac:dyDescent="0.2">
      <c r="K2815" t="s">
        <v>41</v>
      </c>
      <c r="L2815" t="s">
        <v>37</v>
      </c>
      <c r="M2815">
        <v>0</v>
      </c>
    </row>
    <row r="2816" spans="11:13" x14ac:dyDescent="0.2">
      <c r="K2816" t="s">
        <v>41</v>
      </c>
      <c r="L2816" t="s">
        <v>37</v>
      </c>
      <c r="M2816">
        <v>0</v>
      </c>
    </row>
    <row r="2817" spans="11:13" x14ac:dyDescent="0.2">
      <c r="K2817" t="s">
        <v>41</v>
      </c>
      <c r="L2817" t="s">
        <v>37</v>
      </c>
      <c r="M2817">
        <v>0</v>
      </c>
    </row>
    <row r="2818" spans="11:13" x14ac:dyDescent="0.2">
      <c r="K2818" t="s">
        <v>41</v>
      </c>
      <c r="L2818" t="s">
        <v>37</v>
      </c>
      <c r="M2818">
        <v>0</v>
      </c>
    </row>
    <row r="2819" spans="11:13" x14ac:dyDescent="0.2">
      <c r="K2819" t="s">
        <v>42</v>
      </c>
      <c r="L2819" t="s">
        <v>38</v>
      </c>
      <c r="M2819">
        <v>0</v>
      </c>
    </row>
    <row r="2820" spans="11:13" x14ac:dyDescent="0.2">
      <c r="K2820" t="s">
        <v>41</v>
      </c>
      <c r="L2820" t="s">
        <v>37</v>
      </c>
      <c r="M2820">
        <v>0</v>
      </c>
    </row>
    <row r="2821" spans="11:13" x14ac:dyDescent="0.2">
      <c r="K2821" t="s">
        <v>42</v>
      </c>
      <c r="L2821" t="s">
        <v>38</v>
      </c>
      <c r="M2821">
        <v>0</v>
      </c>
    </row>
    <row r="2822" spans="11:13" x14ac:dyDescent="0.2">
      <c r="K2822" t="s">
        <v>42</v>
      </c>
      <c r="L2822" t="s">
        <v>38</v>
      </c>
      <c r="M2822">
        <v>0</v>
      </c>
    </row>
    <row r="2823" spans="11:13" x14ac:dyDescent="0.2">
      <c r="K2823" t="s">
        <v>41</v>
      </c>
      <c r="L2823" t="s">
        <v>37</v>
      </c>
      <c r="M2823">
        <v>0</v>
      </c>
    </row>
    <row r="2824" spans="11:13" x14ac:dyDescent="0.2">
      <c r="K2824" t="s">
        <v>42</v>
      </c>
      <c r="L2824" t="s">
        <v>38</v>
      </c>
      <c r="M2824">
        <v>0</v>
      </c>
    </row>
    <row r="2825" spans="11:13" x14ac:dyDescent="0.2">
      <c r="K2825" t="s">
        <v>41</v>
      </c>
      <c r="L2825" t="s">
        <v>37</v>
      </c>
      <c r="M2825">
        <v>0</v>
      </c>
    </row>
    <row r="2826" spans="11:13" x14ac:dyDescent="0.2">
      <c r="K2826" t="s">
        <v>41</v>
      </c>
      <c r="L2826" t="s">
        <v>37</v>
      </c>
      <c r="M2826">
        <v>0</v>
      </c>
    </row>
    <row r="2827" spans="11:13" x14ac:dyDescent="0.2">
      <c r="K2827" t="s">
        <v>42</v>
      </c>
      <c r="L2827" t="s">
        <v>38</v>
      </c>
      <c r="M2827">
        <v>0</v>
      </c>
    </row>
    <row r="2828" spans="11:13" x14ac:dyDescent="0.2">
      <c r="K2828" t="s">
        <v>41</v>
      </c>
      <c r="L2828" t="s">
        <v>37</v>
      </c>
      <c r="M2828">
        <v>0</v>
      </c>
    </row>
    <row r="2829" spans="11:13" x14ac:dyDescent="0.2">
      <c r="K2829" t="s">
        <v>41</v>
      </c>
      <c r="L2829" t="s">
        <v>37</v>
      </c>
      <c r="M2829">
        <v>0</v>
      </c>
    </row>
    <row r="2830" spans="11:13" x14ac:dyDescent="0.2">
      <c r="K2830" t="s">
        <v>41</v>
      </c>
      <c r="L2830" t="s">
        <v>37</v>
      </c>
      <c r="M2830">
        <v>0</v>
      </c>
    </row>
    <row r="2831" spans="11:13" x14ac:dyDescent="0.2">
      <c r="K2831" t="s">
        <v>42</v>
      </c>
      <c r="L2831" t="s">
        <v>38</v>
      </c>
      <c r="M2831">
        <v>0</v>
      </c>
    </row>
    <row r="2832" spans="11:13" x14ac:dyDescent="0.2">
      <c r="K2832" t="s">
        <v>42</v>
      </c>
      <c r="L2832" t="s">
        <v>38</v>
      </c>
      <c r="M2832">
        <v>0</v>
      </c>
    </row>
    <row r="2833" spans="11:13" x14ac:dyDescent="0.2">
      <c r="K2833" t="s">
        <v>42</v>
      </c>
      <c r="L2833" t="s">
        <v>38</v>
      </c>
      <c r="M2833">
        <v>0</v>
      </c>
    </row>
    <row r="2834" spans="11:13" x14ac:dyDescent="0.2">
      <c r="K2834" t="s">
        <v>41</v>
      </c>
      <c r="L2834" t="s">
        <v>37</v>
      </c>
      <c r="M2834">
        <v>0</v>
      </c>
    </row>
    <row r="2835" spans="11:13" x14ac:dyDescent="0.2">
      <c r="K2835" t="s">
        <v>42</v>
      </c>
      <c r="L2835" t="s">
        <v>38</v>
      </c>
      <c r="M2835">
        <v>0</v>
      </c>
    </row>
    <row r="2836" spans="11:13" x14ac:dyDescent="0.2">
      <c r="K2836" t="s">
        <v>41</v>
      </c>
      <c r="L2836" t="s">
        <v>37</v>
      </c>
      <c r="M2836">
        <v>0</v>
      </c>
    </row>
    <row r="2837" spans="11:13" x14ac:dyDescent="0.2">
      <c r="K2837" t="s">
        <v>42</v>
      </c>
      <c r="L2837" t="s">
        <v>38</v>
      </c>
      <c r="M2837">
        <v>0</v>
      </c>
    </row>
    <row r="2838" spans="11:13" x14ac:dyDescent="0.2">
      <c r="K2838" t="s">
        <v>41</v>
      </c>
      <c r="L2838" t="s">
        <v>37</v>
      </c>
      <c r="M2838">
        <v>0</v>
      </c>
    </row>
    <row r="2839" spans="11:13" x14ac:dyDescent="0.2">
      <c r="K2839" t="s">
        <v>42</v>
      </c>
      <c r="L2839" t="s">
        <v>38</v>
      </c>
      <c r="M2839">
        <v>0</v>
      </c>
    </row>
    <row r="2840" spans="11:13" x14ac:dyDescent="0.2">
      <c r="K2840" t="s">
        <v>41</v>
      </c>
      <c r="L2840" t="s">
        <v>37</v>
      </c>
      <c r="M2840">
        <v>0</v>
      </c>
    </row>
    <row r="2841" spans="11:13" x14ac:dyDescent="0.2">
      <c r="K2841" t="s">
        <v>41</v>
      </c>
      <c r="L2841" t="s">
        <v>37</v>
      </c>
      <c r="M2841">
        <v>0</v>
      </c>
    </row>
    <row r="2842" spans="11:13" x14ac:dyDescent="0.2">
      <c r="K2842" t="s">
        <v>42</v>
      </c>
      <c r="L2842" t="s">
        <v>38</v>
      </c>
      <c r="M2842">
        <v>0</v>
      </c>
    </row>
    <row r="2843" spans="11:13" x14ac:dyDescent="0.2">
      <c r="K2843" t="s">
        <v>41</v>
      </c>
      <c r="L2843" t="s">
        <v>37</v>
      </c>
      <c r="M2843">
        <v>0</v>
      </c>
    </row>
    <row r="2844" spans="11:13" x14ac:dyDescent="0.2">
      <c r="K2844" t="s">
        <v>41</v>
      </c>
      <c r="L2844" t="s">
        <v>37</v>
      </c>
      <c r="M2844">
        <v>0</v>
      </c>
    </row>
    <row r="2845" spans="11:13" x14ac:dyDescent="0.2">
      <c r="K2845" t="s">
        <v>42</v>
      </c>
      <c r="L2845" t="s">
        <v>38</v>
      </c>
      <c r="M2845">
        <v>0</v>
      </c>
    </row>
    <row r="2846" spans="11:13" x14ac:dyDescent="0.2">
      <c r="K2846" t="s">
        <v>42</v>
      </c>
      <c r="L2846" t="s">
        <v>38</v>
      </c>
      <c r="M2846">
        <v>0</v>
      </c>
    </row>
    <row r="2847" spans="11:13" x14ac:dyDescent="0.2">
      <c r="K2847" t="s">
        <v>42</v>
      </c>
      <c r="L2847" t="s">
        <v>38</v>
      </c>
      <c r="M2847">
        <v>0</v>
      </c>
    </row>
    <row r="2848" spans="11:13" x14ac:dyDescent="0.2">
      <c r="K2848" t="s">
        <v>41</v>
      </c>
      <c r="L2848" t="s">
        <v>37</v>
      </c>
      <c r="M2848">
        <v>0</v>
      </c>
    </row>
    <row r="2849" spans="11:13" x14ac:dyDescent="0.2">
      <c r="K2849" t="s">
        <v>41</v>
      </c>
      <c r="L2849" t="s">
        <v>37</v>
      </c>
      <c r="M2849">
        <v>0</v>
      </c>
    </row>
    <row r="2850" spans="11:13" x14ac:dyDescent="0.2">
      <c r="K2850" t="s">
        <v>41</v>
      </c>
      <c r="L2850" t="s">
        <v>37</v>
      </c>
      <c r="M2850">
        <v>0</v>
      </c>
    </row>
    <row r="2851" spans="11:13" x14ac:dyDescent="0.2">
      <c r="K2851" t="s">
        <v>41</v>
      </c>
      <c r="L2851" t="s">
        <v>37</v>
      </c>
      <c r="M2851">
        <v>0</v>
      </c>
    </row>
    <row r="2852" spans="11:13" x14ac:dyDescent="0.2">
      <c r="K2852" t="s">
        <v>42</v>
      </c>
      <c r="L2852" t="s">
        <v>38</v>
      </c>
      <c r="M2852">
        <v>0</v>
      </c>
    </row>
    <row r="2853" spans="11:13" x14ac:dyDescent="0.2">
      <c r="K2853" t="s">
        <v>42</v>
      </c>
      <c r="L2853" t="s">
        <v>38</v>
      </c>
      <c r="M2853">
        <v>1</v>
      </c>
    </row>
    <row r="2854" spans="11:13" x14ac:dyDescent="0.2">
      <c r="K2854" t="s">
        <v>41</v>
      </c>
      <c r="L2854" t="s">
        <v>37</v>
      </c>
      <c r="M2854">
        <v>0</v>
      </c>
    </row>
    <row r="2855" spans="11:13" x14ac:dyDescent="0.2">
      <c r="K2855" t="s">
        <v>42</v>
      </c>
      <c r="L2855" t="s">
        <v>38</v>
      </c>
      <c r="M2855">
        <v>0</v>
      </c>
    </row>
    <row r="2856" spans="11:13" x14ac:dyDescent="0.2">
      <c r="K2856" t="s">
        <v>42</v>
      </c>
      <c r="L2856" t="s">
        <v>38</v>
      </c>
      <c r="M2856">
        <v>0</v>
      </c>
    </row>
    <row r="2857" spans="11:13" x14ac:dyDescent="0.2">
      <c r="K2857" t="s">
        <v>41</v>
      </c>
      <c r="L2857" t="s">
        <v>37</v>
      </c>
      <c r="M2857">
        <v>0</v>
      </c>
    </row>
    <row r="2858" spans="11:13" x14ac:dyDescent="0.2">
      <c r="K2858" t="s">
        <v>41</v>
      </c>
      <c r="L2858" t="s">
        <v>37</v>
      </c>
      <c r="M2858">
        <v>0</v>
      </c>
    </row>
    <row r="2859" spans="11:13" x14ac:dyDescent="0.2">
      <c r="K2859" t="s">
        <v>42</v>
      </c>
      <c r="L2859" t="s">
        <v>38</v>
      </c>
      <c r="M2859">
        <v>0</v>
      </c>
    </row>
    <row r="2860" spans="11:13" x14ac:dyDescent="0.2">
      <c r="K2860" t="s">
        <v>42</v>
      </c>
      <c r="L2860" t="s">
        <v>38</v>
      </c>
      <c r="M2860">
        <v>0</v>
      </c>
    </row>
    <row r="2861" spans="11:13" x14ac:dyDescent="0.2">
      <c r="K2861" t="s">
        <v>41</v>
      </c>
      <c r="L2861" t="s">
        <v>37</v>
      </c>
      <c r="M2861">
        <v>0</v>
      </c>
    </row>
    <row r="2862" spans="11:13" x14ac:dyDescent="0.2">
      <c r="K2862" t="s">
        <v>42</v>
      </c>
      <c r="L2862" t="s">
        <v>38</v>
      </c>
      <c r="M2862">
        <v>0</v>
      </c>
    </row>
    <row r="2863" spans="11:13" x14ac:dyDescent="0.2">
      <c r="K2863" t="s">
        <v>41</v>
      </c>
      <c r="L2863" t="s">
        <v>37</v>
      </c>
      <c r="M2863">
        <v>0</v>
      </c>
    </row>
    <row r="2864" spans="11:13" x14ac:dyDescent="0.2">
      <c r="K2864" t="s">
        <v>42</v>
      </c>
      <c r="L2864" t="s">
        <v>38</v>
      </c>
      <c r="M2864">
        <v>0</v>
      </c>
    </row>
    <row r="2865" spans="11:13" x14ac:dyDescent="0.2">
      <c r="K2865" t="s">
        <v>42</v>
      </c>
      <c r="L2865" t="s">
        <v>38</v>
      </c>
      <c r="M2865">
        <v>0</v>
      </c>
    </row>
    <row r="2866" spans="11:13" x14ac:dyDescent="0.2">
      <c r="K2866" t="s">
        <v>42</v>
      </c>
      <c r="L2866" t="s">
        <v>38</v>
      </c>
      <c r="M2866">
        <v>0</v>
      </c>
    </row>
    <row r="2867" spans="11:13" x14ac:dyDescent="0.2">
      <c r="K2867" t="s">
        <v>42</v>
      </c>
      <c r="L2867" t="s">
        <v>38</v>
      </c>
      <c r="M2867">
        <v>1</v>
      </c>
    </row>
    <row r="2868" spans="11:13" x14ac:dyDescent="0.2">
      <c r="K2868" t="s">
        <v>42</v>
      </c>
      <c r="L2868" t="s">
        <v>38</v>
      </c>
      <c r="M2868">
        <v>0</v>
      </c>
    </row>
    <row r="2869" spans="11:13" x14ac:dyDescent="0.2">
      <c r="K2869" t="s">
        <v>42</v>
      </c>
      <c r="L2869" t="s">
        <v>38</v>
      </c>
      <c r="M2869">
        <v>0</v>
      </c>
    </row>
    <row r="2870" spans="11:13" x14ac:dyDescent="0.2">
      <c r="K2870" t="s">
        <v>42</v>
      </c>
      <c r="L2870" t="s">
        <v>38</v>
      </c>
      <c r="M2870">
        <v>0</v>
      </c>
    </row>
    <row r="2871" spans="11:13" x14ac:dyDescent="0.2">
      <c r="K2871" t="s">
        <v>42</v>
      </c>
      <c r="L2871" t="s">
        <v>38</v>
      </c>
      <c r="M2871">
        <v>0</v>
      </c>
    </row>
    <row r="2872" spans="11:13" x14ac:dyDescent="0.2">
      <c r="K2872" t="s">
        <v>42</v>
      </c>
      <c r="L2872" t="s">
        <v>38</v>
      </c>
      <c r="M2872">
        <v>0</v>
      </c>
    </row>
    <row r="2873" spans="11:13" x14ac:dyDescent="0.2">
      <c r="K2873" t="s">
        <v>42</v>
      </c>
      <c r="L2873" t="s">
        <v>38</v>
      </c>
      <c r="M2873">
        <v>0</v>
      </c>
    </row>
    <row r="2874" spans="11:13" x14ac:dyDescent="0.2">
      <c r="K2874" t="s">
        <v>41</v>
      </c>
      <c r="L2874" t="s">
        <v>37</v>
      </c>
      <c r="M2874">
        <v>0</v>
      </c>
    </row>
    <row r="2875" spans="11:13" x14ac:dyDescent="0.2">
      <c r="K2875" t="s">
        <v>41</v>
      </c>
      <c r="L2875" t="s">
        <v>37</v>
      </c>
      <c r="M2875">
        <v>0</v>
      </c>
    </row>
    <row r="2876" spans="11:13" x14ac:dyDescent="0.2">
      <c r="K2876" t="s">
        <v>42</v>
      </c>
      <c r="L2876" t="s">
        <v>38</v>
      </c>
      <c r="M2876">
        <v>0</v>
      </c>
    </row>
    <row r="2877" spans="11:13" x14ac:dyDescent="0.2">
      <c r="K2877" t="s">
        <v>42</v>
      </c>
      <c r="L2877" t="s">
        <v>38</v>
      </c>
      <c r="M2877">
        <v>1</v>
      </c>
    </row>
    <row r="2878" spans="11:13" x14ac:dyDescent="0.2">
      <c r="K2878" t="s">
        <v>42</v>
      </c>
      <c r="L2878" t="s">
        <v>38</v>
      </c>
      <c r="M2878">
        <v>0</v>
      </c>
    </row>
    <row r="2879" spans="11:13" x14ac:dyDescent="0.2">
      <c r="K2879" t="s">
        <v>42</v>
      </c>
      <c r="L2879" t="s">
        <v>38</v>
      </c>
      <c r="M2879">
        <v>0</v>
      </c>
    </row>
    <row r="2880" spans="11:13" x14ac:dyDescent="0.2">
      <c r="K2880" t="s">
        <v>42</v>
      </c>
      <c r="L2880" t="s">
        <v>38</v>
      </c>
      <c r="M2880">
        <v>0</v>
      </c>
    </row>
    <row r="2881" spans="11:13" x14ac:dyDescent="0.2">
      <c r="K2881" t="s">
        <v>41</v>
      </c>
      <c r="L2881" t="s">
        <v>37</v>
      </c>
      <c r="M2881">
        <v>0</v>
      </c>
    </row>
    <row r="2882" spans="11:13" x14ac:dyDescent="0.2">
      <c r="K2882" t="s">
        <v>41</v>
      </c>
      <c r="L2882" t="s">
        <v>37</v>
      </c>
      <c r="M2882">
        <v>0</v>
      </c>
    </row>
    <row r="2883" spans="11:13" x14ac:dyDescent="0.2">
      <c r="K2883" t="s">
        <v>42</v>
      </c>
      <c r="L2883" t="s">
        <v>38</v>
      </c>
      <c r="M2883">
        <v>0</v>
      </c>
    </row>
    <row r="2884" spans="11:13" x14ac:dyDescent="0.2">
      <c r="K2884" t="s">
        <v>42</v>
      </c>
      <c r="L2884" t="s">
        <v>38</v>
      </c>
      <c r="M2884">
        <v>0</v>
      </c>
    </row>
    <row r="2885" spans="11:13" x14ac:dyDescent="0.2">
      <c r="K2885" t="s">
        <v>42</v>
      </c>
      <c r="L2885" t="s">
        <v>38</v>
      </c>
      <c r="M2885">
        <v>1</v>
      </c>
    </row>
    <row r="2886" spans="11:13" x14ac:dyDescent="0.2">
      <c r="K2886" t="s">
        <v>42</v>
      </c>
      <c r="L2886" t="s">
        <v>38</v>
      </c>
      <c r="M2886">
        <v>0</v>
      </c>
    </row>
    <row r="2887" spans="11:13" x14ac:dyDescent="0.2">
      <c r="K2887" t="s">
        <v>42</v>
      </c>
      <c r="L2887" t="s">
        <v>38</v>
      </c>
      <c r="M2887">
        <v>0</v>
      </c>
    </row>
    <row r="2888" spans="11:13" x14ac:dyDescent="0.2">
      <c r="K2888" t="s">
        <v>42</v>
      </c>
      <c r="L2888" t="s">
        <v>38</v>
      </c>
      <c r="M2888">
        <v>0</v>
      </c>
    </row>
    <row r="2889" spans="11:13" x14ac:dyDescent="0.2">
      <c r="K2889" t="s">
        <v>41</v>
      </c>
      <c r="L2889" t="s">
        <v>37</v>
      </c>
      <c r="M2889">
        <v>0</v>
      </c>
    </row>
    <row r="2890" spans="11:13" x14ac:dyDescent="0.2">
      <c r="K2890" t="s">
        <v>42</v>
      </c>
      <c r="L2890" t="s">
        <v>38</v>
      </c>
      <c r="M2890">
        <v>0</v>
      </c>
    </row>
    <row r="2891" spans="11:13" x14ac:dyDescent="0.2">
      <c r="K2891" t="s">
        <v>41</v>
      </c>
      <c r="L2891" t="s">
        <v>37</v>
      </c>
      <c r="M2891">
        <v>0</v>
      </c>
    </row>
    <row r="2892" spans="11:13" x14ac:dyDescent="0.2">
      <c r="K2892" t="s">
        <v>42</v>
      </c>
      <c r="L2892" t="s">
        <v>38</v>
      </c>
      <c r="M2892">
        <v>0</v>
      </c>
    </row>
    <row r="2893" spans="11:13" x14ac:dyDescent="0.2">
      <c r="K2893" t="s">
        <v>41</v>
      </c>
      <c r="L2893" t="s">
        <v>37</v>
      </c>
      <c r="M2893">
        <v>0</v>
      </c>
    </row>
    <row r="2894" spans="11:13" x14ac:dyDescent="0.2">
      <c r="K2894" t="s">
        <v>41</v>
      </c>
      <c r="L2894" t="s">
        <v>37</v>
      </c>
      <c r="M2894">
        <v>0</v>
      </c>
    </row>
    <row r="2895" spans="11:13" x14ac:dyDescent="0.2">
      <c r="K2895" t="s">
        <v>41</v>
      </c>
      <c r="L2895" t="s">
        <v>37</v>
      </c>
      <c r="M2895">
        <v>0</v>
      </c>
    </row>
    <row r="2896" spans="11:13" x14ac:dyDescent="0.2">
      <c r="K2896" t="s">
        <v>41</v>
      </c>
      <c r="L2896" t="s">
        <v>37</v>
      </c>
      <c r="M2896">
        <v>0</v>
      </c>
    </row>
    <row r="2897" spans="11:13" x14ac:dyDescent="0.2">
      <c r="K2897" t="s">
        <v>42</v>
      </c>
      <c r="L2897" t="s">
        <v>38</v>
      </c>
      <c r="M2897">
        <v>0</v>
      </c>
    </row>
    <row r="2898" spans="11:13" x14ac:dyDescent="0.2">
      <c r="K2898" t="s">
        <v>41</v>
      </c>
      <c r="L2898" t="s">
        <v>37</v>
      </c>
      <c r="M2898">
        <v>0</v>
      </c>
    </row>
    <row r="2899" spans="11:13" x14ac:dyDescent="0.2">
      <c r="K2899" t="s">
        <v>42</v>
      </c>
      <c r="L2899" t="s">
        <v>38</v>
      </c>
      <c r="M2899">
        <v>0</v>
      </c>
    </row>
    <row r="2900" spans="11:13" x14ac:dyDescent="0.2">
      <c r="K2900" t="s">
        <v>41</v>
      </c>
      <c r="L2900" t="s">
        <v>37</v>
      </c>
      <c r="M2900">
        <v>0</v>
      </c>
    </row>
    <row r="2901" spans="11:13" x14ac:dyDescent="0.2">
      <c r="K2901" t="s">
        <v>41</v>
      </c>
      <c r="L2901" t="s">
        <v>37</v>
      </c>
      <c r="M2901">
        <v>0</v>
      </c>
    </row>
    <row r="2902" spans="11:13" x14ac:dyDescent="0.2">
      <c r="K2902" t="s">
        <v>41</v>
      </c>
      <c r="L2902" t="s">
        <v>37</v>
      </c>
      <c r="M2902">
        <v>0</v>
      </c>
    </row>
    <row r="2903" spans="11:13" x14ac:dyDescent="0.2">
      <c r="K2903" t="s">
        <v>42</v>
      </c>
      <c r="L2903" t="s">
        <v>38</v>
      </c>
      <c r="M2903">
        <v>0</v>
      </c>
    </row>
    <row r="2904" spans="11:13" x14ac:dyDescent="0.2">
      <c r="K2904" t="s">
        <v>42</v>
      </c>
      <c r="L2904" t="s">
        <v>38</v>
      </c>
      <c r="M2904">
        <v>0</v>
      </c>
    </row>
    <row r="2905" spans="11:13" x14ac:dyDescent="0.2">
      <c r="K2905" t="s">
        <v>42</v>
      </c>
      <c r="L2905" t="s">
        <v>38</v>
      </c>
      <c r="M2905">
        <v>0</v>
      </c>
    </row>
    <row r="2906" spans="11:13" x14ac:dyDescent="0.2">
      <c r="K2906" t="s">
        <v>41</v>
      </c>
      <c r="L2906" t="s">
        <v>37</v>
      </c>
      <c r="M2906">
        <v>0</v>
      </c>
    </row>
    <row r="2907" spans="11:13" x14ac:dyDescent="0.2">
      <c r="K2907" t="s">
        <v>42</v>
      </c>
      <c r="L2907" t="s">
        <v>38</v>
      </c>
      <c r="M2907">
        <v>0</v>
      </c>
    </row>
    <row r="2908" spans="11:13" x14ac:dyDescent="0.2">
      <c r="K2908" t="s">
        <v>41</v>
      </c>
      <c r="L2908" t="s">
        <v>37</v>
      </c>
      <c r="M2908">
        <v>0</v>
      </c>
    </row>
    <row r="2909" spans="11:13" x14ac:dyDescent="0.2">
      <c r="K2909" t="s">
        <v>41</v>
      </c>
      <c r="L2909" t="s">
        <v>37</v>
      </c>
      <c r="M2909">
        <v>0</v>
      </c>
    </row>
    <row r="2910" spans="11:13" x14ac:dyDescent="0.2">
      <c r="K2910" t="s">
        <v>42</v>
      </c>
      <c r="L2910" t="s">
        <v>38</v>
      </c>
      <c r="M2910">
        <v>0</v>
      </c>
    </row>
    <row r="2911" spans="11:13" x14ac:dyDescent="0.2">
      <c r="K2911" t="s">
        <v>41</v>
      </c>
      <c r="L2911" t="s">
        <v>37</v>
      </c>
      <c r="M2911">
        <v>0</v>
      </c>
    </row>
    <row r="2912" spans="11:13" x14ac:dyDescent="0.2">
      <c r="K2912" t="s">
        <v>42</v>
      </c>
      <c r="L2912" t="s">
        <v>38</v>
      </c>
      <c r="M2912">
        <v>0</v>
      </c>
    </row>
    <row r="2913" spans="11:13" x14ac:dyDescent="0.2">
      <c r="K2913" t="s">
        <v>41</v>
      </c>
      <c r="L2913" t="s">
        <v>37</v>
      </c>
      <c r="M2913">
        <v>0</v>
      </c>
    </row>
    <row r="2914" spans="11:13" x14ac:dyDescent="0.2">
      <c r="K2914" t="s">
        <v>42</v>
      </c>
      <c r="L2914" t="s">
        <v>38</v>
      </c>
      <c r="M2914">
        <v>0</v>
      </c>
    </row>
    <row r="2915" spans="11:13" x14ac:dyDescent="0.2">
      <c r="K2915" t="s">
        <v>42</v>
      </c>
      <c r="L2915" t="s">
        <v>38</v>
      </c>
      <c r="M2915">
        <v>0</v>
      </c>
    </row>
    <row r="2916" spans="11:13" x14ac:dyDescent="0.2">
      <c r="K2916" t="s">
        <v>42</v>
      </c>
      <c r="L2916" t="s">
        <v>38</v>
      </c>
      <c r="M2916">
        <v>0</v>
      </c>
    </row>
    <row r="2917" spans="11:13" x14ac:dyDescent="0.2">
      <c r="K2917" t="s">
        <v>41</v>
      </c>
      <c r="L2917" t="s">
        <v>37</v>
      </c>
      <c r="M2917">
        <v>0</v>
      </c>
    </row>
    <row r="2918" spans="11:13" x14ac:dyDescent="0.2">
      <c r="K2918" t="s">
        <v>42</v>
      </c>
      <c r="L2918" t="s">
        <v>38</v>
      </c>
      <c r="M2918">
        <v>0</v>
      </c>
    </row>
    <row r="2919" spans="11:13" x14ac:dyDescent="0.2">
      <c r="K2919" t="s">
        <v>41</v>
      </c>
      <c r="L2919" t="s">
        <v>37</v>
      </c>
      <c r="M2919">
        <v>0</v>
      </c>
    </row>
    <row r="2920" spans="11:13" x14ac:dyDescent="0.2">
      <c r="K2920" t="s">
        <v>42</v>
      </c>
      <c r="L2920" t="s">
        <v>38</v>
      </c>
      <c r="M2920">
        <v>0</v>
      </c>
    </row>
    <row r="2921" spans="11:13" x14ac:dyDescent="0.2">
      <c r="K2921" t="s">
        <v>42</v>
      </c>
      <c r="L2921" t="s">
        <v>38</v>
      </c>
      <c r="M2921">
        <v>0</v>
      </c>
    </row>
    <row r="2922" spans="11:13" x14ac:dyDescent="0.2">
      <c r="K2922" t="s">
        <v>42</v>
      </c>
      <c r="L2922" t="s">
        <v>38</v>
      </c>
      <c r="M2922">
        <v>0</v>
      </c>
    </row>
    <row r="2923" spans="11:13" x14ac:dyDescent="0.2">
      <c r="K2923" t="s">
        <v>41</v>
      </c>
      <c r="L2923" t="s">
        <v>37</v>
      </c>
      <c r="M2923">
        <v>0</v>
      </c>
    </row>
    <row r="2924" spans="11:13" x14ac:dyDescent="0.2">
      <c r="K2924" t="s">
        <v>41</v>
      </c>
      <c r="L2924" t="s">
        <v>37</v>
      </c>
      <c r="M2924">
        <v>0</v>
      </c>
    </row>
    <row r="2925" spans="11:13" x14ac:dyDescent="0.2">
      <c r="K2925" t="s">
        <v>41</v>
      </c>
      <c r="L2925" t="s">
        <v>37</v>
      </c>
      <c r="M2925">
        <v>0</v>
      </c>
    </row>
    <row r="2926" spans="11:13" x14ac:dyDescent="0.2">
      <c r="K2926" t="s">
        <v>42</v>
      </c>
      <c r="L2926" t="s">
        <v>38</v>
      </c>
      <c r="M2926">
        <v>0</v>
      </c>
    </row>
    <row r="2927" spans="11:13" x14ac:dyDescent="0.2">
      <c r="K2927" t="s">
        <v>41</v>
      </c>
      <c r="L2927" t="s">
        <v>37</v>
      </c>
      <c r="M2927">
        <v>0</v>
      </c>
    </row>
    <row r="2928" spans="11:13" x14ac:dyDescent="0.2">
      <c r="K2928" t="s">
        <v>41</v>
      </c>
      <c r="L2928" t="s">
        <v>37</v>
      </c>
      <c r="M2928">
        <v>0</v>
      </c>
    </row>
    <row r="2929" spans="11:13" x14ac:dyDescent="0.2">
      <c r="K2929" t="s">
        <v>42</v>
      </c>
      <c r="L2929" t="s">
        <v>38</v>
      </c>
      <c r="M2929">
        <v>0</v>
      </c>
    </row>
    <row r="2930" spans="11:13" x14ac:dyDescent="0.2">
      <c r="K2930" t="s">
        <v>42</v>
      </c>
      <c r="L2930" t="s">
        <v>38</v>
      </c>
      <c r="M2930">
        <v>0</v>
      </c>
    </row>
    <row r="2931" spans="11:13" x14ac:dyDescent="0.2">
      <c r="K2931" t="s">
        <v>41</v>
      </c>
      <c r="L2931" t="s">
        <v>37</v>
      </c>
      <c r="M2931">
        <v>0</v>
      </c>
    </row>
    <row r="2932" spans="11:13" x14ac:dyDescent="0.2">
      <c r="K2932" t="s">
        <v>41</v>
      </c>
      <c r="L2932" t="s">
        <v>37</v>
      </c>
      <c r="M2932">
        <v>0</v>
      </c>
    </row>
    <row r="2933" spans="11:13" x14ac:dyDescent="0.2">
      <c r="K2933" t="s">
        <v>41</v>
      </c>
      <c r="L2933" t="s">
        <v>37</v>
      </c>
      <c r="M2933">
        <v>0</v>
      </c>
    </row>
    <row r="2934" spans="11:13" x14ac:dyDescent="0.2">
      <c r="K2934" t="s">
        <v>41</v>
      </c>
      <c r="L2934" t="s">
        <v>37</v>
      </c>
      <c r="M2934">
        <v>0</v>
      </c>
    </row>
    <row r="2935" spans="11:13" x14ac:dyDescent="0.2">
      <c r="K2935" t="s">
        <v>42</v>
      </c>
      <c r="L2935" t="s">
        <v>38</v>
      </c>
      <c r="M2935">
        <v>0</v>
      </c>
    </row>
    <row r="2936" spans="11:13" x14ac:dyDescent="0.2">
      <c r="K2936" t="s">
        <v>42</v>
      </c>
      <c r="L2936" t="s">
        <v>38</v>
      </c>
      <c r="M2936">
        <v>0</v>
      </c>
    </row>
    <row r="2937" spans="11:13" x14ac:dyDescent="0.2">
      <c r="K2937" t="s">
        <v>42</v>
      </c>
      <c r="L2937" t="s">
        <v>38</v>
      </c>
      <c r="M2937">
        <v>0</v>
      </c>
    </row>
    <row r="2938" spans="11:13" x14ac:dyDescent="0.2">
      <c r="K2938" t="s">
        <v>42</v>
      </c>
      <c r="L2938" t="s">
        <v>38</v>
      </c>
      <c r="M2938">
        <v>0</v>
      </c>
    </row>
    <row r="2939" spans="11:13" x14ac:dyDescent="0.2">
      <c r="K2939" t="s">
        <v>41</v>
      </c>
      <c r="L2939" t="s">
        <v>37</v>
      </c>
      <c r="M2939">
        <v>0</v>
      </c>
    </row>
    <row r="2940" spans="11:13" x14ac:dyDescent="0.2">
      <c r="K2940" t="s">
        <v>41</v>
      </c>
      <c r="L2940" t="s">
        <v>37</v>
      </c>
      <c r="M2940">
        <v>0</v>
      </c>
    </row>
    <row r="2941" spans="11:13" x14ac:dyDescent="0.2">
      <c r="K2941" t="s">
        <v>41</v>
      </c>
      <c r="L2941" t="s">
        <v>37</v>
      </c>
      <c r="M2941">
        <v>0</v>
      </c>
    </row>
    <row r="2942" spans="11:13" x14ac:dyDescent="0.2">
      <c r="K2942" t="s">
        <v>41</v>
      </c>
      <c r="L2942" t="s">
        <v>37</v>
      </c>
      <c r="M2942">
        <v>0</v>
      </c>
    </row>
    <row r="2943" spans="11:13" x14ac:dyDescent="0.2">
      <c r="K2943" t="s">
        <v>41</v>
      </c>
      <c r="L2943" t="s">
        <v>37</v>
      </c>
      <c r="M2943">
        <v>0</v>
      </c>
    </row>
    <row r="2944" spans="11:13" x14ac:dyDescent="0.2">
      <c r="K2944" t="s">
        <v>41</v>
      </c>
      <c r="L2944" t="s">
        <v>37</v>
      </c>
      <c r="M2944">
        <v>0</v>
      </c>
    </row>
    <row r="2945" spans="11:13" x14ac:dyDescent="0.2">
      <c r="K2945" t="s">
        <v>42</v>
      </c>
      <c r="L2945" t="s">
        <v>38</v>
      </c>
      <c r="M2945">
        <v>0</v>
      </c>
    </row>
    <row r="2946" spans="11:13" x14ac:dyDescent="0.2">
      <c r="K2946" t="s">
        <v>42</v>
      </c>
      <c r="L2946" t="s">
        <v>38</v>
      </c>
      <c r="M2946">
        <v>0</v>
      </c>
    </row>
    <row r="2947" spans="11:13" x14ac:dyDescent="0.2">
      <c r="K2947" t="s">
        <v>42</v>
      </c>
      <c r="L2947" t="s">
        <v>38</v>
      </c>
      <c r="M2947">
        <v>0</v>
      </c>
    </row>
    <row r="2948" spans="11:13" x14ac:dyDescent="0.2">
      <c r="K2948" t="s">
        <v>42</v>
      </c>
      <c r="L2948" t="s">
        <v>38</v>
      </c>
      <c r="M2948">
        <v>0</v>
      </c>
    </row>
    <row r="2949" spans="11:13" x14ac:dyDescent="0.2">
      <c r="K2949" t="s">
        <v>41</v>
      </c>
      <c r="L2949" t="s">
        <v>37</v>
      </c>
      <c r="M2949">
        <v>0</v>
      </c>
    </row>
    <row r="2950" spans="11:13" x14ac:dyDescent="0.2">
      <c r="K2950" t="s">
        <v>41</v>
      </c>
      <c r="L2950" t="s">
        <v>37</v>
      </c>
      <c r="M2950">
        <v>0</v>
      </c>
    </row>
    <row r="2951" spans="11:13" x14ac:dyDescent="0.2">
      <c r="K2951" t="s">
        <v>42</v>
      </c>
      <c r="L2951" t="s">
        <v>38</v>
      </c>
      <c r="M2951">
        <v>0</v>
      </c>
    </row>
    <row r="2952" spans="11:13" x14ac:dyDescent="0.2">
      <c r="K2952" t="s">
        <v>42</v>
      </c>
      <c r="L2952" t="s">
        <v>38</v>
      </c>
      <c r="M2952">
        <v>0</v>
      </c>
    </row>
    <row r="2953" spans="11:13" x14ac:dyDescent="0.2">
      <c r="K2953" t="s">
        <v>41</v>
      </c>
      <c r="L2953" t="s">
        <v>37</v>
      </c>
      <c r="M2953">
        <v>0</v>
      </c>
    </row>
    <row r="2954" spans="11:13" x14ac:dyDescent="0.2">
      <c r="K2954" t="s">
        <v>42</v>
      </c>
      <c r="L2954" t="s">
        <v>38</v>
      </c>
      <c r="M2954">
        <v>0</v>
      </c>
    </row>
    <row r="2955" spans="11:13" x14ac:dyDescent="0.2">
      <c r="K2955" t="s">
        <v>41</v>
      </c>
      <c r="L2955" t="s">
        <v>37</v>
      </c>
      <c r="M2955">
        <v>0</v>
      </c>
    </row>
    <row r="2956" spans="11:13" x14ac:dyDescent="0.2">
      <c r="K2956" t="s">
        <v>41</v>
      </c>
      <c r="L2956" t="s">
        <v>37</v>
      </c>
      <c r="M2956">
        <v>0</v>
      </c>
    </row>
    <row r="2957" spans="11:13" x14ac:dyDescent="0.2">
      <c r="K2957" t="s">
        <v>41</v>
      </c>
      <c r="L2957" t="s">
        <v>37</v>
      </c>
      <c r="M2957">
        <v>1</v>
      </c>
    </row>
    <row r="2958" spans="11:13" x14ac:dyDescent="0.2">
      <c r="K2958" t="s">
        <v>42</v>
      </c>
      <c r="L2958" t="s">
        <v>38</v>
      </c>
      <c r="M2958">
        <v>0</v>
      </c>
    </row>
    <row r="2959" spans="11:13" x14ac:dyDescent="0.2">
      <c r="K2959" t="s">
        <v>41</v>
      </c>
      <c r="L2959" t="s">
        <v>37</v>
      </c>
      <c r="M2959">
        <v>0</v>
      </c>
    </row>
    <row r="2960" spans="11:13" x14ac:dyDescent="0.2">
      <c r="K2960" t="s">
        <v>41</v>
      </c>
      <c r="L2960" t="s">
        <v>37</v>
      </c>
      <c r="M2960">
        <v>0</v>
      </c>
    </row>
    <row r="2961" spans="11:13" x14ac:dyDescent="0.2">
      <c r="K2961" t="s">
        <v>42</v>
      </c>
      <c r="L2961" t="s">
        <v>38</v>
      </c>
      <c r="M2961">
        <v>0</v>
      </c>
    </row>
    <row r="2962" spans="11:13" x14ac:dyDescent="0.2">
      <c r="K2962" t="s">
        <v>41</v>
      </c>
      <c r="L2962" t="s">
        <v>37</v>
      </c>
      <c r="M2962">
        <v>0</v>
      </c>
    </row>
    <row r="2963" spans="11:13" x14ac:dyDescent="0.2">
      <c r="K2963" t="s">
        <v>41</v>
      </c>
      <c r="L2963" t="s">
        <v>37</v>
      </c>
      <c r="M2963">
        <v>0</v>
      </c>
    </row>
    <row r="2964" spans="11:13" x14ac:dyDescent="0.2">
      <c r="K2964" t="s">
        <v>42</v>
      </c>
      <c r="L2964" t="s">
        <v>38</v>
      </c>
      <c r="M2964">
        <v>0</v>
      </c>
    </row>
    <row r="2965" spans="11:13" x14ac:dyDescent="0.2">
      <c r="K2965" t="s">
        <v>42</v>
      </c>
      <c r="L2965" t="s">
        <v>38</v>
      </c>
      <c r="M2965">
        <v>0</v>
      </c>
    </row>
    <row r="2966" spans="11:13" x14ac:dyDescent="0.2">
      <c r="K2966" t="s">
        <v>42</v>
      </c>
      <c r="L2966" t="s">
        <v>38</v>
      </c>
      <c r="M2966">
        <v>0</v>
      </c>
    </row>
    <row r="2967" spans="11:13" x14ac:dyDescent="0.2">
      <c r="K2967" t="s">
        <v>42</v>
      </c>
      <c r="L2967" t="s">
        <v>38</v>
      </c>
      <c r="M2967">
        <v>0</v>
      </c>
    </row>
    <row r="2968" spans="11:13" x14ac:dyDescent="0.2">
      <c r="K2968" t="s">
        <v>42</v>
      </c>
      <c r="L2968" t="s">
        <v>38</v>
      </c>
      <c r="M2968">
        <v>0</v>
      </c>
    </row>
    <row r="2969" spans="11:13" x14ac:dyDescent="0.2">
      <c r="K2969" t="s">
        <v>41</v>
      </c>
      <c r="L2969" t="s">
        <v>37</v>
      </c>
      <c r="M2969">
        <v>0</v>
      </c>
    </row>
    <row r="2970" spans="11:13" x14ac:dyDescent="0.2">
      <c r="K2970" t="s">
        <v>42</v>
      </c>
      <c r="L2970" t="s">
        <v>38</v>
      </c>
      <c r="M2970">
        <v>1</v>
      </c>
    </row>
    <row r="2971" spans="11:13" x14ac:dyDescent="0.2">
      <c r="K2971" t="s">
        <v>41</v>
      </c>
      <c r="L2971" t="s">
        <v>37</v>
      </c>
      <c r="M2971">
        <v>0</v>
      </c>
    </row>
    <row r="2972" spans="11:13" x14ac:dyDescent="0.2">
      <c r="K2972" t="s">
        <v>42</v>
      </c>
      <c r="L2972" t="s">
        <v>38</v>
      </c>
      <c r="M2972">
        <v>0</v>
      </c>
    </row>
    <row r="2973" spans="11:13" x14ac:dyDescent="0.2">
      <c r="K2973" t="s">
        <v>41</v>
      </c>
      <c r="L2973" t="s">
        <v>37</v>
      </c>
      <c r="M2973">
        <v>0</v>
      </c>
    </row>
    <row r="2974" spans="11:13" x14ac:dyDescent="0.2">
      <c r="K2974" t="s">
        <v>42</v>
      </c>
      <c r="L2974" t="s">
        <v>38</v>
      </c>
      <c r="M2974">
        <v>0</v>
      </c>
    </row>
    <row r="2975" spans="11:13" x14ac:dyDescent="0.2">
      <c r="K2975" t="s">
        <v>41</v>
      </c>
      <c r="L2975" t="s">
        <v>37</v>
      </c>
      <c r="M2975">
        <v>0</v>
      </c>
    </row>
    <row r="2976" spans="11:13" x14ac:dyDescent="0.2">
      <c r="K2976" t="s">
        <v>41</v>
      </c>
      <c r="L2976" t="s">
        <v>37</v>
      </c>
      <c r="M2976">
        <v>0</v>
      </c>
    </row>
    <row r="2977" spans="11:13" x14ac:dyDescent="0.2">
      <c r="K2977" t="s">
        <v>42</v>
      </c>
      <c r="L2977" t="s">
        <v>38</v>
      </c>
      <c r="M2977">
        <v>0</v>
      </c>
    </row>
    <row r="2978" spans="11:13" x14ac:dyDescent="0.2">
      <c r="K2978" t="s">
        <v>41</v>
      </c>
      <c r="L2978" t="s">
        <v>37</v>
      </c>
      <c r="M2978">
        <v>0</v>
      </c>
    </row>
    <row r="2979" spans="11:13" x14ac:dyDescent="0.2">
      <c r="K2979" t="s">
        <v>42</v>
      </c>
      <c r="L2979" t="s">
        <v>38</v>
      </c>
      <c r="M2979">
        <v>0</v>
      </c>
    </row>
    <row r="2980" spans="11:13" x14ac:dyDescent="0.2">
      <c r="K2980" t="s">
        <v>42</v>
      </c>
      <c r="L2980" t="s">
        <v>38</v>
      </c>
      <c r="M2980">
        <v>0</v>
      </c>
    </row>
    <row r="2981" spans="11:13" x14ac:dyDescent="0.2">
      <c r="K2981" t="s">
        <v>41</v>
      </c>
      <c r="L2981" t="s">
        <v>37</v>
      </c>
      <c r="M2981">
        <v>0</v>
      </c>
    </row>
    <row r="2982" spans="11:13" x14ac:dyDescent="0.2">
      <c r="K2982" t="s">
        <v>41</v>
      </c>
      <c r="L2982" t="s">
        <v>37</v>
      </c>
      <c r="M2982">
        <v>0</v>
      </c>
    </row>
    <row r="2983" spans="11:13" x14ac:dyDescent="0.2">
      <c r="K2983" t="s">
        <v>41</v>
      </c>
      <c r="L2983" t="s">
        <v>37</v>
      </c>
      <c r="M2983">
        <v>0</v>
      </c>
    </row>
    <row r="2984" spans="11:13" x14ac:dyDescent="0.2">
      <c r="K2984" t="s">
        <v>42</v>
      </c>
      <c r="L2984" t="s">
        <v>38</v>
      </c>
      <c r="M2984">
        <v>0</v>
      </c>
    </row>
    <row r="2985" spans="11:13" x14ac:dyDescent="0.2">
      <c r="K2985" t="s">
        <v>41</v>
      </c>
      <c r="L2985" t="s">
        <v>37</v>
      </c>
      <c r="M2985">
        <v>0</v>
      </c>
    </row>
    <row r="2986" spans="11:13" x14ac:dyDescent="0.2">
      <c r="K2986" t="s">
        <v>42</v>
      </c>
      <c r="L2986" t="s">
        <v>38</v>
      </c>
      <c r="M2986">
        <v>0</v>
      </c>
    </row>
    <row r="2987" spans="11:13" x14ac:dyDescent="0.2">
      <c r="K2987" t="s">
        <v>42</v>
      </c>
      <c r="L2987" t="s">
        <v>38</v>
      </c>
      <c r="M2987">
        <v>0</v>
      </c>
    </row>
    <row r="2988" spans="11:13" x14ac:dyDescent="0.2">
      <c r="K2988" t="s">
        <v>41</v>
      </c>
      <c r="L2988" t="s">
        <v>37</v>
      </c>
      <c r="M2988">
        <v>0</v>
      </c>
    </row>
    <row r="2989" spans="11:13" x14ac:dyDescent="0.2">
      <c r="K2989" t="s">
        <v>41</v>
      </c>
      <c r="L2989" t="s">
        <v>37</v>
      </c>
      <c r="M2989">
        <v>0</v>
      </c>
    </row>
    <row r="2990" spans="11:13" x14ac:dyDescent="0.2">
      <c r="K2990" t="s">
        <v>41</v>
      </c>
      <c r="L2990" t="s">
        <v>37</v>
      </c>
      <c r="M2990">
        <v>0</v>
      </c>
    </row>
    <row r="2991" spans="11:13" x14ac:dyDescent="0.2">
      <c r="K2991" t="s">
        <v>41</v>
      </c>
      <c r="L2991" t="s">
        <v>37</v>
      </c>
      <c r="M2991">
        <v>0</v>
      </c>
    </row>
    <row r="2992" spans="11:13" x14ac:dyDescent="0.2">
      <c r="K2992" t="s">
        <v>42</v>
      </c>
      <c r="L2992" t="s">
        <v>38</v>
      </c>
      <c r="M2992">
        <v>0</v>
      </c>
    </row>
    <row r="2993" spans="11:13" x14ac:dyDescent="0.2">
      <c r="K2993" t="s">
        <v>41</v>
      </c>
      <c r="L2993" t="s">
        <v>37</v>
      </c>
      <c r="M2993">
        <v>0</v>
      </c>
    </row>
    <row r="2994" spans="11:13" x14ac:dyDescent="0.2">
      <c r="K2994" t="s">
        <v>42</v>
      </c>
      <c r="L2994" t="s">
        <v>38</v>
      </c>
      <c r="M2994">
        <v>0</v>
      </c>
    </row>
    <row r="2995" spans="11:13" x14ac:dyDescent="0.2">
      <c r="K2995" t="s">
        <v>42</v>
      </c>
      <c r="L2995" t="s">
        <v>38</v>
      </c>
      <c r="M2995">
        <v>0</v>
      </c>
    </row>
    <row r="2996" spans="11:13" x14ac:dyDescent="0.2">
      <c r="K2996" t="s">
        <v>42</v>
      </c>
      <c r="L2996" t="s">
        <v>38</v>
      </c>
      <c r="M2996">
        <v>0</v>
      </c>
    </row>
    <row r="2997" spans="11:13" x14ac:dyDescent="0.2">
      <c r="K2997" t="s">
        <v>41</v>
      </c>
      <c r="L2997" t="s">
        <v>37</v>
      </c>
      <c r="M2997">
        <v>0</v>
      </c>
    </row>
    <row r="2998" spans="11:13" x14ac:dyDescent="0.2">
      <c r="K2998" t="s">
        <v>42</v>
      </c>
      <c r="L2998" t="s">
        <v>38</v>
      </c>
      <c r="M2998">
        <v>0</v>
      </c>
    </row>
    <row r="2999" spans="11:13" x14ac:dyDescent="0.2">
      <c r="K2999" t="s">
        <v>41</v>
      </c>
      <c r="L2999" t="s">
        <v>37</v>
      </c>
      <c r="M2999">
        <v>0</v>
      </c>
    </row>
    <row r="3000" spans="11:13" x14ac:dyDescent="0.2">
      <c r="K3000" t="s">
        <v>41</v>
      </c>
      <c r="L3000" t="s">
        <v>37</v>
      </c>
      <c r="M3000">
        <v>0</v>
      </c>
    </row>
    <row r="3001" spans="11:13" x14ac:dyDescent="0.2">
      <c r="K3001" t="s">
        <v>42</v>
      </c>
      <c r="L3001" t="s">
        <v>38</v>
      </c>
      <c r="M3001">
        <v>0</v>
      </c>
    </row>
    <row r="3002" spans="11:13" x14ac:dyDescent="0.2">
      <c r="K3002" t="s">
        <v>42</v>
      </c>
      <c r="L3002" t="s">
        <v>38</v>
      </c>
      <c r="M3002">
        <v>0</v>
      </c>
    </row>
    <row r="3003" spans="11:13" x14ac:dyDescent="0.2">
      <c r="K3003" t="s">
        <v>42</v>
      </c>
      <c r="L3003" t="s">
        <v>38</v>
      </c>
      <c r="M3003">
        <v>0</v>
      </c>
    </row>
    <row r="3004" spans="11:13" x14ac:dyDescent="0.2">
      <c r="K3004" t="s">
        <v>42</v>
      </c>
      <c r="L3004" t="s">
        <v>38</v>
      </c>
      <c r="M3004">
        <v>1</v>
      </c>
    </row>
    <row r="3005" spans="11:13" x14ac:dyDescent="0.2">
      <c r="K3005" t="s">
        <v>41</v>
      </c>
      <c r="L3005" t="s">
        <v>37</v>
      </c>
      <c r="M3005">
        <v>0</v>
      </c>
    </row>
    <row r="3006" spans="11:13" x14ac:dyDescent="0.2">
      <c r="K3006" t="s">
        <v>42</v>
      </c>
      <c r="L3006" t="s">
        <v>38</v>
      </c>
      <c r="M3006">
        <v>0</v>
      </c>
    </row>
    <row r="3007" spans="11:13" x14ac:dyDescent="0.2">
      <c r="K3007" t="s">
        <v>42</v>
      </c>
      <c r="L3007" t="s">
        <v>38</v>
      </c>
      <c r="M3007">
        <v>0</v>
      </c>
    </row>
    <row r="3008" spans="11:13" x14ac:dyDescent="0.2">
      <c r="K3008" t="s">
        <v>42</v>
      </c>
      <c r="L3008" t="s">
        <v>38</v>
      </c>
      <c r="M3008">
        <v>0</v>
      </c>
    </row>
    <row r="3009" spans="11:13" x14ac:dyDescent="0.2">
      <c r="K3009" t="s">
        <v>41</v>
      </c>
      <c r="L3009" t="s">
        <v>37</v>
      </c>
      <c r="M3009">
        <v>0</v>
      </c>
    </row>
    <row r="3010" spans="11:13" x14ac:dyDescent="0.2">
      <c r="K3010" t="s">
        <v>42</v>
      </c>
      <c r="L3010" t="s">
        <v>38</v>
      </c>
      <c r="M3010">
        <v>0</v>
      </c>
    </row>
    <row r="3011" spans="11:13" x14ac:dyDescent="0.2">
      <c r="K3011" t="s">
        <v>42</v>
      </c>
      <c r="L3011" t="s">
        <v>38</v>
      </c>
      <c r="M3011">
        <v>0</v>
      </c>
    </row>
    <row r="3012" spans="11:13" x14ac:dyDescent="0.2">
      <c r="K3012" t="s">
        <v>42</v>
      </c>
      <c r="L3012" t="s">
        <v>38</v>
      </c>
      <c r="M3012">
        <v>0</v>
      </c>
    </row>
    <row r="3013" spans="11:13" x14ac:dyDescent="0.2">
      <c r="K3013" t="s">
        <v>42</v>
      </c>
      <c r="L3013" t="s">
        <v>38</v>
      </c>
      <c r="M3013">
        <v>0</v>
      </c>
    </row>
    <row r="3014" spans="11:13" x14ac:dyDescent="0.2">
      <c r="K3014" t="s">
        <v>42</v>
      </c>
      <c r="L3014" t="s">
        <v>38</v>
      </c>
      <c r="M3014">
        <v>0</v>
      </c>
    </row>
    <row r="3015" spans="11:13" x14ac:dyDescent="0.2">
      <c r="K3015" t="s">
        <v>42</v>
      </c>
      <c r="L3015" t="s">
        <v>38</v>
      </c>
      <c r="M3015">
        <v>0</v>
      </c>
    </row>
    <row r="3016" spans="11:13" x14ac:dyDescent="0.2">
      <c r="K3016" t="s">
        <v>41</v>
      </c>
      <c r="L3016" t="s">
        <v>37</v>
      </c>
      <c r="M3016">
        <v>0</v>
      </c>
    </row>
    <row r="3017" spans="11:13" x14ac:dyDescent="0.2">
      <c r="K3017" t="s">
        <v>41</v>
      </c>
      <c r="L3017" t="s">
        <v>37</v>
      </c>
      <c r="M3017">
        <v>0</v>
      </c>
    </row>
    <row r="3018" spans="11:13" x14ac:dyDescent="0.2">
      <c r="K3018" t="s">
        <v>41</v>
      </c>
      <c r="L3018" t="s">
        <v>37</v>
      </c>
      <c r="M3018">
        <v>0</v>
      </c>
    </row>
    <row r="3019" spans="11:13" x14ac:dyDescent="0.2">
      <c r="K3019" t="s">
        <v>41</v>
      </c>
      <c r="L3019" t="s">
        <v>37</v>
      </c>
      <c r="M3019">
        <v>0</v>
      </c>
    </row>
    <row r="3020" spans="11:13" x14ac:dyDescent="0.2">
      <c r="K3020" t="s">
        <v>41</v>
      </c>
      <c r="L3020" t="s">
        <v>37</v>
      </c>
      <c r="M3020">
        <v>0</v>
      </c>
    </row>
    <row r="3021" spans="11:13" x14ac:dyDescent="0.2">
      <c r="K3021" t="s">
        <v>42</v>
      </c>
      <c r="L3021" t="s">
        <v>38</v>
      </c>
      <c r="M3021">
        <v>0</v>
      </c>
    </row>
    <row r="3022" spans="11:13" x14ac:dyDescent="0.2">
      <c r="K3022" t="s">
        <v>42</v>
      </c>
      <c r="L3022" t="s">
        <v>38</v>
      </c>
      <c r="M3022">
        <v>0</v>
      </c>
    </row>
    <row r="3023" spans="11:13" x14ac:dyDescent="0.2">
      <c r="K3023" t="s">
        <v>42</v>
      </c>
      <c r="L3023" t="s">
        <v>38</v>
      </c>
      <c r="M3023">
        <v>0</v>
      </c>
    </row>
    <row r="3024" spans="11:13" x14ac:dyDescent="0.2">
      <c r="K3024" t="s">
        <v>42</v>
      </c>
      <c r="L3024" t="s">
        <v>38</v>
      </c>
      <c r="M3024">
        <v>0</v>
      </c>
    </row>
    <row r="3025" spans="11:13" x14ac:dyDescent="0.2">
      <c r="K3025" t="s">
        <v>42</v>
      </c>
      <c r="L3025" t="s">
        <v>38</v>
      </c>
      <c r="M3025">
        <v>0</v>
      </c>
    </row>
    <row r="3026" spans="11:13" x14ac:dyDescent="0.2">
      <c r="K3026" t="s">
        <v>41</v>
      </c>
      <c r="L3026" t="s">
        <v>37</v>
      </c>
      <c r="M3026">
        <v>0</v>
      </c>
    </row>
    <row r="3027" spans="11:13" x14ac:dyDescent="0.2">
      <c r="K3027" t="s">
        <v>42</v>
      </c>
      <c r="L3027" t="s">
        <v>38</v>
      </c>
      <c r="M3027">
        <v>0</v>
      </c>
    </row>
    <row r="3028" spans="11:13" x14ac:dyDescent="0.2">
      <c r="K3028" t="s">
        <v>42</v>
      </c>
      <c r="L3028" t="s">
        <v>38</v>
      </c>
      <c r="M3028">
        <v>0</v>
      </c>
    </row>
    <row r="3029" spans="11:13" x14ac:dyDescent="0.2">
      <c r="K3029" t="s">
        <v>42</v>
      </c>
      <c r="L3029" t="s">
        <v>38</v>
      </c>
      <c r="M3029">
        <v>0</v>
      </c>
    </row>
    <row r="3030" spans="11:13" x14ac:dyDescent="0.2">
      <c r="K3030" t="s">
        <v>41</v>
      </c>
      <c r="L3030" t="s">
        <v>37</v>
      </c>
      <c r="M3030">
        <v>0</v>
      </c>
    </row>
    <row r="3031" spans="11:13" x14ac:dyDescent="0.2">
      <c r="K3031" t="s">
        <v>42</v>
      </c>
      <c r="L3031" t="s">
        <v>38</v>
      </c>
      <c r="M3031">
        <v>0</v>
      </c>
    </row>
    <row r="3032" spans="11:13" x14ac:dyDescent="0.2">
      <c r="K3032" t="s">
        <v>41</v>
      </c>
      <c r="L3032" t="s">
        <v>37</v>
      </c>
      <c r="M3032">
        <v>0</v>
      </c>
    </row>
    <row r="3033" spans="11:13" x14ac:dyDescent="0.2">
      <c r="K3033" t="s">
        <v>41</v>
      </c>
      <c r="L3033" t="s">
        <v>37</v>
      </c>
      <c r="M3033">
        <v>0</v>
      </c>
    </row>
    <row r="3034" spans="11:13" x14ac:dyDescent="0.2">
      <c r="K3034" t="s">
        <v>41</v>
      </c>
      <c r="L3034" t="s">
        <v>37</v>
      </c>
      <c r="M3034">
        <v>0</v>
      </c>
    </row>
    <row r="3035" spans="11:13" x14ac:dyDescent="0.2">
      <c r="K3035" t="s">
        <v>42</v>
      </c>
      <c r="L3035" t="s">
        <v>38</v>
      </c>
      <c r="M3035">
        <v>0</v>
      </c>
    </row>
    <row r="3036" spans="11:13" x14ac:dyDescent="0.2">
      <c r="K3036" t="s">
        <v>42</v>
      </c>
      <c r="L3036" t="s">
        <v>38</v>
      </c>
      <c r="M3036">
        <v>0</v>
      </c>
    </row>
    <row r="3037" spans="11:13" x14ac:dyDescent="0.2">
      <c r="K3037" t="s">
        <v>41</v>
      </c>
      <c r="L3037" t="s">
        <v>37</v>
      </c>
      <c r="M3037">
        <v>0</v>
      </c>
    </row>
    <row r="3038" spans="11:13" x14ac:dyDescent="0.2">
      <c r="K3038" t="s">
        <v>42</v>
      </c>
      <c r="L3038" t="s">
        <v>38</v>
      </c>
      <c r="M3038">
        <v>0</v>
      </c>
    </row>
    <row r="3039" spans="11:13" x14ac:dyDescent="0.2">
      <c r="K3039" t="s">
        <v>41</v>
      </c>
      <c r="L3039" t="s">
        <v>37</v>
      </c>
      <c r="M3039">
        <v>0</v>
      </c>
    </row>
    <row r="3040" spans="11:13" x14ac:dyDescent="0.2">
      <c r="K3040" t="s">
        <v>42</v>
      </c>
      <c r="L3040" t="s">
        <v>38</v>
      </c>
      <c r="M3040">
        <v>0</v>
      </c>
    </row>
    <row r="3041" spans="11:13" x14ac:dyDescent="0.2">
      <c r="K3041" t="s">
        <v>42</v>
      </c>
      <c r="L3041" t="s">
        <v>38</v>
      </c>
      <c r="M3041">
        <v>0</v>
      </c>
    </row>
    <row r="3042" spans="11:13" x14ac:dyDescent="0.2">
      <c r="K3042" t="s">
        <v>42</v>
      </c>
      <c r="L3042" t="s">
        <v>38</v>
      </c>
      <c r="M3042">
        <v>0</v>
      </c>
    </row>
    <row r="3043" spans="11:13" x14ac:dyDescent="0.2">
      <c r="K3043" t="s">
        <v>41</v>
      </c>
      <c r="L3043" t="s">
        <v>37</v>
      </c>
      <c r="M3043">
        <v>0</v>
      </c>
    </row>
    <row r="3044" spans="11:13" x14ac:dyDescent="0.2">
      <c r="K3044" t="s">
        <v>41</v>
      </c>
      <c r="L3044" t="s">
        <v>37</v>
      </c>
      <c r="M3044">
        <v>0</v>
      </c>
    </row>
    <row r="3045" spans="11:13" x14ac:dyDescent="0.2">
      <c r="K3045" t="s">
        <v>41</v>
      </c>
      <c r="L3045" t="s">
        <v>37</v>
      </c>
      <c r="M3045">
        <v>0</v>
      </c>
    </row>
    <row r="3046" spans="11:13" x14ac:dyDescent="0.2">
      <c r="K3046" t="s">
        <v>41</v>
      </c>
      <c r="L3046" t="s">
        <v>37</v>
      </c>
      <c r="M3046">
        <v>0</v>
      </c>
    </row>
    <row r="3047" spans="11:13" x14ac:dyDescent="0.2">
      <c r="K3047" t="s">
        <v>42</v>
      </c>
      <c r="L3047" t="s">
        <v>38</v>
      </c>
      <c r="M3047">
        <v>0</v>
      </c>
    </row>
    <row r="3048" spans="11:13" x14ac:dyDescent="0.2">
      <c r="K3048" t="s">
        <v>41</v>
      </c>
      <c r="L3048" t="s">
        <v>37</v>
      </c>
      <c r="M3048">
        <v>0</v>
      </c>
    </row>
    <row r="3049" spans="11:13" x14ac:dyDescent="0.2">
      <c r="K3049" t="s">
        <v>41</v>
      </c>
      <c r="L3049" t="s">
        <v>37</v>
      </c>
      <c r="M3049">
        <v>0</v>
      </c>
    </row>
    <row r="3050" spans="11:13" x14ac:dyDescent="0.2">
      <c r="K3050" t="s">
        <v>42</v>
      </c>
      <c r="L3050" t="s">
        <v>38</v>
      </c>
      <c r="M3050">
        <v>0</v>
      </c>
    </row>
    <row r="3051" spans="11:13" x14ac:dyDescent="0.2">
      <c r="K3051" t="s">
        <v>42</v>
      </c>
      <c r="L3051" t="s">
        <v>38</v>
      </c>
      <c r="M3051">
        <v>0</v>
      </c>
    </row>
    <row r="3052" spans="11:13" x14ac:dyDescent="0.2">
      <c r="K3052" t="s">
        <v>42</v>
      </c>
      <c r="L3052" t="s">
        <v>38</v>
      </c>
      <c r="M3052">
        <v>0</v>
      </c>
    </row>
    <row r="3053" spans="11:13" x14ac:dyDescent="0.2">
      <c r="K3053" t="s">
        <v>42</v>
      </c>
      <c r="L3053" t="s">
        <v>38</v>
      </c>
      <c r="M3053">
        <v>0</v>
      </c>
    </row>
    <row r="3054" spans="11:13" x14ac:dyDescent="0.2">
      <c r="K3054" t="s">
        <v>42</v>
      </c>
      <c r="L3054" t="s">
        <v>38</v>
      </c>
      <c r="M3054">
        <v>0</v>
      </c>
    </row>
    <row r="3055" spans="11:13" x14ac:dyDescent="0.2">
      <c r="K3055" t="s">
        <v>42</v>
      </c>
      <c r="L3055" t="s">
        <v>38</v>
      </c>
      <c r="M3055">
        <v>0</v>
      </c>
    </row>
    <row r="3056" spans="11:13" x14ac:dyDescent="0.2">
      <c r="K3056" t="s">
        <v>42</v>
      </c>
      <c r="L3056" t="s">
        <v>38</v>
      </c>
      <c r="M3056">
        <v>0</v>
      </c>
    </row>
    <row r="3057" spans="11:13" x14ac:dyDescent="0.2">
      <c r="K3057" t="s">
        <v>41</v>
      </c>
      <c r="L3057" t="s">
        <v>37</v>
      </c>
      <c r="M3057">
        <v>0</v>
      </c>
    </row>
    <row r="3058" spans="11:13" x14ac:dyDescent="0.2">
      <c r="K3058" t="s">
        <v>42</v>
      </c>
      <c r="L3058" t="s">
        <v>38</v>
      </c>
      <c r="M3058">
        <v>0</v>
      </c>
    </row>
    <row r="3059" spans="11:13" x14ac:dyDescent="0.2">
      <c r="K3059" t="s">
        <v>41</v>
      </c>
      <c r="L3059" t="s">
        <v>37</v>
      </c>
      <c r="M3059">
        <v>0</v>
      </c>
    </row>
    <row r="3060" spans="11:13" x14ac:dyDescent="0.2">
      <c r="K3060" t="s">
        <v>41</v>
      </c>
      <c r="L3060" t="s">
        <v>37</v>
      </c>
      <c r="M3060">
        <v>0</v>
      </c>
    </row>
    <row r="3061" spans="11:13" x14ac:dyDescent="0.2">
      <c r="K3061" t="s">
        <v>41</v>
      </c>
      <c r="L3061" t="s">
        <v>37</v>
      </c>
      <c r="M3061">
        <v>0</v>
      </c>
    </row>
    <row r="3062" spans="11:13" x14ac:dyDescent="0.2">
      <c r="K3062" t="s">
        <v>42</v>
      </c>
      <c r="L3062" t="s">
        <v>38</v>
      </c>
      <c r="M3062">
        <v>0</v>
      </c>
    </row>
    <row r="3063" spans="11:13" x14ac:dyDescent="0.2">
      <c r="K3063" t="s">
        <v>41</v>
      </c>
      <c r="L3063" t="s">
        <v>37</v>
      </c>
      <c r="M3063">
        <v>0</v>
      </c>
    </row>
    <row r="3064" spans="11:13" x14ac:dyDescent="0.2">
      <c r="K3064" t="s">
        <v>42</v>
      </c>
      <c r="L3064" t="s">
        <v>38</v>
      </c>
      <c r="M3064">
        <v>0</v>
      </c>
    </row>
    <row r="3065" spans="11:13" x14ac:dyDescent="0.2">
      <c r="K3065" t="s">
        <v>41</v>
      </c>
      <c r="L3065" t="s">
        <v>37</v>
      </c>
      <c r="M3065">
        <v>0</v>
      </c>
    </row>
    <row r="3066" spans="11:13" x14ac:dyDescent="0.2">
      <c r="K3066" t="s">
        <v>41</v>
      </c>
      <c r="L3066" t="s">
        <v>37</v>
      </c>
      <c r="M3066">
        <v>0</v>
      </c>
    </row>
    <row r="3067" spans="11:13" x14ac:dyDescent="0.2">
      <c r="K3067" t="s">
        <v>41</v>
      </c>
      <c r="L3067" t="s">
        <v>37</v>
      </c>
      <c r="M3067">
        <v>0</v>
      </c>
    </row>
    <row r="3068" spans="11:13" x14ac:dyDescent="0.2">
      <c r="K3068" t="s">
        <v>41</v>
      </c>
      <c r="L3068" t="s">
        <v>37</v>
      </c>
      <c r="M3068">
        <v>0</v>
      </c>
    </row>
    <row r="3069" spans="11:13" x14ac:dyDescent="0.2">
      <c r="K3069" t="s">
        <v>41</v>
      </c>
      <c r="L3069" t="s">
        <v>37</v>
      </c>
      <c r="M3069">
        <v>0</v>
      </c>
    </row>
    <row r="3070" spans="11:13" x14ac:dyDescent="0.2">
      <c r="K3070" t="s">
        <v>41</v>
      </c>
      <c r="L3070" t="s">
        <v>37</v>
      </c>
      <c r="M3070">
        <v>0</v>
      </c>
    </row>
    <row r="3071" spans="11:13" x14ac:dyDescent="0.2">
      <c r="K3071" t="s">
        <v>41</v>
      </c>
      <c r="L3071" t="s">
        <v>37</v>
      </c>
      <c r="M3071">
        <v>0</v>
      </c>
    </row>
    <row r="3072" spans="11:13" x14ac:dyDescent="0.2">
      <c r="K3072" t="s">
        <v>42</v>
      </c>
      <c r="L3072" t="s">
        <v>38</v>
      </c>
      <c r="M3072">
        <v>0</v>
      </c>
    </row>
    <row r="3073" spans="11:13" x14ac:dyDescent="0.2">
      <c r="K3073" t="s">
        <v>42</v>
      </c>
      <c r="L3073" t="s">
        <v>38</v>
      </c>
      <c r="M3073">
        <v>0</v>
      </c>
    </row>
    <row r="3074" spans="11:13" x14ac:dyDescent="0.2">
      <c r="K3074" t="s">
        <v>42</v>
      </c>
      <c r="L3074" t="s">
        <v>38</v>
      </c>
      <c r="M3074">
        <v>0</v>
      </c>
    </row>
    <row r="3075" spans="11:13" x14ac:dyDescent="0.2">
      <c r="K3075" t="s">
        <v>42</v>
      </c>
      <c r="L3075" t="s">
        <v>38</v>
      </c>
      <c r="M3075">
        <v>0</v>
      </c>
    </row>
    <row r="3076" spans="11:13" x14ac:dyDescent="0.2">
      <c r="K3076" t="s">
        <v>42</v>
      </c>
      <c r="L3076" t="s">
        <v>38</v>
      </c>
      <c r="M3076">
        <v>0</v>
      </c>
    </row>
    <row r="3077" spans="11:13" x14ac:dyDescent="0.2">
      <c r="K3077" t="s">
        <v>41</v>
      </c>
      <c r="L3077" t="s">
        <v>37</v>
      </c>
      <c r="M3077">
        <v>0</v>
      </c>
    </row>
    <row r="3078" spans="11:13" x14ac:dyDescent="0.2">
      <c r="K3078" t="s">
        <v>42</v>
      </c>
      <c r="L3078" t="s">
        <v>38</v>
      </c>
      <c r="M3078">
        <v>0</v>
      </c>
    </row>
    <row r="3079" spans="11:13" x14ac:dyDescent="0.2">
      <c r="K3079" t="s">
        <v>41</v>
      </c>
      <c r="L3079" t="s">
        <v>37</v>
      </c>
      <c r="M3079">
        <v>0</v>
      </c>
    </row>
    <row r="3080" spans="11:13" x14ac:dyDescent="0.2">
      <c r="K3080" t="s">
        <v>42</v>
      </c>
      <c r="L3080" t="s">
        <v>38</v>
      </c>
      <c r="M3080">
        <v>0</v>
      </c>
    </row>
    <row r="3081" spans="11:13" x14ac:dyDescent="0.2">
      <c r="K3081" t="s">
        <v>42</v>
      </c>
      <c r="L3081" t="s">
        <v>38</v>
      </c>
      <c r="M3081">
        <v>0</v>
      </c>
    </row>
    <row r="3082" spans="11:13" x14ac:dyDescent="0.2">
      <c r="K3082" t="s">
        <v>41</v>
      </c>
      <c r="L3082" t="s">
        <v>37</v>
      </c>
      <c r="M3082">
        <v>0</v>
      </c>
    </row>
    <row r="3083" spans="11:13" x14ac:dyDescent="0.2">
      <c r="K3083" t="s">
        <v>41</v>
      </c>
      <c r="L3083" t="s">
        <v>37</v>
      </c>
      <c r="M3083">
        <v>0</v>
      </c>
    </row>
    <row r="3084" spans="11:13" x14ac:dyDescent="0.2">
      <c r="K3084" t="s">
        <v>41</v>
      </c>
      <c r="L3084" t="s">
        <v>37</v>
      </c>
      <c r="M3084">
        <v>0</v>
      </c>
    </row>
    <row r="3085" spans="11:13" x14ac:dyDescent="0.2">
      <c r="K3085" t="s">
        <v>41</v>
      </c>
      <c r="L3085" t="s">
        <v>37</v>
      </c>
      <c r="M3085">
        <v>0</v>
      </c>
    </row>
    <row r="3086" spans="11:13" x14ac:dyDescent="0.2">
      <c r="K3086" t="s">
        <v>42</v>
      </c>
      <c r="L3086" t="s">
        <v>38</v>
      </c>
      <c r="M3086">
        <v>0</v>
      </c>
    </row>
    <row r="3087" spans="11:13" x14ac:dyDescent="0.2">
      <c r="K3087" t="s">
        <v>41</v>
      </c>
      <c r="L3087" t="s">
        <v>37</v>
      </c>
      <c r="M3087">
        <v>0</v>
      </c>
    </row>
    <row r="3088" spans="11:13" x14ac:dyDescent="0.2">
      <c r="K3088" t="s">
        <v>42</v>
      </c>
      <c r="L3088" t="s">
        <v>38</v>
      </c>
      <c r="M3088">
        <v>1</v>
      </c>
    </row>
    <row r="3089" spans="11:13" x14ac:dyDescent="0.2">
      <c r="K3089" t="s">
        <v>41</v>
      </c>
      <c r="L3089" t="s">
        <v>37</v>
      </c>
      <c r="M3089">
        <v>0</v>
      </c>
    </row>
    <row r="3090" spans="11:13" x14ac:dyDescent="0.2">
      <c r="K3090" t="s">
        <v>41</v>
      </c>
      <c r="L3090" t="s">
        <v>37</v>
      </c>
      <c r="M3090">
        <v>0</v>
      </c>
    </row>
    <row r="3091" spans="11:13" x14ac:dyDescent="0.2">
      <c r="K3091" t="s">
        <v>42</v>
      </c>
      <c r="L3091" t="s">
        <v>38</v>
      </c>
      <c r="M3091">
        <v>0</v>
      </c>
    </row>
    <row r="3092" spans="11:13" x14ac:dyDescent="0.2">
      <c r="K3092" t="s">
        <v>41</v>
      </c>
      <c r="L3092" t="s">
        <v>37</v>
      </c>
      <c r="M3092">
        <v>0</v>
      </c>
    </row>
    <row r="3093" spans="11:13" x14ac:dyDescent="0.2">
      <c r="K3093" t="s">
        <v>42</v>
      </c>
      <c r="L3093" t="s">
        <v>38</v>
      </c>
      <c r="M3093">
        <v>0</v>
      </c>
    </row>
    <row r="3094" spans="11:13" x14ac:dyDescent="0.2">
      <c r="K3094" t="s">
        <v>42</v>
      </c>
      <c r="L3094" t="s">
        <v>38</v>
      </c>
      <c r="M3094">
        <v>0</v>
      </c>
    </row>
    <row r="3095" spans="11:13" x14ac:dyDescent="0.2">
      <c r="K3095" t="s">
        <v>41</v>
      </c>
      <c r="L3095" t="s">
        <v>37</v>
      </c>
      <c r="M3095">
        <v>0</v>
      </c>
    </row>
    <row r="3096" spans="11:13" x14ac:dyDescent="0.2">
      <c r="K3096" t="s">
        <v>42</v>
      </c>
      <c r="L3096" t="s">
        <v>38</v>
      </c>
      <c r="M3096">
        <v>0</v>
      </c>
    </row>
    <row r="3097" spans="11:13" x14ac:dyDescent="0.2">
      <c r="K3097" t="s">
        <v>42</v>
      </c>
      <c r="L3097" t="s">
        <v>38</v>
      </c>
      <c r="M3097">
        <v>0</v>
      </c>
    </row>
    <row r="3098" spans="11:13" x14ac:dyDescent="0.2">
      <c r="K3098" t="s">
        <v>42</v>
      </c>
      <c r="L3098" t="s">
        <v>38</v>
      </c>
      <c r="M3098">
        <v>0</v>
      </c>
    </row>
    <row r="3099" spans="11:13" x14ac:dyDescent="0.2">
      <c r="K3099" t="s">
        <v>41</v>
      </c>
      <c r="L3099" t="s">
        <v>37</v>
      </c>
      <c r="M3099">
        <v>0</v>
      </c>
    </row>
    <row r="3100" spans="11:13" x14ac:dyDescent="0.2">
      <c r="K3100" t="s">
        <v>41</v>
      </c>
      <c r="L3100" t="s">
        <v>37</v>
      </c>
      <c r="M3100">
        <v>0</v>
      </c>
    </row>
    <row r="3101" spans="11:13" x14ac:dyDescent="0.2">
      <c r="K3101" t="s">
        <v>41</v>
      </c>
      <c r="L3101" t="s">
        <v>37</v>
      </c>
      <c r="M3101">
        <v>0</v>
      </c>
    </row>
    <row r="3102" spans="11:13" x14ac:dyDescent="0.2">
      <c r="K3102" t="s">
        <v>42</v>
      </c>
      <c r="L3102" t="s">
        <v>38</v>
      </c>
      <c r="M3102">
        <v>0</v>
      </c>
    </row>
    <row r="3103" spans="11:13" x14ac:dyDescent="0.2">
      <c r="K3103" t="s">
        <v>41</v>
      </c>
      <c r="L3103" t="s">
        <v>37</v>
      </c>
      <c r="M3103">
        <v>0</v>
      </c>
    </row>
    <row r="3104" spans="11:13" x14ac:dyDescent="0.2">
      <c r="K3104" t="s">
        <v>41</v>
      </c>
      <c r="L3104" t="s">
        <v>37</v>
      </c>
      <c r="M3104">
        <v>0</v>
      </c>
    </row>
    <row r="3105" spans="11:13" x14ac:dyDescent="0.2">
      <c r="K3105" t="s">
        <v>41</v>
      </c>
      <c r="L3105" t="s">
        <v>37</v>
      </c>
      <c r="M3105">
        <v>0</v>
      </c>
    </row>
    <row r="3106" spans="11:13" x14ac:dyDescent="0.2">
      <c r="K3106" t="s">
        <v>42</v>
      </c>
      <c r="L3106" t="s">
        <v>38</v>
      </c>
      <c r="M3106">
        <v>0</v>
      </c>
    </row>
    <row r="3107" spans="11:13" x14ac:dyDescent="0.2">
      <c r="K3107" t="s">
        <v>42</v>
      </c>
      <c r="L3107" t="s">
        <v>38</v>
      </c>
      <c r="M3107">
        <v>0</v>
      </c>
    </row>
    <row r="3108" spans="11:13" x14ac:dyDescent="0.2">
      <c r="K3108" t="s">
        <v>42</v>
      </c>
      <c r="L3108" t="s">
        <v>38</v>
      </c>
      <c r="M3108">
        <v>0</v>
      </c>
    </row>
    <row r="3109" spans="11:13" x14ac:dyDescent="0.2">
      <c r="K3109" t="s">
        <v>42</v>
      </c>
      <c r="L3109" t="s">
        <v>38</v>
      </c>
      <c r="M3109">
        <v>0</v>
      </c>
    </row>
    <row r="3110" spans="11:13" x14ac:dyDescent="0.2">
      <c r="K3110" t="s">
        <v>42</v>
      </c>
      <c r="L3110" t="s">
        <v>38</v>
      </c>
      <c r="M3110">
        <v>0</v>
      </c>
    </row>
    <row r="3111" spans="11:13" x14ac:dyDescent="0.2">
      <c r="K3111" t="s">
        <v>41</v>
      </c>
      <c r="L3111" t="s">
        <v>37</v>
      </c>
      <c r="M3111">
        <v>0</v>
      </c>
    </row>
    <row r="3112" spans="11:13" x14ac:dyDescent="0.2">
      <c r="K3112" t="s">
        <v>41</v>
      </c>
      <c r="L3112" t="s">
        <v>37</v>
      </c>
      <c r="M3112">
        <v>0</v>
      </c>
    </row>
    <row r="3113" spans="11:13" x14ac:dyDescent="0.2">
      <c r="K3113" t="s">
        <v>41</v>
      </c>
      <c r="L3113" t="s">
        <v>37</v>
      </c>
      <c r="M3113">
        <v>0</v>
      </c>
    </row>
    <row r="3114" spans="11:13" x14ac:dyDescent="0.2">
      <c r="K3114" t="s">
        <v>42</v>
      </c>
      <c r="L3114" t="s">
        <v>38</v>
      </c>
      <c r="M3114">
        <v>0</v>
      </c>
    </row>
    <row r="3115" spans="11:13" x14ac:dyDescent="0.2">
      <c r="K3115" t="s">
        <v>41</v>
      </c>
      <c r="L3115" t="s">
        <v>37</v>
      </c>
      <c r="M3115">
        <v>0</v>
      </c>
    </row>
    <row r="3116" spans="11:13" x14ac:dyDescent="0.2">
      <c r="K3116" t="s">
        <v>41</v>
      </c>
      <c r="L3116" t="s">
        <v>37</v>
      </c>
      <c r="M3116">
        <v>0</v>
      </c>
    </row>
    <row r="3117" spans="11:13" x14ac:dyDescent="0.2">
      <c r="K3117" t="s">
        <v>41</v>
      </c>
      <c r="L3117" t="s">
        <v>37</v>
      </c>
      <c r="M3117">
        <v>0</v>
      </c>
    </row>
    <row r="3118" spans="11:13" x14ac:dyDescent="0.2">
      <c r="K3118" t="s">
        <v>42</v>
      </c>
      <c r="L3118" t="s">
        <v>38</v>
      </c>
      <c r="M3118">
        <v>0</v>
      </c>
    </row>
    <row r="3119" spans="11:13" x14ac:dyDescent="0.2">
      <c r="K3119" t="s">
        <v>42</v>
      </c>
      <c r="L3119" t="s">
        <v>38</v>
      </c>
      <c r="M3119">
        <v>0</v>
      </c>
    </row>
    <row r="3120" spans="11:13" x14ac:dyDescent="0.2">
      <c r="K3120" t="s">
        <v>41</v>
      </c>
      <c r="L3120" t="s">
        <v>37</v>
      </c>
      <c r="M3120">
        <v>0</v>
      </c>
    </row>
    <row r="3121" spans="11:13" x14ac:dyDescent="0.2">
      <c r="K3121" t="s">
        <v>42</v>
      </c>
      <c r="L3121" t="s">
        <v>38</v>
      </c>
      <c r="M3121">
        <v>0</v>
      </c>
    </row>
    <row r="3122" spans="11:13" x14ac:dyDescent="0.2">
      <c r="K3122" t="s">
        <v>42</v>
      </c>
      <c r="L3122" t="s">
        <v>38</v>
      </c>
      <c r="M3122">
        <v>0</v>
      </c>
    </row>
    <row r="3123" spans="11:13" x14ac:dyDescent="0.2">
      <c r="K3123" t="s">
        <v>42</v>
      </c>
      <c r="L3123" t="s">
        <v>38</v>
      </c>
      <c r="M3123">
        <v>0</v>
      </c>
    </row>
    <row r="3124" spans="11:13" x14ac:dyDescent="0.2">
      <c r="K3124" t="s">
        <v>41</v>
      </c>
      <c r="L3124" t="s">
        <v>37</v>
      </c>
      <c r="M3124">
        <v>0</v>
      </c>
    </row>
    <row r="3125" spans="11:13" x14ac:dyDescent="0.2">
      <c r="K3125" t="s">
        <v>42</v>
      </c>
      <c r="L3125" t="s">
        <v>38</v>
      </c>
      <c r="M3125">
        <v>0</v>
      </c>
    </row>
    <row r="3126" spans="11:13" x14ac:dyDescent="0.2">
      <c r="K3126" t="s">
        <v>41</v>
      </c>
      <c r="L3126" t="s">
        <v>37</v>
      </c>
      <c r="M3126">
        <v>0</v>
      </c>
    </row>
    <row r="3127" spans="11:13" x14ac:dyDescent="0.2">
      <c r="K3127" t="s">
        <v>42</v>
      </c>
      <c r="L3127" t="s">
        <v>38</v>
      </c>
      <c r="M3127">
        <v>0</v>
      </c>
    </row>
    <row r="3128" spans="11:13" x14ac:dyDescent="0.2">
      <c r="K3128" t="s">
        <v>42</v>
      </c>
      <c r="L3128" t="s">
        <v>38</v>
      </c>
      <c r="M3128">
        <v>0</v>
      </c>
    </row>
    <row r="3129" spans="11:13" x14ac:dyDescent="0.2">
      <c r="K3129" t="s">
        <v>41</v>
      </c>
      <c r="L3129" t="s">
        <v>37</v>
      </c>
      <c r="M3129">
        <v>0</v>
      </c>
    </row>
    <row r="3130" spans="11:13" x14ac:dyDescent="0.2">
      <c r="K3130" t="s">
        <v>42</v>
      </c>
      <c r="L3130" t="s">
        <v>38</v>
      </c>
      <c r="M3130">
        <v>0</v>
      </c>
    </row>
    <row r="3131" spans="11:13" x14ac:dyDescent="0.2">
      <c r="K3131" t="s">
        <v>41</v>
      </c>
      <c r="L3131" t="s">
        <v>37</v>
      </c>
      <c r="M3131">
        <v>0</v>
      </c>
    </row>
    <row r="3132" spans="11:13" x14ac:dyDescent="0.2">
      <c r="K3132" t="s">
        <v>41</v>
      </c>
      <c r="L3132" t="s">
        <v>37</v>
      </c>
      <c r="M3132">
        <v>0</v>
      </c>
    </row>
    <row r="3133" spans="11:13" x14ac:dyDescent="0.2">
      <c r="K3133" t="s">
        <v>42</v>
      </c>
      <c r="L3133" t="s">
        <v>38</v>
      </c>
      <c r="M3133">
        <v>1</v>
      </c>
    </row>
    <row r="3134" spans="11:13" x14ac:dyDescent="0.2">
      <c r="K3134" t="s">
        <v>42</v>
      </c>
      <c r="L3134" t="s">
        <v>38</v>
      </c>
      <c r="M3134">
        <v>0</v>
      </c>
    </row>
    <row r="3135" spans="11:13" x14ac:dyDescent="0.2">
      <c r="K3135" t="s">
        <v>42</v>
      </c>
      <c r="L3135" t="s">
        <v>38</v>
      </c>
      <c r="M3135">
        <v>0</v>
      </c>
    </row>
    <row r="3136" spans="11:13" x14ac:dyDescent="0.2">
      <c r="K3136" t="s">
        <v>42</v>
      </c>
      <c r="L3136" t="s">
        <v>38</v>
      </c>
      <c r="M3136">
        <v>1</v>
      </c>
    </row>
    <row r="3137" spans="11:13" x14ac:dyDescent="0.2">
      <c r="K3137" t="s">
        <v>42</v>
      </c>
      <c r="L3137" t="s">
        <v>38</v>
      </c>
      <c r="M3137">
        <v>0</v>
      </c>
    </row>
    <row r="3138" spans="11:13" x14ac:dyDescent="0.2">
      <c r="K3138" t="s">
        <v>42</v>
      </c>
      <c r="L3138" t="s">
        <v>38</v>
      </c>
      <c r="M3138">
        <v>1</v>
      </c>
    </row>
    <row r="3139" spans="11:13" x14ac:dyDescent="0.2">
      <c r="K3139" t="s">
        <v>41</v>
      </c>
      <c r="L3139" t="s">
        <v>37</v>
      </c>
      <c r="M3139">
        <v>0</v>
      </c>
    </row>
    <row r="3140" spans="11:13" x14ac:dyDescent="0.2">
      <c r="K3140" t="s">
        <v>41</v>
      </c>
      <c r="L3140" t="s">
        <v>37</v>
      </c>
      <c r="M3140">
        <v>0</v>
      </c>
    </row>
    <row r="3141" spans="11:13" x14ac:dyDescent="0.2">
      <c r="K3141" t="s">
        <v>41</v>
      </c>
      <c r="L3141" t="s">
        <v>37</v>
      </c>
      <c r="M3141">
        <v>0</v>
      </c>
    </row>
    <row r="3142" spans="11:13" x14ac:dyDescent="0.2">
      <c r="K3142" t="s">
        <v>42</v>
      </c>
      <c r="L3142" t="s">
        <v>38</v>
      </c>
      <c r="M3142">
        <v>0</v>
      </c>
    </row>
    <row r="3143" spans="11:13" x14ac:dyDescent="0.2">
      <c r="K3143" t="s">
        <v>42</v>
      </c>
      <c r="L3143" t="s">
        <v>38</v>
      </c>
      <c r="M3143">
        <v>0</v>
      </c>
    </row>
    <row r="3144" spans="11:13" x14ac:dyDescent="0.2">
      <c r="K3144" t="s">
        <v>42</v>
      </c>
      <c r="L3144" t="s">
        <v>38</v>
      </c>
      <c r="M3144">
        <v>0</v>
      </c>
    </row>
    <row r="3145" spans="11:13" x14ac:dyDescent="0.2">
      <c r="K3145" t="s">
        <v>42</v>
      </c>
      <c r="L3145" t="s">
        <v>38</v>
      </c>
      <c r="M3145">
        <v>0</v>
      </c>
    </row>
    <row r="3146" spans="11:13" x14ac:dyDescent="0.2">
      <c r="K3146" t="s">
        <v>41</v>
      </c>
      <c r="L3146" t="s">
        <v>37</v>
      </c>
      <c r="M3146">
        <v>0</v>
      </c>
    </row>
    <row r="3147" spans="11:13" x14ac:dyDescent="0.2">
      <c r="K3147" t="s">
        <v>41</v>
      </c>
      <c r="L3147" t="s">
        <v>37</v>
      </c>
      <c r="M3147">
        <v>0</v>
      </c>
    </row>
    <row r="3148" spans="11:13" x14ac:dyDescent="0.2">
      <c r="K3148" t="s">
        <v>41</v>
      </c>
      <c r="L3148" t="s">
        <v>37</v>
      </c>
      <c r="M3148">
        <v>0</v>
      </c>
    </row>
    <row r="3149" spans="11:13" x14ac:dyDescent="0.2">
      <c r="K3149" t="s">
        <v>42</v>
      </c>
      <c r="L3149" t="s">
        <v>38</v>
      </c>
      <c r="M3149">
        <v>0</v>
      </c>
    </row>
    <row r="3150" spans="11:13" x14ac:dyDescent="0.2">
      <c r="K3150" t="s">
        <v>42</v>
      </c>
      <c r="L3150" t="s">
        <v>38</v>
      </c>
      <c r="M3150">
        <v>0</v>
      </c>
    </row>
    <row r="3151" spans="11:13" x14ac:dyDescent="0.2">
      <c r="K3151" t="s">
        <v>41</v>
      </c>
      <c r="L3151" t="s">
        <v>37</v>
      </c>
      <c r="M3151">
        <v>0</v>
      </c>
    </row>
    <row r="3152" spans="11:13" x14ac:dyDescent="0.2">
      <c r="K3152" t="s">
        <v>41</v>
      </c>
      <c r="L3152" t="s">
        <v>37</v>
      </c>
      <c r="M3152">
        <v>0</v>
      </c>
    </row>
    <row r="3153" spans="11:13" x14ac:dyDescent="0.2">
      <c r="K3153" t="s">
        <v>41</v>
      </c>
      <c r="L3153" t="s">
        <v>37</v>
      </c>
      <c r="M3153">
        <v>0</v>
      </c>
    </row>
    <row r="3154" spans="11:13" x14ac:dyDescent="0.2">
      <c r="K3154" t="s">
        <v>42</v>
      </c>
      <c r="L3154" t="s">
        <v>38</v>
      </c>
      <c r="M3154">
        <v>0</v>
      </c>
    </row>
    <row r="3155" spans="11:13" x14ac:dyDescent="0.2">
      <c r="K3155" t="s">
        <v>42</v>
      </c>
      <c r="L3155" t="s">
        <v>38</v>
      </c>
      <c r="M3155">
        <v>0</v>
      </c>
    </row>
    <row r="3156" spans="11:13" x14ac:dyDescent="0.2">
      <c r="K3156" t="s">
        <v>42</v>
      </c>
      <c r="L3156" t="s">
        <v>38</v>
      </c>
      <c r="M3156">
        <v>0</v>
      </c>
    </row>
    <row r="3157" spans="11:13" x14ac:dyDescent="0.2">
      <c r="K3157" t="s">
        <v>42</v>
      </c>
      <c r="L3157" t="s">
        <v>38</v>
      </c>
      <c r="M3157">
        <v>0</v>
      </c>
    </row>
    <row r="3158" spans="11:13" x14ac:dyDescent="0.2">
      <c r="K3158" t="s">
        <v>41</v>
      </c>
      <c r="L3158" t="s">
        <v>37</v>
      </c>
      <c r="M3158">
        <v>0</v>
      </c>
    </row>
    <row r="3159" spans="11:13" x14ac:dyDescent="0.2">
      <c r="K3159" t="s">
        <v>41</v>
      </c>
      <c r="L3159" t="s">
        <v>37</v>
      </c>
      <c r="M3159">
        <v>0</v>
      </c>
    </row>
    <row r="3160" spans="11:13" x14ac:dyDescent="0.2">
      <c r="K3160" t="s">
        <v>41</v>
      </c>
      <c r="L3160" t="s">
        <v>37</v>
      </c>
      <c r="M3160">
        <v>0</v>
      </c>
    </row>
    <row r="3161" spans="11:13" x14ac:dyDescent="0.2">
      <c r="K3161" t="s">
        <v>42</v>
      </c>
      <c r="L3161" t="s">
        <v>38</v>
      </c>
      <c r="M3161">
        <v>0</v>
      </c>
    </row>
    <row r="3162" spans="11:13" x14ac:dyDescent="0.2">
      <c r="K3162" t="s">
        <v>42</v>
      </c>
      <c r="L3162" t="s">
        <v>38</v>
      </c>
      <c r="M3162">
        <v>0</v>
      </c>
    </row>
    <row r="3163" spans="11:13" x14ac:dyDescent="0.2">
      <c r="K3163" t="s">
        <v>41</v>
      </c>
      <c r="L3163" t="s">
        <v>37</v>
      </c>
      <c r="M3163">
        <v>0</v>
      </c>
    </row>
    <row r="3164" spans="11:13" x14ac:dyDescent="0.2">
      <c r="K3164" t="s">
        <v>41</v>
      </c>
      <c r="L3164" t="s">
        <v>37</v>
      </c>
      <c r="M3164">
        <v>0</v>
      </c>
    </row>
    <row r="3165" spans="11:13" x14ac:dyDescent="0.2">
      <c r="K3165" t="s">
        <v>41</v>
      </c>
      <c r="L3165" t="s">
        <v>37</v>
      </c>
      <c r="M3165">
        <v>0</v>
      </c>
    </row>
    <row r="3166" spans="11:13" x14ac:dyDescent="0.2">
      <c r="K3166" t="s">
        <v>42</v>
      </c>
      <c r="L3166" t="s">
        <v>38</v>
      </c>
      <c r="M3166">
        <v>0</v>
      </c>
    </row>
    <row r="3167" spans="11:13" x14ac:dyDescent="0.2">
      <c r="K3167" t="s">
        <v>42</v>
      </c>
      <c r="L3167" t="s">
        <v>38</v>
      </c>
      <c r="M3167">
        <v>0</v>
      </c>
    </row>
    <row r="3168" spans="11:13" x14ac:dyDescent="0.2">
      <c r="K3168" t="s">
        <v>42</v>
      </c>
      <c r="L3168" t="s">
        <v>38</v>
      </c>
      <c r="M3168">
        <v>0</v>
      </c>
    </row>
    <row r="3169" spans="11:13" x14ac:dyDescent="0.2">
      <c r="K3169" t="s">
        <v>41</v>
      </c>
      <c r="L3169" t="s">
        <v>37</v>
      </c>
      <c r="M3169">
        <v>0</v>
      </c>
    </row>
    <row r="3170" spans="11:13" x14ac:dyDescent="0.2">
      <c r="K3170" t="s">
        <v>42</v>
      </c>
      <c r="L3170" t="s">
        <v>38</v>
      </c>
      <c r="M3170">
        <v>0</v>
      </c>
    </row>
    <row r="3171" spans="11:13" x14ac:dyDescent="0.2">
      <c r="K3171" t="s">
        <v>41</v>
      </c>
      <c r="L3171" t="s">
        <v>37</v>
      </c>
      <c r="M3171">
        <v>0</v>
      </c>
    </row>
    <row r="3172" spans="11:13" x14ac:dyDescent="0.2">
      <c r="K3172" t="s">
        <v>42</v>
      </c>
      <c r="L3172" t="s">
        <v>38</v>
      </c>
      <c r="M3172">
        <v>0</v>
      </c>
    </row>
    <row r="3173" spans="11:13" x14ac:dyDescent="0.2">
      <c r="K3173" t="s">
        <v>42</v>
      </c>
      <c r="L3173" t="s">
        <v>38</v>
      </c>
      <c r="M3173">
        <v>0</v>
      </c>
    </row>
    <row r="3174" spans="11:13" x14ac:dyDescent="0.2">
      <c r="K3174" t="s">
        <v>42</v>
      </c>
      <c r="L3174" t="s">
        <v>38</v>
      </c>
      <c r="M3174">
        <v>0</v>
      </c>
    </row>
    <row r="3175" spans="11:13" x14ac:dyDescent="0.2">
      <c r="K3175" t="s">
        <v>41</v>
      </c>
      <c r="L3175" t="s">
        <v>37</v>
      </c>
      <c r="M3175">
        <v>0</v>
      </c>
    </row>
    <row r="3176" spans="11:13" x14ac:dyDescent="0.2">
      <c r="K3176" t="s">
        <v>41</v>
      </c>
      <c r="L3176" t="s">
        <v>37</v>
      </c>
      <c r="M3176">
        <v>0</v>
      </c>
    </row>
    <row r="3177" spans="11:13" x14ac:dyDescent="0.2">
      <c r="K3177" t="s">
        <v>41</v>
      </c>
      <c r="L3177" t="s">
        <v>37</v>
      </c>
      <c r="M3177">
        <v>0</v>
      </c>
    </row>
    <row r="3178" spans="11:13" x14ac:dyDescent="0.2">
      <c r="K3178" t="s">
        <v>41</v>
      </c>
      <c r="L3178" t="s">
        <v>37</v>
      </c>
      <c r="M3178">
        <v>0</v>
      </c>
    </row>
    <row r="3179" spans="11:13" x14ac:dyDescent="0.2">
      <c r="K3179" t="s">
        <v>41</v>
      </c>
      <c r="L3179" t="s">
        <v>37</v>
      </c>
      <c r="M3179">
        <v>0</v>
      </c>
    </row>
    <row r="3180" spans="11:13" x14ac:dyDescent="0.2">
      <c r="K3180" t="s">
        <v>42</v>
      </c>
      <c r="L3180" t="s">
        <v>38</v>
      </c>
      <c r="M3180">
        <v>0</v>
      </c>
    </row>
    <row r="3181" spans="11:13" x14ac:dyDescent="0.2">
      <c r="K3181" t="s">
        <v>42</v>
      </c>
      <c r="L3181" t="s">
        <v>38</v>
      </c>
      <c r="M3181">
        <v>0</v>
      </c>
    </row>
    <row r="3182" spans="11:13" x14ac:dyDescent="0.2">
      <c r="K3182" t="s">
        <v>42</v>
      </c>
      <c r="L3182" t="s">
        <v>38</v>
      </c>
      <c r="M3182">
        <v>0</v>
      </c>
    </row>
    <row r="3183" spans="11:13" x14ac:dyDescent="0.2">
      <c r="K3183" t="s">
        <v>41</v>
      </c>
      <c r="L3183" t="s">
        <v>37</v>
      </c>
      <c r="M3183">
        <v>0</v>
      </c>
    </row>
    <row r="3184" spans="11:13" x14ac:dyDescent="0.2">
      <c r="K3184" t="s">
        <v>41</v>
      </c>
      <c r="L3184" t="s">
        <v>37</v>
      </c>
      <c r="M3184">
        <v>0</v>
      </c>
    </row>
    <row r="3185" spans="11:13" x14ac:dyDescent="0.2">
      <c r="K3185" t="s">
        <v>41</v>
      </c>
      <c r="L3185" t="s">
        <v>37</v>
      </c>
      <c r="M3185">
        <v>0</v>
      </c>
    </row>
    <row r="3186" spans="11:13" x14ac:dyDescent="0.2">
      <c r="K3186" t="s">
        <v>41</v>
      </c>
      <c r="L3186" t="s">
        <v>37</v>
      </c>
      <c r="M3186">
        <v>0</v>
      </c>
    </row>
    <row r="3187" spans="11:13" x14ac:dyDescent="0.2">
      <c r="K3187" t="s">
        <v>41</v>
      </c>
      <c r="L3187" t="s">
        <v>37</v>
      </c>
      <c r="M3187">
        <v>0</v>
      </c>
    </row>
    <row r="3188" spans="11:13" x14ac:dyDescent="0.2">
      <c r="K3188" t="s">
        <v>42</v>
      </c>
      <c r="L3188" t="s">
        <v>38</v>
      </c>
      <c r="M3188">
        <v>0</v>
      </c>
    </row>
    <row r="3189" spans="11:13" x14ac:dyDescent="0.2">
      <c r="K3189" t="s">
        <v>42</v>
      </c>
      <c r="L3189" t="s">
        <v>38</v>
      </c>
      <c r="M3189">
        <v>0</v>
      </c>
    </row>
    <row r="3190" spans="11:13" x14ac:dyDescent="0.2">
      <c r="K3190" t="s">
        <v>42</v>
      </c>
      <c r="L3190" t="s">
        <v>38</v>
      </c>
      <c r="M3190">
        <v>0</v>
      </c>
    </row>
    <row r="3191" spans="11:13" x14ac:dyDescent="0.2">
      <c r="K3191" t="s">
        <v>41</v>
      </c>
      <c r="L3191" t="s">
        <v>37</v>
      </c>
      <c r="M3191">
        <v>0</v>
      </c>
    </row>
    <row r="3192" spans="11:13" x14ac:dyDescent="0.2">
      <c r="K3192" t="s">
        <v>42</v>
      </c>
      <c r="L3192" t="s">
        <v>38</v>
      </c>
      <c r="M3192">
        <v>0</v>
      </c>
    </row>
    <row r="3193" spans="11:13" x14ac:dyDescent="0.2">
      <c r="K3193" t="s">
        <v>41</v>
      </c>
      <c r="L3193" t="s">
        <v>37</v>
      </c>
      <c r="M3193">
        <v>0</v>
      </c>
    </row>
    <row r="3194" spans="11:13" x14ac:dyDescent="0.2">
      <c r="K3194" t="s">
        <v>42</v>
      </c>
      <c r="L3194" t="s">
        <v>38</v>
      </c>
      <c r="M3194">
        <v>0</v>
      </c>
    </row>
    <row r="3195" spans="11:13" x14ac:dyDescent="0.2">
      <c r="K3195" t="s">
        <v>41</v>
      </c>
      <c r="L3195" t="s">
        <v>37</v>
      </c>
      <c r="M3195">
        <v>0</v>
      </c>
    </row>
    <row r="3196" spans="11:13" x14ac:dyDescent="0.2">
      <c r="K3196" t="s">
        <v>42</v>
      </c>
      <c r="L3196" t="s">
        <v>38</v>
      </c>
      <c r="M3196">
        <v>0</v>
      </c>
    </row>
    <row r="3197" spans="11:13" x14ac:dyDescent="0.2">
      <c r="K3197" t="s">
        <v>42</v>
      </c>
      <c r="L3197" t="s">
        <v>38</v>
      </c>
      <c r="M3197">
        <v>0</v>
      </c>
    </row>
    <row r="3198" spans="11:13" x14ac:dyDescent="0.2">
      <c r="K3198" t="s">
        <v>41</v>
      </c>
      <c r="L3198" t="s">
        <v>37</v>
      </c>
      <c r="M3198">
        <v>0</v>
      </c>
    </row>
    <row r="3199" spans="11:13" x14ac:dyDescent="0.2">
      <c r="K3199" t="s">
        <v>42</v>
      </c>
      <c r="L3199" t="s">
        <v>38</v>
      </c>
      <c r="M3199">
        <v>0</v>
      </c>
    </row>
    <row r="3200" spans="11:13" x14ac:dyDescent="0.2">
      <c r="K3200" t="s">
        <v>42</v>
      </c>
      <c r="L3200" t="s">
        <v>38</v>
      </c>
      <c r="M3200">
        <v>0</v>
      </c>
    </row>
    <row r="3201" spans="11:13" x14ac:dyDescent="0.2">
      <c r="K3201" t="s">
        <v>41</v>
      </c>
      <c r="L3201" t="s">
        <v>37</v>
      </c>
      <c r="M3201">
        <v>0</v>
      </c>
    </row>
    <row r="3202" spans="11:13" x14ac:dyDescent="0.2">
      <c r="K3202" t="s">
        <v>41</v>
      </c>
      <c r="L3202" t="s">
        <v>37</v>
      </c>
      <c r="M3202">
        <v>0</v>
      </c>
    </row>
    <row r="3203" spans="11:13" x14ac:dyDescent="0.2">
      <c r="K3203" t="s">
        <v>41</v>
      </c>
      <c r="L3203" t="s">
        <v>37</v>
      </c>
      <c r="M3203">
        <v>0</v>
      </c>
    </row>
    <row r="3204" spans="11:13" x14ac:dyDescent="0.2">
      <c r="K3204" t="s">
        <v>42</v>
      </c>
      <c r="L3204" t="s">
        <v>38</v>
      </c>
      <c r="M3204">
        <v>0</v>
      </c>
    </row>
    <row r="3205" spans="11:13" x14ac:dyDescent="0.2">
      <c r="K3205" t="s">
        <v>42</v>
      </c>
      <c r="L3205" t="s">
        <v>38</v>
      </c>
      <c r="M3205">
        <v>0</v>
      </c>
    </row>
    <row r="3206" spans="11:13" x14ac:dyDescent="0.2">
      <c r="K3206" t="s">
        <v>41</v>
      </c>
      <c r="L3206" t="s">
        <v>37</v>
      </c>
      <c r="M3206">
        <v>0</v>
      </c>
    </row>
    <row r="3207" spans="11:13" x14ac:dyDescent="0.2">
      <c r="K3207" t="s">
        <v>42</v>
      </c>
      <c r="L3207" t="s">
        <v>38</v>
      </c>
      <c r="M3207">
        <v>0</v>
      </c>
    </row>
    <row r="3208" spans="11:13" x14ac:dyDescent="0.2">
      <c r="K3208" t="s">
        <v>42</v>
      </c>
      <c r="L3208" t="s">
        <v>38</v>
      </c>
      <c r="M3208">
        <v>0</v>
      </c>
    </row>
    <row r="3209" spans="11:13" x14ac:dyDescent="0.2">
      <c r="K3209" t="s">
        <v>41</v>
      </c>
      <c r="L3209" t="s">
        <v>37</v>
      </c>
      <c r="M3209">
        <v>0</v>
      </c>
    </row>
    <row r="3210" spans="11:13" x14ac:dyDescent="0.2">
      <c r="K3210" t="s">
        <v>41</v>
      </c>
      <c r="L3210" t="s">
        <v>37</v>
      </c>
      <c r="M3210">
        <v>1</v>
      </c>
    </row>
    <row r="3211" spans="11:13" x14ac:dyDescent="0.2">
      <c r="K3211" t="s">
        <v>42</v>
      </c>
      <c r="L3211" t="s">
        <v>38</v>
      </c>
      <c r="M3211">
        <v>0</v>
      </c>
    </row>
    <row r="3212" spans="11:13" x14ac:dyDescent="0.2">
      <c r="K3212" t="s">
        <v>42</v>
      </c>
      <c r="L3212" t="s">
        <v>38</v>
      </c>
      <c r="M3212">
        <v>0</v>
      </c>
    </row>
    <row r="3213" spans="11:13" x14ac:dyDescent="0.2">
      <c r="K3213" t="s">
        <v>41</v>
      </c>
      <c r="L3213" t="s">
        <v>37</v>
      </c>
      <c r="M3213">
        <v>0</v>
      </c>
    </row>
    <row r="3214" spans="11:13" x14ac:dyDescent="0.2">
      <c r="K3214" t="s">
        <v>41</v>
      </c>
      <c r="L3214" t="s">
        <v>37</v>
      </c>
      <c r="M3214">
        <v>0</v>
      </c>
    </row>
    <row r="3215" spans="11:13" x14ac:dyDescent="0.2">
      <c r="K3215" t="s">
        <v>42</v>
      </c>
      <c r="L3215" t="s">
        <v>38</v>
      </c>
      <c r="M3215">
        <v>0</v>
      </c>
    </row>
    <row r="3216" spans="11:13" x14ac:dyDescent="0.2">
      <c r="K3216" t="s">
        <v>41</v>
      </c>
      <c r="L3216" t="s">
        <v>37</v>
      </c>
      <c r="M3216">
        <v>0</v>
      </c>
    </row>
    <row r="3217" spans="11:13" x14ac:dyDescent="0.2">
      <c r="K3217" t="s">
        <v>42</v>
      </c>
      <c r="L3217" t="s">
        <v>38</v>
      </c>
      <c r="M3217">
        <v>0</v>
      </c>
    </row>
    <row r="3218" spans="11:13" x14ac:dyDescent="0.2">
      <c r="K3218" t="s">
        <v>42</v>
      </c>
      <c r="L3218" t="s">
        <v>38</v>
      </c>
      <c r="M3218">
        <v>0</v>
      </c>
    </row>
    <row r="3219" spans="11:13" x14ac:dyDescent="0.2">
      <c r="K3219" t="s">
        <v>41</v>
      </c>
      <c r="L3219" t="s">
        <v>37</v>
      </c>
      <c r="M3219">
        <v>0</v>
      </c>
    </row>
    <row r="3220" spans="11:13" x14ac:dyDescent="0.2">
      <c r="K3220" t="s">
        <v>41</v>
      </c>
      <c r="L3220" t="s">
        <v>37</v>
      </c>
      <c r="M3220">
        <v>0</v>
      </c>
    </row>
    <row r="3221" spans="11:13" x14ac:dyDescent="0.2">
      <c r="K3221" t="s">
        <v>42</v>
      </c>
      <c r="L3221" t="s">
        <v>38</v>
      </c>
      <c r="M3221">
        <v>0</v>
      </c>
    </row>
    <row r="3222" spans="11:13" x14ac:dyDescent="0.2">
      <c r="K3222" t="s">
        <v>41</v>
      </c>
      <c r="L3222" t="s">
        <v>37</v>
      </c>
      <c r="M3222">
        <v>0</v>
      </c>
    </row>
    <row r="3223" spans="11:13" x14ac:dyDescent="0.2">
      <c r="K3223" t="s">
        <v>42</v>
      </c>
      <c r="L3223" t="s">
        <v>38</v>
      </c>
      <c r="M3223">
        <v>0</v>
      </c>
    </row>
    <row r="3224" spans="11:13" x14ac:dyDescent="0.2">
      <c r="K3224" t="s">
        <v>41</v>
      </c>
      <c r="L3224" t="s">
        <v>37</v>
      </c>
      <c r="M3224">
        <v>0</v>
      </c>
    </row>
    <row r="3225" spans="11:13" x14ac:dyDescent="0.2">
      <c r="K3225" t="s">
        <v>42</v>
      </c>
      <c r="L3225" t="s">
        <v>38</v>
      </c>
      <c r="M3225">
        <v>0</v>
      </c>
    </row>
    <row r="3226" spans="11:13" x14ac:dyDescent="0.2">
      <c r="K3226" t="s">
        <v>42</v>
      </c>
      <c r="L3226" t="s">
        <v>38</v>
      </c>
      <c r="M3226">
        <v>0</v>
      </c>
    </row>
    <row r="3227" spans="11:13" x14ac:dyDescent="0.2">
      <c r="K3227" t="s">
        <v>42</v>
      </c>
      <c r="L3227" t="s">
        <v>38</v>
      </c>
      <c r="M3227">
        <v>0</v>
      </c>
    </row>
    <row r="3228" spans="11:13" x14ac:dyDescent="0.2">
      <c r="K3228" t="s">
        <v>41</v>
      </c>
      <c r="L3228" t="s">
        <v>37</v>
      </c>
      <c r="M3228">
        <v>0</v>
      </c>
    </row>
    <row r="3229" spans="11:13" x14ac:dyDescent="0.2">
      <c r="K3229" t="s">
        <v>42</v>
      </c>
      <c r="L3229" t="s">
        <v>38</v>
      </c>
      <c r="M3229">
        <v>0</v>
      </c>
    </row>
    <row r="3230" spans="11:13" x14ac:dyDescent="0.2">
      <c r="K3230" t="s">
        <v>42</v>
      </c>
      <c r="L3230" t="s">
        <v>38</v>
      </c>
      <c r="M3230">
        <v>0</v>
      </c>
    </row>
    <row r="3231" spans="11:13" x14ac:dyDescent="0.2">
      <c r="K3231" t="s">
        <v>41</v>
      </c>
      <c r="L3231" t="s">
        <v>37</v>
      </c>
      <c r="M3231">
        <v>0</v>
      </c>
    </row>
    <row r="3232" spans="11:13" x14ac:dyDescent="0.2">
      <c r="K3232" t="s">
        <v>42</v>
      </c>
      <c r="L3232" t="s">
        <v>38</v>
      </c>
      <c r="M3232">
        <v>0</v>
      </c>
    </row>
    <row r="3233" spans="11:13" x14ac:dyDescent="0.2">
      <c r="K3233" t="s">
        <v>41</v>
      </c>
      <c r="L3233" t="s">
        <v>37</v>
      </c>
      <c r="M3233">
        <v>0</v>
      </c>
    </row>
    <row r="3234" spans="11:13" x14ac:dyDescent="0.2">
      <c r="K3234" t="s">
        <v>42</v>
      </c>
      <c r="L3234" t="s">
        <v>38</v>
      </c>
      <c r="M3234">
        <v>0</v>
      </c>
    </row>
    <row r="3235" spans="11:13" x14ac:dyDescent="0.2">
      <c r="K3235" t="s">
        <v>42</v>
      </c>
      <c r="L3235" t="s">
        <v>38</v>
      </c>
      <c r="M3235">
        <v>0</v>
      </c>
    </row>
    <row r="3236" spans="11:13" x14ac:dyDescent="0.2">
      <c r="K3236" t="s">
        <v>41</v>
      </c>
      <c r="L3236" t="s">
        <v>37</v>
      </c>
      <c r="M3236">
        <v>0</v>
      </c>
    </row>
    <row r="3237" spans="11:13" x14ac:dyDescent="0.2">
      <c r="K3237" t="s">
        <v>41</v>
      </c>
      <c r="L3237" t="s">
        <v>37</v>
      </c>
      <c r="M3237">
        <v>0</v>
      </c>
    </row>
    <row r="3238" spans="11:13" x14ac:dyDescent="0.2">
      <c r="K3238" t="s">
        <v>42</v>
      </c>
      <c r="L3238" t="s">
        <v>38</v>
      </c>
      <c r="M3238">
        <v>0</v>
      </c>
    </row>
    <row r="3239" spans="11:13" x14ac:dyDescent="0.2">
      <c r="K3239" t="s">
        <v>42</v>
      </c>
      <c r="L3239" t="s">
        <v>38</v>
      </c>
      <c r="M3239">
        <v>0</v>
      </c>
    </row>
    <row r="3240" spans="11:13" x14ac:dyDescent="0.2">
      <c r="K3240" t="s">
        <v>42</v>
      </c>
      <c r="L3240" t="s">
        <v>38</v>
      </c>
      <c r="M3240">
        <v>0</v>
      </c>
    </row>
    <row r="3241" spans="11:13" x14ac:dyDescent="0.2">
      <c r="K3241" t="s">
        <v>42</v>
      </c>
      <c r="L3241" t="s">
        <v>38</v>
      </c>
      <c r="M3241">
        <v>1</v>
      </c>
    </row>
    <row r="3242" spans="11:13" x14ac:dyDescent="0.2">
      <c r="K3242" t="s">
        <v>42</v>
      </c>
      <c r="L3242" t="s">
        <v>38</v>
      </c>
      <c r="M3242">
        <v>0</v>
      </c>
    </row>
    <row r="3243" spans="11:13" x14ac:dyDescent="0.2">
      <c r="K3243" t="s">
        <v>42</v>
      </c>
      <c r="L3243" t="s">
        <v>38</v>
      </c>
      <c r="M3243">
        <v>0</v>
      </c>
    </row>
    <row r="3244" spans="11:13" x14ac:dyDescent="0.2">
      <c r="K3244" t="s">
        <v>41</v>
      </c>
      <c r="L3244" t="s">
        <v>37</v>
      </c>
      <c r="M3244">
        <v>0</v>
      </c>
    </row>
    <row r="3245" spans="11:13" x14ac:dyDescent="0.2">
      <c r="K3245" t="s">
        <v>41</v>
      </c>
      <c r="L3245" t="s">
        <v>37</v>
      </c>
      <c r="M3245">
        <v>0</v>
      </c>
    </row>
    <row r="3246" spans="11:13" x14ac:dyDescent="0.2">
      <c r="K3246" t="s">
        <v>42</v>
      </c>
      <c r="L3246" t="s">
        <v>38</v>
      </c>
      <c r="M3246">
        <v>0</v>
      </c>
    </row>
    <row r="3247" spans="11:13" x14ac:dyDescent="0.2">
      <c r="K3247" t="s">
        <v>42</v>
      </c>
      <c r="L3247" t="s">
        <v>38</v>
      </c>
      <c r="M3247">
        <v>0</v>
      </c>
    </row>
    <row r="3248" spans="11:13" x14ac:dyDescent="0.2">
      <c r="K3248" t="s">
        <v>42</v>
      </c>
      <c r="L3248" t="s">
        <v>38</v>
      </c>
      <c r="M3248">
        <v>0</v>
      </c>
    </row>
    <row r="3249" spans="11:13" x14ac:dyDescent="0.2">
      <c r="K3249" t="s">
        <v>42</v>
      </c>
      <c r="L3249" t="s">
        <v>38</v>
      </c>
      <c r="M3249">
        <v>0</v>
      </c>
    </row>
    <row r="3250" spans="11:13" x14ac:dyDescent="0.2">
      <c r="K3250" t="s">
        <v>41</v>
      </c>
      <c r="L3250" t="s">
        <v>37</v>
      </c>
      <c r="M3250">
        <v>0</v>
      </c>
    </row>
    <row r="3251" spans="11:13" x14ac:dyDescent="0.2">
      <c r="K3251" t="s">
        <v>42</v>
      </c>
      <c r="L3251" t="s">
        <v>38</v>
      </c>
      <c r="M3251">
        <v>0</v>
      </c>
    </row>
    <row r="3252" spans="11:13" x14ac:dyDescent="0.2">
      <c r="K3252" t="s">
        <v>41</v>
      </c>
      <c r="L3252" t="s">
        <v>37</v>
      </c>
      <c r="M3252">
        <v>0</v>
      </c>
    </row>
    <row r="3253" spans="11:13" x14ac:dyDescent="0.2">
      <c r="K3253" t="s">
        <v>42</v>
      </c>
      <c r="L3253" t="s">
        <v>38</v>
      </c>
      <c r="M3253">
        <v>0</v>
      </c>
    </row>
    <row r="3254" spans="11:13" x14ac:dyDescent="0.2">
      <c r="K3254" t="s">
        <v>42</v>
      </c>
      <c r="L3254" t="s">
        <v>38</v>
      </c>
      <c r="M3254">
        <v>0</v>
      </c>
    </row>
    <row r="3255" spans="11:13" x14ac:dyDescent="0.2">
      <c r="K3255" t="s">
        <v>42</v>
      </c>
      <c r="L3255" t="s">
        <v>38</v>
      </c>
      <c r="M3255">
        <v>0</v>
      </c>
    </row>
    <row r="3256" spans="11:13" x14ac:dyDescent="0.2">
      <c r="K3256" t="s">
        <v>41</v>
      </c>
      <c r="L3256" t="s">
        <v>37</v>
      </c>
      <c r="M3256">
        <v>0</v>
      </c>
    </row>
    <row r="3257" spans="11:13" x14ac:dyDescent="0.2">
      <c r="K3257" t="s">
        <v>42</v>
      </c>
      <c r="L3257" t="s">
        <v>38</v>
      </c>
      <c r="M3257">
        <v>0</v>
      </c>
    </row>
    <row r="3258" spans="11:13" x14ac:dyDescent="0.2">
      <c r="K3258" t="s">
        <v>41</v>
      </c>
      <c r="L3258" t="s">
        <v>37</v>
      </c>
      <c r="M3258">
        <v>0</v>
      </c>
    </row>
    <row r="3259" spans="11:13" x14ac:dyDescent="0.2">
      <c r="K3259" t="s">
        <v>42</v>
      </c>
      <c r="L3259" t="s">
        <v>38</v>
      </c>
      <c r="M3259">
        <v>0</v>
      </c>
    </row>
    <row r="3260" spans="11:13" x14ac:dyDescent="0.2">
      <c r="K3260" t="s">
        <v>41</v>
      </c>
      <c r="L3260" t="s">
        <v>37</v>
      </c>
      <c r="M3260">
        <v>0</v>
      </c>
    </row>
    <row r="3261" spans="11:13" x14ac:dyDescent="0.2">
      <c r="K3261" t="s">
        <v>42</v>
      </c>
      <c r="L3261" t="s">
        <v>38</v>
      </c>
      <c r="M3261">
        <v>0</v>
      </c>
    </row>
    <row r="3262" spans="11:13" x14ac:dyDescent="0.2">
      <c r="K3262" t="s">
        <v>41</v>
      </c>
      <c r="L3262" t="s">
        <v>37</v>
      </c>
      <c r="M3262">
        <v>0</v>
      </c>
    </row>
    <row r="3263" spans="11:13" x14ac:dyDescent="0.2">
      <c r="K3263" t="s">
        <v>41</v>
      </c>
      <c r="L3263" t="s">
        <v>37</v>
      </c>
      <c r="M3263">
        <v>0</v>
      </c>
    </row>
    <row r="3264" spans="11:13" x14ac:dyDescent="0.2">
      <c r="K3264" t="s">
        <v>41</v>
      </c>
      <c r="L3264" t="s">
        <v>37</v>
      </c>
      <c r="M3264">
        <v>0</v>
      </c>
    </row>
    <row r="3265" spans="11:13" x14ac:dyDescent="0.2">
      <c r="K3265" t="s">
        <v>41</v>
      </c>
      <c r="L3265" t="s">
        <v>37</v>
      </c>
      <c r="M3265">
        <v>0</v>
      </c>
    </row>
    <row r="3266" spans="11:13" x14ac:dyDescent="0.2">
      <c r="K3266" t="s">
        <v>41</v>
      </c>
      <c r="L3266" t="s">
        <v>37</v>
      </c>
      <c r="M3266">
        <v>0</v>
      </c>
    </row>
    <row r="3267" spans="11:13" x14ac:dyDescent="0.2">
      <c r="K3267" t="s">
        <v>41</v>
      </c>
      <c r="L3267" t="s">
        <v>37</v>
      </c>
      <c r="M3267">
        <v>0</v>
      </c>
    </row>
    <row r="3268" spans="11:13" x14ac:dyDescent="0.2">
      <c r="K3268" t="s">
        <v>42</v>
      </c>
      <c r="L3268" t="s">
        <v>38</v>
      </c>
      <c r="M3268">
        <v>0</v>
      </c>
    </row>
    <row r="3269" spans="11:13" x14ac:dyDescent="0.2">
      <c r="K3269" t="s">
        <v>41</v>
      </c>
      <c r="L3269" t="s">
        <v>37</v>
      </c>
      <c r="M3269">
        <v>0</v>
      </c>
    </row>
    <row r="3270" spans="11:13" x14ac:dyDescent="0.2">
      <c r="K3270" t="s">
        <v>42</v>
      </c>
      <c r="L3270" t="s">
        <v>38</v>
      </c>
      <c r="M3270">
        <v>0</v>
      </c>
    </row>
    <row r="3271" spans="11:13" x14ac:dyDescent="0.2">
      <c r="K3271" t="s">
        <v>41</v>
      </c>
      <c r="L3271" t="s">
        <v>37</v>
      </c>
      <c r="M3271">
        <v>0</v>
      </c>
    </row>
    <row r="3272" spans="11:13" x14ac:dyDescent="0.2">
      <c r="K3272" t="s">
        <v>42</v>
      </c>
      <c r="L3272" t="s">
        <v>38</v>
      </c>
      <c r="M3272">
        <v>0</v>
      </c>
    </row>
    <row r="3273" spans="11:13" x14ac:dyDescent="0.2">
      <c r="K3273" t="s">
        <v>41</v>
      </c>
      <c r="L3273" t="s">
        <v>37</v>
      </c>
      <c r="M3273">
        <v>0</v>
      </c>
    </row>
    <row r="3274" spans="11:13" x14ac:dyDescent="0.2">
      <c r="K3274" t="s">
        <v>41</v>
      </c>
      <c r="L3274" t="s">
        <v>37</v>
      </c>
      <c r="M3274">
        <v>0</v>
      </c>
    </row>
    <row r="3275" spans="11:13" x14ac:dyDescent="0.2">
      <c r="K3275" t="s">
        <v>42</v>
      </c>
      <c r="L3275" t="s">
        <v>38</v>
      </c>
      <c r="M3275">
        <v>0</v>
      </c>
    </row>
    <row r="3276" spans="11:13" x14ac:dyDescent="0.2">
      <c r="K3276" t="s">
        <v>41</v>
      </c>
      <c r="L3276" t="s">
        <v>37</v>
      </c>
      <c r="M3276">
        <v>0</v>
      </c>
    </row>
    <row r="3277" spans="11:13" x14ac:dyDescent="0.2">
      <c r="K3277" t="s">
        <v>41</v>
      </c>
      <c r="L3277" t="s">
        <v>37</v>
      </c>
      <c r="M3277">
        <v>0</v>
      </c>
    </row>
    <row r="3278" spans="11:13" x14ac:dyDescent="0.2">
      <c r="K3278" t="s">
        <v>41</v>
      </c>
      <c r="L3278" t="s">
        <v>37</v>
      </c>
      <c r="M3278">
        <v>0</v>
      </c>
    </row>
    <row r="3279" spans="11:13" x14ac:dyDescent="0.2">
      <c r="K3279" t="s">
        <v>41</v>
      </c>
      <c r="L3279" t="s">
        <v>37</v>
      </c>
      <c r="M3279">
        <v>0</v>
      </c>
    </row>
    <row r="3280" spans="11:13" x14ac:dyDescent="0.2">
      <c r="K3280" t="s">
        <v>41</v>
      </c>
      <c r="L3280" t="s">
        <v>37</v>
      </c>
      <c r="M3280">
        <v>0</v>
      </c>
    </row>
    <row r="3281" spans="11:13" x14ac:dyDescent="0.2">
      <c r="K3281" t="s">
        <v>42</v>
      </c>
      <c r="L3281" t="s">
        <v>38</v>
      </c>
      <c r="M3281">
        <v>0</v>
      </c>
    </row>
    <row r="3282" spans="11:13" x14ac:dyDescent="0.2">
      <c r="K3282" t="s">
        <v>42</v>
      </c>
      <c r="L3282" t="s">
        <v>38</v>
      </c>
      <c r="M3282">
        <v>0</v>
      </c>
    </row>
    <row r="3283" spans="11:13" x14ac:dyDescent="0.2">
      <c r="K3283" t="s">
        <v>41</v>
      </c>
      <c r="L3283" t="s">
        <v>37</v>
      </c>
      <c r="M3283">
        <v>0</v>
      </c>
    </row>
    <row r="3284" spans="11:13" x14ac:dyDescent="0.2">
      <c r="K3284" t="s">
        <v>42</v>
      </c>
      <c r="L3284" t="s">
        <v>38</v>
      </c>
      <c r="M3284">
        <v>0</v>
      </c>
    </row>
    <row r="3285" spans="11:13" x14ac:dyDescent="0.2">
      <c r="K3285" t="s">
        <v>42</v>
      </c>
      <c r="L3285" t="s">
        <v>38</v>
      </c>
      <c r="M3285">
        <v>0</v>
      </c>
    </row>
    <row r="3286" spans="11:13" x14ac:dyDescent="0.2">
      <c r="K3286" t="s">
        <v>42</v>
      </c>
      <c r="L3286" t="s">
        <v>38</v>
      </c>
      <c r="M3286">
        <v>0</v>
      </c>
    </row>
    <row r="3287" spans="11:13" x14ac:dyDescent="0.2">
      <c r="K3287" t="s">
        <v>41</v>
      </c>
      <c r="L3287" t="s">
        <v>37</v>
      </c>
      <c r="M3287">
        <v>0</v>
      </c>
    </row>
    <row r="3288" spans="11:13" x14ac:dyDescent="0.2">
      <c r="K3288" t="s">
        <v>41</v>
      </c>
      <c r="L3288" t="s">
        <v>37</v>
      </c>
      <c r="M3288">
        <v>0</v>
      </c>
    </row>
    <row r="3289" spans="11:13" x14ac:dyDescent="0.2">
      <c r="K3289" t="s">
        <v>42</v>
      </c>
      <c r="L3289" t="s">
        <v>38</v>
      </c>
      <c r="M3289">
        <v>0</v>
      </c>
    </row>
    <row r="3290" spans="11:13" x14ac:dyDescent="0.2">
      <c r="K3290" t="s">
        <v>42</v>
      </c>
      <c r="L3290" t="s">
        <v>38</v>
      </c>
      <c r="M3290">
        <v>0</v>
      </c>
    </row>
    <row r="3291" spans="11:13" x14ac:dyDescent="0.2">
      <c r="K3291" t="s">
        <v>42</v>
      </c>
      <c r="L3291" t="s">
        <v>38</v>
      </c>
      <c r="M3291">
        <v>0</v>
      </c>
    </row>
    <row r="3292" spans="11:13" x14ac:dyDescent="0.2">
      <c r="K3292" t="s">
        <v>42</v>
      </c>
      <c r="L3292" t="s">
        <v>38</v>
      </c>
      <c r="M3292">
        <v>0</v>
      </c>
    </row>
    <row r="3293" spans="11:13" x14ac:dyDescent="0.2">
      <c r="K3293" t="s">
        <v>41</v>
      </c>
      <c r="L3293" t="s">
        <v>37</v>
      </c>
      <c r="M3293">
        <v>0</v>
      </c>
    </row>
    <row r="3294" spans="11:13" x14ac:dyDescent="0.2">
      <c r="K3294" t="s">
        <v>41</v>
      </c>
      <c r="L3294" t="s">
        <v>37</v>
      </c>
      <c r="M3294">
        <v>0</v>
      </c>
    </row>
    <row r="3295" spans="11:13" x14ac:dyDescent="0.2">
      <c r="K3295" t="s">
        <v>41</v>
      </c>
      <c r="L3295" t="s">
        <v>37</v>
      </c>
      <c r="M3295">
        <v>0</v>
      </c>
    </row>
    <row r="3296" spans="11:13" x14ac:dyDescent="0.2">
      <c r="K3296" t="s">
        <v>41</v>
      </c>
      <c r="L3296" t="s">
        <v>37</v>
      </c>
      <c r="M3296">
        <v>0</v>
      </c>
    </row>
    <row r="3297" spans="11:13" x14ac:dyDescent="0.2">
      <c r="K3297" t="s">
        <v>41</v>
      </c>
      <c r="L3297" t="s">
        <v>37</v>
      </c>
      <c r="M3297">
        <v>0</v>
      </c>
    </row>
    <row r="3298" spans="11:13" x14ac:dyDescent="0.2">
      <c r="K3298" t="s">
        <v>41</v>
      </c>
      <c r="L3298" t="s">
        <v>37</v>
      </c>
      <c r="M3298">
        <v>0</v>
      </c>
    </row>
    <row r="3299" spans="11:13" x14ac:dyDescent="0.2">
      <c r="K3299" t="s">
        <v>41</v>
      </c>
      <c r="L3299" t="s">
        <v>37</v>
      </c>
      <c r="M3299">
        <v>0</v>
      </c>
    </row>
    <row r="3300" spans="11:13" x14ac:dyDescent="0.2">
      <c r="K3300" t="s">
        <v>42</v>
      </c>
      <c r="L3300" t="s">
        <v>38</v>
      </c>
      <c r="M3300">
        <v>1</v>
      </c>
    </row>
    <row r="3301" spans="11:13" x14ac:dyDescent="0.2">
      <c r="K3301" t="s">
        <v>41</v>
      </c>
      <c r="L3301" t="s">
        <v>37</v>
      </c>
      <c r="M3301">
        <v>0</v>
      </c>
    </row>
    <row r="3302" spans="11:13" x14ac:dyDescent="0.2">
      <c r="K3302" t="s">
        <v>41</v>
      </c>
      <c r="L3302" t="s">
        <v>37</v>
      </c>
      <c r="M3302">
        <v>0</v>
      </c>
    </row>
    <row r="3303" spans="11:13" x14ac:dyDescent="0.2">
      <c r="K3303" t="s">
        <v>41</v>
      </c>
      <c r="L3303" t="s">
        <v>37</v>
      </c>
      <c r="M3303">
        <v>0</v>
      </c>
    </row>
    <row r="3304" spans="11:13" x14ac:dyDescent="0.2">
      <c r="K3304" t="s">
        <v>42</v>
      </c>
      <c r="L3304" t="s">
        <v>38</v>
      </c>
      <c r="M3304">
        <v>0</v>
      </c>
    </row>
    <row r="3305" spans="11:13" x14ac:dyDescent="0.2">
      <c r="K3305" t="s">
        <v>42</v>
      </c>
      <c r="L3305" t="s">
        <v>38</v>
      </c>
      <c r="M3305">
        <v>0</v>
      </c>
    </row>
    <row r="3306" spans="11:13" x14ac:dyDescent="0.2">
      <c r="K3306" t="s">
        <v>42</v>
      </c>
      <c r="L3306" t="s">
        <v>38</v>
      </c>
      <c r="M3306">
        <v>0</v>
      </c>
    </row>
    <row r="3307" spans="11:13" x14ac:dyDescent="0.2">
      <c r="K3307" t="s">
        <v>41</v>
      </c>
      <c r="L3307" t="s">
        <v>37</v>
      </c>
      <c r="M3307">
        <v>0</v>
      </c>
    </row>
    <row r="3308" spans="11:13" x14ac:dyDescent="0.2">
      <c r="K3308" t="s">
        <v>41</v>
      </c>
      <c r="L3308" t="s">
        <v>37</v>
      </c>
      <c r="M3308">
        <v>0</v>
      </c>
    </row>
    <row r="3309" spans="11:13" x14ac:dyDescent="0.2">
      <c r="K3309" t="s">
        <v>42</v>
      </c>
      <c r="L3309" t="s">
        <v>38</v>
      </c>
      <c r="M3309">
        <v>0</v>
      </c>
    </row>
    <row r="3310" spans="11:13" x14ac:dyDescent="0.2">
      <c r="K3310" t="s">
        <v>42</v>
      </c>
      <c r="L3310" t="s">
        <v>38</v>
      </c>
      <c r="M3310">
        <v>0</v>
      </c>
    </row>
    <row r="3311" spans="11:13" x14ac:dyDescent="0.2">
      <c r="K3311" t="s">
        <v>41</v>
      </c>
      <c r="L3311" t="s">
        <v>37</v>
      </c>
      <c r="M3311">
        <v>0</v>
      </c>
    </row>
    <row r="3312" spans="11:13" x14ac:dyDescent="0.2">
      <c r="K3312" t="s">
        <v>41</v>
      </c>
      <c r="L3312" t="s">
        <v>37</v>
      </c>
      <c r="M3312">
        <v>0</v>
      </c>
    </row>
    <row r="3313" spans="11:13" x14ac:dyDescent="0.2">
      <c r="K3313" t="s">
        <v>41</v>
      </c>
      <c r="L3313" t="s">
        <v>37</v>
      </c>
      <c r="M3313">
        <v>0</v>
      </c>
    </row>
    <row r="3314" spans="11:13" x14ac:dyDescent="0.2">
      <c r="K3314" t="s">
        <v>42</v>
      </c>
      <c r="L3314" t="s">
        <v>38</v>
      </c>
      <c r="M3314">
        <v>1</v>
      </c>
    </row>
    <row r="3315" spans="11:13" x14ac:dyDescent="0.2">
      <c r="K3315" t="s">
        <v>42</v>
      </c>
      <c r="L3315" t="s">
        <v>38</v>
      </c>
      <c r="M3315">
        <v>0</v>
      </c>
    </row>
    <row r="3316" spans="11:13" x14ac:dyDescent="0.2">
      <c r="K3316" t="s">
        <v>42</v>
      </c>
      <c r="L3316" t="s">
        <v>38</v>
      </c>
      <c r="M3316">
        <v>0</v>
      </c>
    </row>
    <row r="3317" spans="11:13" x14ac:dyDescent="0.2">
      <c r="K3317" t="s">
        <v>42</v>
      </c>
      <c r="L3317" t="s">
        <v>38</v>
      </c>
      <c r="M3317">
        <v>0</v>
      </c>
    </row>
    <row r="3318" spans="11:13" x14ac:dyDescent="0.2">
      <c r="K3318" t="s">
        <v>42</v>
      </c>
      <c r="L3318" t="s">
        <v>38</v>
      </c>
      <c r="M3318">
        <v>0</v>
      </c>
    </row>
    <row r="3319" spans="11:13" x14ac:dyDescent="0.2">
      <c r="K3319" t="s">
        <v>42</v>
      </c>
      <c r="L3319" t="s">
        <v>38</v>
      </c>
      <c r="M3319">
        <v>0</v>
      </c>
    </row>
    <row r="3320" spans="11:13" x14ac:dyDescent="0.2">
      <c r="K3320" t="s">
        <v>41</v>
      </c>
      <c r="L3320" t="s">
        <v>37</v>
      </c>
      <c r="M3320">
        <v>0</v>
      </c>
    </row>
    <row r="3321" spans="11:13" x14ac:dyDescent="0.2">
      <c r="K3321" t="s">
        <v>42</v>
      </c>
      <c r="L3321" t="s">
        <v>38</v>
      </c>
      <c r="M3321">
        <v>0</v>
      </c>
    </row>
    <row r="3322" spans="11:13" x14ac:dyDescent="0.2">
      <c r="K3322" t="s">
        <v>41</v>
      </c>
      <c r="L3322" t="s">
        <v>37</v>
      </c>
      <c r="M3322">
        <v>0</v>
      </c>
    </row>
    <row r="3323" spans="11:13" x14ac:dyDescent="0.2">
      <c r="K3323" t="s">
        <v>41</v>
      </c>
      <c r="L3323" t="s">
        <v>37</v>
      </c>
      <c r="M3323">
        <v>0</v>
      </c>
    </row>
    <row r="3324" spans="11:13" x14ac:dyDescent="0.2">
      <c r="K3324" t="s">
        <v>42</v>
      </c>
      <c r="L3324" t="s">
        <v>38</v>
      </c>
      <c r="M3324">
        <v>0</v>
      </c>
    </row>
    <row r="3325" spans="11:13" x14ac:dyDescent="0.2">
      <c r="K3325" t="s">
        <v>41</v>
      </c>
      <c r="L3325" t="s">
        <v>37</v>
      </c>
      <c r="M3325">
        <v>0</v>
      </c>
    </row>
    <row r="3326" spans="11:13" x14ac:dyDescent="0.2">
      <c r="K3326" t="s">
        <v>41</v>
      </c>
      <c r="L3326" t="s">
        <v>37</v>
      </c>
      <c r="M3326">
        <v>0</v>
      </c>
    </row>
    <row r="3327" spans="11:13" x14ac:dyDescent="0.2">
      <c r="K3327" t="s">
        <v>42</v>
      </c>
      <c r="L3327" t="s">
        <v>38</v>
      </c>
      <c r="M3327">
        <v>0</v>
      </c>
    </row>
    <row r="3328" spans="11:13" x14ac:dyDescent="0.2">
      <c r="K3328" t="s">
        <v>41</v>
      </c>
      <c r="L3328" t="s">
        <v>37</v>
      </c>
      <c r="M3328">
        <v>0</v>
      </c>
    </row>
    <row r="3329" spans="11:13" x14ac:dyDescent="0.2">
      <c r="K3329" t="s">
        <v>41</v>
      </c>
      <c r="L3329" t="s">
        <v>37</v>
      </c>
      <c r="M3329">
        <v>0</v>
      </c>
    </row>
    <row r="3330" spans="11:13" x14ac:dyDescent="0.2">
      <c r="K3330" t="s">
        <v>41</v>
      </c>
      <c r="L3330" t="s">
        <v>37</v>
      </c>
      <c r="M3330">
        <v>0</v>
      </c>
    </row>
    <row r="3331" spans="11:13" x14ac:dyDescent="0.2">
      <c r="K3331" t="s">
        <v>41</v>
      </c>
      <c r="L3331" t="s">
        <v>37</v>
      </c>
      <c r="M3331">
        <v>0</v>
      </c>
    </row>
    <row r="3332" spans="11:13" x14ac:dyDescent="0.2">
      <c r="K3332" t="s">
        <v>42</v>
      </c>
      <c r="L3332" t="s">
        <v>38</v>
      </c>
      <c r="M3332">
        <v>0</v>
      </c>
    </row>
    <row r="3333" spans="11:13" x14ac:dyDescent="0.2">
      <c r="K3333" t="s">
        <v>42</v>
      </c>
      <c r="L3333" t="s">
        <v>38</v>
      </c>
      <c r="M3333">
        <v>0</v>
      </c>
    </row>
    <row r="3334" spans="11:13" x14ac:dyDescent="0.2">
      <c r="K3334" t="s">
        <v>42</v>
      </c>
      <c r="L3334" t="s">
        <v>38</v>
      </c>
      <c r="M3334">
        <v>0</v>
      </c>
    </row>
    <row r="3335" spans="11:13" x14ac:dyDescent="0.2">
      <c r="K3335" t="s">
        <v>42</v>
      </c>
      <c r="L3335" t="s">
        <v>38</v>
      </c>
      <c r="M3335">
        <v>0</v>
      </c>
    </row>
    <row r="3336" spans="11:13" x14ac:dyDescent="0.2">
      <c r="K3336" t="s">
        <v>41</v>
      </c>
      <c r="L3336" t="s">
        <v>37</v>
      </c>
      <c r="M3336">
        <v>0</v>
      </c>
    </row>
    <row r="3337" spans="11:13" x14ac:dyDescent="0.2">
      <c r="K3337" t="s">
        <v>42</v>
      </c>
      <c r="L3337" t="s">
        <v>38</v>
      </c>
      <c r="M3337">
        <v>0</v>
      </c>
    </row>
    <row r="3338" spans="11:13" x14ac:dyDescent="0.2">
      <c r="K3338" t="s">
        <v>41</v>
      </c>
      <c r="L3338" t="s">
        <v>37</v>
      </c>
      <c r="M3338">
        <v>0</v>
      </c>
    </row>
    <row r="3339" spans="11:13" x14ac:dyDescent="0.2">
      <c r="K3339" t="s">
        <v>42</v>
      </c>
      <c r="L3339" t="s">
        <v>38</v>
      </c>
      <c r="M3339">
        <v>0</v>
      </c>
    </row>
    <row r="3340" spans="11:13" x14ac:dyDescent="0.2">
      <c r="K3340" t="s">
        <v>42</v>
      </c>
      <c r="L3340" t="s">
        <v>38</v>
      </c>
      <c r="M3340">
        <v>0</v>
      </c>
    </row>
    <row r="3341" spans="11:13" x14ac:dyDescent="0.2">
      <c r="K3341" t="s">
        <v>41</v>
      </c>
      <c r="L3341" t="s">
        <v>37</v>
      </c>
      <c r="M3341">
        <v>0</v>
      </c>
    </row>
    <row r="3342" spans="11:13" x14ac:dyDescent="0.2">
      <c r="K3342" t="s">
        <v>42</v>
      </c>
      <c r="L3342" t="s">
        <v>38</v>
      </c>
      <c r="M3342">
        <v>0</v>
      </c>
    </row>
    <row r="3343" spans="11:13" x14ac:dyDescent="0.2">
      <c r="K3343" t="s">
        <v>41</v>
      </c>
      <c r="L3343" t="s">
        <v>37</v>
      </c>
      <c r="M3343">
        <v>0</v>
      </c>
    </row>
    <row r="3344" spans="11:13" x14ac:dyDescent="0.2">
      <c r="K3344" t="s">
        <v>42</v>
      </c>
      <c r="L3344" t="s">
        <v>38</v>
      </c>
      <c r="M3344">
        <v>0</v>
      </c>
    </row>
    <row r="3345" spans="11:13" x14ac:dyDescent="0.2">
      <c r="K3345" t="s">
        <v>41</v>
      </c>
      <c r="L3345" t="s">
        <v>37</v>
      </c>
      <c r="M3345">
        <v>0</v>
      </c>
    </row>
    <row r="3346" spans="11:13" x14ac:dyDescent="0.2">
      <c r="K3346" t="s">
        <v>42</v>
      </c>
      <c r="L3346" t="s">
        <v>38</v>
      </c>
      <c r="M3346">
        <v>0</v>
      </c>
    </row>
    <row r="3347" spans="11:13" x14ac:dyDescent="0.2">
      <c r="K3347" t="s">
        <v>42</v>
      </c>
      <c r="L3347" t="s">
        <v>38</v>
      </c>
      <c r="M3347">
        <v>0</v>
      </c>
    </row>
    <row r="3348" spans="11:13" x14ac:dyDescent="0.2">
      <c r="K3348" t="s">
        <v>41</v>
      </c>
      <c r="L3348" t="s">
        <v>37</v>
      </c>
      <c r="M3348">
        <v>0</v>
      </c>
    </row>
    <row r="3349" spans="11:13" x14ac:dyDescent="0.2">
      <c r="K3349" t="s">
        <v>42</v>
      </c>
      <c r="L3349" t="s">
        <v>38</v>
      </c>
      <c r="M3349">
        <v>0</v>
      </c>
    </row>
    <row r="3350" spans="11:13" x14ac:dyDescent="0.2">
      <c r="K3350" t="s">
        <v>41</v>
      </c>
      <c r="L3350" t="s">
        <v>37</v>
      </c>
      <c r="M3350">
        <v>0</v>
      </c>
    </row>
    <row r="3351" spans="11:13" x14ac:dyDescent="0.2">
      <c r="K3351" t="s">
        <v>42</v>
      </c>
      <c r="L3351" t="s">
        <v>38</v>
      </c>
      <c r="M3351">
        <v>0</v>
      </c>
    </row>
    <row r="3352" spans="11:13" x14ac:dyDescent="0.2">
      <c r="K3352" t="s">
        <v>41</v>
      </c>
      <c r="L3352" t="s">
        <v>37</v>
      </c>
      <c r="M3352">
        <v>0</v>
      </c>
    </row>
    <row r="3353" spans="11:13" x14ac:dyDescent="0.2">
      <c r="K3353" t="s">
        <v>41</v>
      </c>
      <c r="L3353" t="s">
        <v>37</v>
      </c>
      <c r="M3353">
        <v>0</v>
      </c>
    </row>
    <row r="3354" spans="11:13" x14ac:dyDescent="0.2">
      <c r="K3354" t="s">
        <v>42</v>
      </c>
      <c r="L3354" t="s">
        <v>38</v>
      </c>
      <c r="M3354">
        <v>0</v>
      </c>
    </row>
    <row r="3355" spans="11:13" x14ac:dyDescent="0.2">
      <c r="K3355" t="s">
        <v>41</v>
      </c>
      <c r="L3355" t="s">
        <v>37</v>
      </c>
      <c r="M3355">
        <v>0</v>
      </c>
    </row>
    <row r="3356" spans="11:13" x14ac:dyDescent="0.2">
      <c r="K3356" t="s">
        <v>41</v>
      </c>
      <c r="L3356" t="s">
        <v>37</v>
      </c>
      <c r="M3356">
        <v>0</v>
      </c>
    </row>
    <row r="3357" spans="11:13" x14ac:dyDescent="0.2">
      <c r="K3357" t="s">
        <v>42</v>
      </c>
      <c r="L3357" t="s">
        <v>38</v>
      </c>
      <c r="M3357">
        <v>0</v>
      </c>
    </row>
    <row r="3358" spans="11:13" x14ac:dyDescent="0.2">
      <c r="K3358" t="s">
        <v>42</v>
      </c>
      <c r="L3358" t="s">
        <v>38</v>
      </c>
      <c r="M3358">
        <v>0</v>
      </c>
    </row>
    <row r="3359" spans="11:13" x14ac:dyDescent="0.2">
      <c r="K3359" t="s">
        <v>41</v>
      </c>
      <c r="L3359" t="s">
        <v>37</v>
      </c>
      <c r="M3359">
        <v>0</v>
      </c>
    </row>
    <row r="3360" spans="11:13" x14ac:dyDescent="0.2">
      <c r="K3360" t="s">
        <v>42</v>
      </c>
      <c r="L3360" t="s">
        <v>38</v>
      </c>
      <c r="M3360">
        <v>0</v>
      </c>
    </row>
    <row r="3361" spans="11:13" x14ac:dyDescent="0.2">
      <c r="K3361" t="s">
        <v>41</v>
      </c>
      <c r="L3361" t="s">
        <v>37</v>
      </c>
      <c r="M3361">
        <v>0</v>
      </c>
    </row>
    <row r="3362" spans="11:13" x14ac:dyDescent="0.2">
      <c r="K3362" t="s">
        <v>42</v>
      </c>
      <c r="L3362" t="s">
        <v>38</v>
      </c>
      <c r="M3362">
        <v>0</v>
      </c>
    </row>
    <row r="3363" spans="11:13" x14ac:dyDescent="0.2">
      <c r="K3363" t="s">
        <v>42</v>
      </c>
      <c r="L3363" t="s">
        <v>38</v>
      </c>
      <c r="M3363">
        <v>0</v>
      </c>
    </row>
    <row r="3364" spans="11:13" x14ac:dyDescent="0.2">
      <c r="K3364" t="s">
        <v>41</v>
      </c>
      <c r="L3364" t="s">
        <v>37</v>
      </c>
      <c r="M3364">
        <v>0</v>
      </c>
    </row>
    <row r="3365" spans="11:13" x14ac:dyDescent="0.2">
      <c r="K3365" t="s">
        <v>41</v>
      </c>
      <c r="L3365" t="s">
        <v>37</v>
      </c>
      <c r="M3365">
        <v>0</v>
      </c>
    </row>
    <row r="3366" spans="11:13" x14ac:dyDescent="0.2">
      <c r="K3366" t="s">
        <v>42</v>
      </c>
      <c r="L3366" t="s">
        <v>38</v>
      </c>
      <c r="M3366">
        <v>0</v>
      </c>
    </row>
    <row r="3367" spans="11:13" x14ac:dyDescent="0.2">
      <c r="K3367" t="s">
        <v>41</v>
      </c>
      <c r="L3367" t="s">
        <v>37</v>
      </c>
      <c r="M3367">
        <v>0</v>
      </c>
    </row>
    <row r="3368" spans="11:13" x14ac:dyDescent="0.2">
      <c r="K3368" t="s">
        <v>42</v>
      </c>
      <c r="L3368" t="s">
        <v>38</v>
      </c>
      <c r="M3368">
        <v>0</v>
      </c>
    </row>
    <row r="3369" spans="11:13" x14ac:dyDescent="0.2">
      <c r="K3369" t="s">
        <v>41</v>
      </c>
      <c r="L3369" t="s">
        <v>37</v>
      </c>
      <c r="M3369">
        <v>0</v>
      </c>
    </row>
    <row r="3370" spans="11:13" x14ac:dyDescent="0.2">
      <c r="K3370" t="s">
        <v>41</v>
      </c>
      <c r="L3370" t="s">
        <v>37</v>
      </c>
      <c r="M3370">
        <v>0</v>
      </c>
    </row>
    <row r="3371" spans="11:13" x14ac:dyDescent="0.2">
      <c r="K3371" t="s">
        <v>41</v>
      </c>
      <c r="L3371" t="s">
        <v>37</v>
      </c>
      <c r="M3371">
        <v>0</v>
      </c>
    </row>
    <row r="3372" spans="11:13" x14ac:dyDescent="0.2">
      <c r="K3372" t="s">
        <v>41</v>
      </c>
      <c r="L3372" t="s">
        <v>37</v>
      </c>
      <c r="M3372">
        <v>0</v>
      </c>
    </row>
    <row r="3373" spans="11:13" x14ac:dyDescent="0.2">
      <c r="K3373" t="s">
        <v>42</v>
      </c>
      <c r="L3373" t="s">
        <v>38</v>
      </c>
      <c r="M3373">
        <v>0</v>
      </c>
    </row>
    <row r="3374" spans="11:13" x14ac:dyDescent="0.2">
      <c r="K3374" t="s">
        <v>41</v>
      </c>
      <c r="L3374" t="s">
        <v>37</v>
      </c>
      <c r="M3374">
        <v>0</v>
      </c>
    </row>
    <row r="3375" spans="11:13" x14ac:dyDescent="0.2">
      <c r="K3375" t="s">
        <v>41</v>
      </c>
      <c r="L3375" t="s">
        <v>37</v>
      </c>
      <c r="M3375">
        <v>0</v>
      </c>
    </row>
    <row r="3376" spans="11:13" x14ac:dyDescent="0.2">
      <c r="K3376" t="s">
        <v>42</v>
      </c>
      <c r="L3376" t="s">
        <v>38</v>
      </c>
      <c r="M3376">
        <v>0</v>
      </c>
    </row>
    <row r="3377" spans="11:13" x14ac:dyDescent="0.2">
      <c r="K3377" t="s">
        <v>42</v>
      </c>
      <c r="L3377" t="s">
        <v>38</v>
      </c>
      <c r="M3377">
        <v>0</v>
      </c>
    </row>
    <row r="3378" spans="11:13" x14ac:dyDescent="0.2">
      <c r="K3378" t="s">
        <v>42</v>
      </c>
      <c r="L3378" t="s">
        <v>38</v>
      </c>
      <c r="M3378">
        <v>0</v>
      </c>
    </row>
    <row r="3379" spans="11:13" x14ac:dyDescent="0.2">
      <c r="K3379" t="s">
        <v>41</v>
      </c>
      <c r="L3379" t="s">
        <v>37</v>
      </c>
      <c r="M3379">
        <v>0</v>
      </c>
    </row>
    <row r="3380" spans="11:13" x14ac:dyDescent="0.2">
      <c r="K3380" t="s">
        <v>41</v>
      </c>
      <c r="L3380" t="s">
        <v>37</v>
      </c>
      <c r="M3380">
        <v>0</v>
      </c>
    </row>
    <row r="3381" spans="11:13" x14ac:dyDescent="0.2">
      <c r="K3381" t="s">
        <v>41</v>
      </c>
      <c r="L3381" t="s">
        <v>37</v>
      </c>
      <c r="M3381">
        <v>0</v>
      </c>
    </row>
    <row r="3382" spans="11:13" x14ac:dyDescent="0.2">
      <c r="K3382" t="s">
        <v>41</v>
      </c>
      <c r="L3382" t="s">
        <v>37</v>
      </c>
      <c r="M3382">
        <v>0</v>
      </c>
    </row>
    <row r="3383" spans="11:13" x14ac:dyDescent="0.2">
      <c r="K3383" t="s">
        <v>42</v>
      </c>
      <c r="L3383" t="s">
        <v>38</v>
      </c>
      <c r="M3383">
        <v>0</v>
      </c>
    </row>
    <row r="3384" spans="11:13" x14ac:dyDescent="0.2">
      <c r="K3384" t="s">
        <v>41</v>
      </c>
      <c r="L3384" t="s">
        <v>37</v>
      </c>
      <c r="M3384">
        <v>0</v>
      </c>
    </row>
    <row r="3385" spans="11:13" x14ac:dyDescent="0.2">
      <c r="K3385" t="s">
        <v>41</v>
      </c>
      <c r="L3385" t="s">
        <v>37</v>
      </c>
      <c r="M3385">
        <v>0</v>
      </c>
    </row>
    <row r="3386" spans="11:13" x14ac:dyDescent="0.2">
      <c r="K3386" t="s">
        <v>41</v>
      </c>
      <c r="L3386" t="s">
        <v>37</v>
      </c>
      <c r="M3386">
        <v>0</v>
      </c>
    </row>
    <row r="3387" spans="11:13" x14ac:dyDescent="0.2">
      <c r="K3387" t="s">
        <v>41</v>
      </c>
      <c r="L3387" t="s">
        <v>37</v>
      </c>
      <c r="M3387">
        <v>0</v>
      </c>
    </row>
    <row r="3388" spans="11:13" x14ac:dyDescent="0.2">
      <c r="K3388" t="s">
        <v>41</v>
      </c>
      <c r="L3388" t="s">
        <v>37</v>
      </c>
      <c r="M3388">
        <v>0</v>
      </c>
    </row>
    <row r="3389" spans="11:13" x14ac:dyDescent="0.2">
      <c r="K3389" t="s">
        <v>41</v>
      </c>
      <c r="L3389" t="s">
        <v>37</v>
      </c>
      <c r="M3389">
        <v>0</v>
      </c>
    </row>
    <row r="3390" spans="11:13" x14ac:dyDescent="0.2">
      <c r="K3390" t="s">
        <v>42</v>
      </c>
      <c r="L3390" t="s">
        <v>38</v>
      </c>
      <c r="M3390">
        <v>0</v>
      </c>
    </row>
    <row r="3391" spans="11:13" x14ac:dyDescent="0.2">
      <c r="K3391" t="s">
        <v>41</v>
      </c>
      <c r="L3391" t="s">
        <v>37</v>
      </c>
      <c r="M3391">
        <v>0</v>
      </c>
    </row>
    <row r="3392" spans="11:13" x14ac:dyDescent="0.2">
      <c r="K3392" t="s">
        <v>41</v>
      </c>
      <c r="L3392" t="s">
        <v>37</v>
      </c>
      <c r="M3392">
        <v>0</v>
      </c>
    </row>
    <row r="3393" spans="11:13" x14ac:dyDescent="0.2">
      <c r="K3393" t="s">
        <v>41</v>
      </c>
      <c r="L3393" t="s">
        <v>37</v>
      </c>
      <c r="M3393">
        <v>0</v>
      </c>
    </row>
    <row r="3394" spans="11:13" x14ac:dyDescent="0.2">
      <c r="K3394" t="s">
        <v>42</v>
      </c>
      <c r="L3394" t="s">
        <v>38</v>
      </c>
      <c r="M3394">
        <v>0</v>
      </c>
    </row>
    <row r="3395" spans="11:13" x14ac:dyDescent="0.2">
      <c r="K3395" t="s">
        <v>41</v>
      </c>
      <c r="L3395" t="s">
        <v>37</v>
      </c>
      <c r="M3395">
        <v>0</v>
      </c>
    </row>
    <row r="3396" spans="11:13" x14ac:dyDescent="0.2">
      <c r="K3396" t="s">
        <v>42</v>
      </c>
      <c r="L3396" t="s">
        <v>38</v>
      </c>
      <c r="M3396">
        <v>0</v>
      </c>
    </row>
    <row r="3397" spans="11:13" x14ac:dyDescent="0.2">
      <c r="K3397" t="s">
        <v>42</v>
      </c>
      <c r="L3397" t="s">
        <v>38</v>
      </c>
      <c r="M3397">
        <v>0</v>
      </c>
    </row>
    <row r="3398" spans="11:13" x14ac:dyDescent="0.2">
      <c r="K3398" t="s">
        <v>42</v>
      </c>
      <c r="L3398" t="s">
        <v>38</v>
      </c>
      <c r="M3398">
        <v>0</v>
      </c>
    </row>
    <row r="3399" spans="11:13" x14ac:dyDescent="0.2">
      <c r="K3399" t="s">
        <v>42</v>
      </c>
      <c r="L3399" t="s">
        <v>38</v>
      </c>
      <c r="M3399">
        <v>0</v>
      </c>
    </row>
    <row r="3400" spans="11:13" x14ac:dyDescent="0.2">
      <c r="K3400" t="s">
        <v>41</v>
      </c>
      <c r="L3400" t="s">
        <v>37</v>
      </c>
      <c r="M3400">
        <v>0</v>
      </c>
    </row>
    <row r="3401" spans="11:13" x14ac:dyDescent="0.2">
      <c r="K3401" t="s">
        <v>42</v>
      </c>
      <c r="L3401" t="s">
        <v>38</v>
      </c>
      <c r="M3401">
        <v>0</v>
      </c>
    </row>
    <row r="3402" spans="11:13" x14ac:dyDescent="0.2">
      <c r="K3402" t="s">
        <v>42</v>
      </c>
      <c r="L3402" t="s">
        <v>38</v>
      </c>
      <c r="M3402">
        <v>0</v>
      </c>
    </row>
    <row r="3403" spans="11:13" x14ac:dyDescent="0.2">
      <c r="K3403" t="s">
        <v>41</v>
      </c>
      <c r="L3403" t="s">
        <v>37</v>
      </c>
      <c r="M3403">
        <v>0</v>
      </c>
    </row>
    <row r="3404" spans="11:13" x14ac:dyDescent="0.2">
      <c r="K3404" t="s">
        <v>41</v>
      </c>
      <c r="L3404" t="s">
        <v>37</v>
      </c>
      <c r="M3404">
        <v>0</v>
      </c>
    </row>
    <row r="3405" spans="11:13" x14ac:dyDescent="0.2">
      <c r="K3405" t="s">
        <v>41</v>
      </c>
      <c r="L3405" t="s">
        <v>37</v>
      </c>
      <c r="M3405">
        <v>0</v>
      </c>
    </row>
    <row r="3406" spans="11:13" x14ac:dyDescent="0.2">
      <c r="K3406" t="s">
        <v>42</v>
      </c>
      <c r="L3406" t="s">
        <v>38</v>
      </c>
      <c r="M3406">
        <v>0</v>
      </c>
    </row>
    <row r="3407" spans="11:13" x14ac:dyDescent="0.2">
      <c r="K3407" t="s">
        <v>41</v>
      </c>
      <c r="L3407" t="s">
        <v>37</v>
      </c>
      <c r="M3407">
        <v>0</v>
      </c>
    </row>
    <row r="3408" spans="11:13" x14ac:dyDescent="0.2">
      <c r="K3408" t="s">
        <v>41</v>
      </c>
      <c r="L3408" t="s">
        <v>37</v>
      </c>
      <c r="M3408">
        <v>0</v>
      </c>
    </row>
    <row r="3409" spans="11:13" x14ac:dyDescent="0.2">
      <c r="K3409" t="s">
        <v>41</v>
      </c>
      <c r="L3409" t="s">
        <v>37</v>
      </c>
      <c r="M3409">
        <v>0</v>
      </c>
    </row>
    <row r="3410" spans="11:13" x14ac:dyDescent="0.2">
      <c r="K3410" t="s">
        <v>42</v>
      </c>
      <c r="L3410" t="s">
        <v>38</v>
      </c>
      <c r="M3410">
        <v>0</v>
      </c>
    </row>
    <row r="3411" spans="11:13" x14ac:dyDescent="0.2">
      <c r="K3411" t="s">
        <v>41</v>
      </c>
      <c r="L3411" t="s">
        <v>37</v>
      </c>
      <c r="M3411">
        <v>0</v>
      </c>
    </row>
    <row r="3412" spans="11:13" x14ac:dyDescent="0.2">
      <c r="K3412" t="s">
        <v>41</v>
      </c>
      <c r="L3412" t="s">
        <v>37</v>
      </c>
      <c r="M3412">
        <v>0</v>
      </c>
    </row>
    <row r="3413" spans="11:13" x14ac:dyDescent="0.2">
      <c r="K3413" t="s">
        <v>41</v>
      </c>
      <c r="L3413" t="s">
        <v>37</v>
      </c>
      <c r="M3413">
        <v>0</v>
      </c>
    </row>
    <row r="3414" spans="11:13" x14ac:dyDescent="0.2">
      <c r="K3414" t="s">
        <v>42</v>
      </c>
      <c r="L3414" t="s">
        <v>38</v>
      </c>
      <c r="M3414">
        <v>0</v>
      </c>
    </row>
    <row r="3415" spans="11:13" x14ac:dyDescent="0.2">
      <c r="K3415" t="s">
        <v>42</v>
      </c>
      <c r="L3415" t="s">
        <v>38</v>
      </c>
      <c r="M3415">
        <v>0</v>
      </c>
    </row>
    <row r="3416" spans="11:13" x14ac:dyDescent="0.2">
      <c r="K3416" t="s">
        <v>41</v>
      </c>
      <c r="L3416" t="s">
        <v>37</v>
      </c>
      <c r="M3416">
        <v>0</v>
      </c>
    </row>
    <row r="3417" spans="11:13" x14ac:dyDescent="0.2">
      <c r="K3417" t="s">
        <v>41</v>
      </c>
      <c r="L3417" t="s">
        <v>37</v>
      </c>
      <c r="M3417">
        <v>0</v>
      </c>
    </row>
    <row r="3418" spans="11:13" x14ac:dyDescent="0.2">
      <c r="K3418" t="s">
        <v>41</v>
      </c>
      <c r="L3418" t="s">
        <v>37</v>
      </c>
      <c r="M3418">
        <v>0</v>
      </c>
    </row>
    <row r="3419" spans="11:13" x14ac:dyDescent="0.2">
      <c r="K3419" t="s">
        <v>41</v>
      </c>
      <c r="L3419" t="s">
        <v>37</v>
      </c>
      <c r="M3419">
        <v>0</v>
      </c>
    </row>
    <row r="3420" spans="11:13" x14ac:dyDescent="0.2">
      <c r="K3420" t="s">
        <v>41</v>
      </c>
      <c r="L3420" t="s">
        <v>37</v>
      </c>
      <c r="M3420">
        <v>0</v>
      </c>
    </row>
    <row r="3421" spans="11:13" x14ac:dyDescent="0.2">
      <c r="K3421" t="s">
        <v>41</v>
      </c>
      <c r="L3421" t="s">
        <v>37</v>
      </c>
      <c r="M3421">
        <v>0</v>
      </c>
    </row>
    <row r="3422" spans="11:13" x14ac:dyDescent="0.2">
      <c r="K3422" t="s">
        <v>41</v>
      </c>
      <c r="L3422" t="s">
        <v>37</v>
      </c>
      <c r="M3422">
        <v>0</v>
      </c>
    </row>
    <row r="3423" spans="11:13" x14ac:dyDescent="0.2">
      <c r="K3423" t="s">
        <v>41</v>
      </c>
      <c r="L3423" t="s">
        <v>37</v>
      </c>
      <c r="M3423">
        <v>0</v>
      </c>
    </row>
    <row r="3424" spans="11:13" x14ac:dyDescent="0.2">
      <c r="K3424" t="s">
        <v>42</v>
      </c>
      <c r="L3424" t="s">
        <v>38</v>
      </c>
      <c r="M3424">
        <v>0</v>
      </c>
    </row>
    <row r="3425" spans="11:13" x14ac:dyDescent="0.2">
      <c r="K3425" t="s">
        <v>41</v>
      </c>
      <c r="L3425" t="s">
        <v>37</v>
      </c>
      <c r="M3425">
        <v>0</v>
      </c>
    </row>
    <row r="3426" spans="11:13" x14ac:dyDescent="0.2">
      <c r="K3426" t="s">
        <v>42</v>
      </c>
      <c r="L3426" t="s">
        <v>38</v>
      </c>
      <c r="M3426">
        <v>0</v>
      </c>
    </row>
    <row r="3427" spans="11:13" x14ac:dyDescent="0.2">
      <c r="K3427" t="s">
        <v>41</v>
      </c>
      <c r="L3427" t="s">
        <v>37</v>
      </c>
      <c r="M3427">
        <v>0</v>
      </c>
    </row>
    <row r="3428" spans="11:13" x14ac:dyDescent="0.2">
      <c r="K3428" t="s">
        <v>41</v>
      </c>
      <c r="L3428" t="s">
        <v>37</v>
      </c>
      <c r="M3428">
        <v>0</v>
      </c>
    </row>
    <row r="3429" spans="11:13" x14ac:dyDescent="0.2">
      <c r="K3429" t="s">
        <v>42</v>
      </c>
      <c r="L3429" t="s">
        <v>38</v>
      </c>
      <c r="M3429">
        <v>0</v>
      </c>
    </row>
    <row r="3430" spans="11:13" x14ac:dyDescent="0.2">
      <c r="K3430" t="s">
        <v>42</v>
      </c>
      <c r="L3430" t="s">
        <v>38</v>
      </c>
      <c r="M3430">
        <v>0</v>
      </c>
    </row>
    <row r="3431" spans="11:13" x14ac:dyDescent="0.2">
      <c r="K3431" t="s">
        <v>41</v>
      </c>
      <c r="L3431" t="s">
        <v>37</v>
      </c>
      <c r="M3431">
        <v>0</v>
      </c>
    </row>
    <row r="3432" spans="11:13" x14ac:dyDescent="0.2">
      <c r="K3432" t="s">
        <v>42</v>
      </c>
      <c r="L3432" t="s">
        <v>38</v>
      </c>
      <c r="M3432">
        <v>0</v>
      </c>
    </row>
    <row r="3433" spans="11:13" x14ac:dyDescent="0.2">
      <c r="K3433" t="s">
        <v>41</v>
      </c>
      <c r="L3433" t="s">
        <v>37</v>
      </c>
      <c r="M3433">
        <v>0</v>
      </c>
    </row>
    <row r="3434" spans="11:13" x14ac:dyDescent="0.2">
      <c r="K3434" t="s">
        <v>42</v>
      </c>
      <c r="L3434" t="s">
        <v>38</v>
      </c>
      <c r="M3434">
        <v>0</v>
      </c>
    </row>
    <row r="3435" spans="11:13" x14ac:dyDescent="0.2">
      <c r="K3435" t="s">
        <v>41</v>
      </c>
      <c r="L3435" t="s">
        <v>37</v>
      </c>
      <c r="M3435">
        <v>0</v>
      </c>
    </row>
    <row r="3436" spans="11:13" x14ac:dyDescent="0.2">
      <c r="K3436" t="s">
        <v>41</v>
      </c>
      <c r="L3436" t="s">
        <v>37</v>
      </c>
      <c r="M3436">
        <v>0</v>
      </c>
    </row>
    <row r="3437" spans="11:13" x14ac:dyDescent="0.2">
      <c r="K3437" t="s">
        <v>41</v>
      </c>
      <c r="L3437" t="s">
        <v>37</v>
      </c>
      <c r="M3437">
        <v>0</v>
      </c>
    </row>
    <row r="3438" spans="11:13" x14ac:dyDescent="0.2">
      <c r="K3438" t="s">
        <v>41</v>
      </c>
      <c r="L3438" t="s">
        <v>37</v>
      </c>
      <c r="M3438">
        <v>0</v>
      </c>
    </row>
    <row r="3439" spans="11:13" x14ac:dyDescent="0.2">
      <c r="K3439" t="s">
        <v>41</v>
      </c>
      <c r="L3439" t="s">
        <v>37</v>
      </c>
      <c r="M3439">
        <v>0</v>
      </c>
    </row>
    <row r="3440" spans="11:13" x14ac:dyDescent="0.2">
      <c r="K3440" t="s">
        <v>42</v>
      </c>
      <c r="L3440" t="s">
        <v>38</v>
      </c>
      <c r="M3440">
        <v>0</v>
      </c>
    </row>
    <row r="3441" spans="11:13" x14ac:dyDescent="0.2">
      <c r="K3441" t="s">
        <v>41</v>
      </c>
      <c r="L3441" t="s">
        <v>37</v>
      </c>
      <c r="M3441">
        <v>0</v>
      </c>
    </row>
    <row r="3442" spans="11:13" x14ac:dyDescent="0.2">
      <c r="K3442" t="s">
        <v>41</v>
      </c>
      <c r="L3442" t="s">
        <v>37</v>
      </c>
      <c r="M3442">
        <v>0</v>
      </c>
    </row>
    <row r="3443" spans="11:13" x14ac:dyDescent="0.2">
      <c r="K3443" t="s">
        <v>41</v>
      </c>
      <c r="L3443" t="s">
        <v>37</v>
      </c>
      <c r="M3443">
        <v>0</v>
      </c>
    </row>
    <row r="3444" spans="11:13" x14ac:dyDescent="0.2">
      <c r="K3444" t="s">
        <v>41</v>
      </c>
      <c r="L3444" t="s">
        <v>37</v>
      </c>
      <c r="M3444">
        <v>0</v>
      </c>
    </row>
    <row r="3445" spans="11:13" x14ac:dyDescent="0.2">
      <c r="K3445" t="s">
        <v>42</v>
      </c>
      <c r="L3445" t="s">
        <v>38</v>
      </c>
      <c r="M3445">
        <v>0</v>
      </c>
    </row>
    <row r="3446" spans="11:13" x14ac:dyDescent="0.2">
      <c r="K3446" t="s">
        <v>41</v>
      </c>
      <c r="L3446" t="s">
        <v>37</v>
      </c>
      <c r="M3446">
        <v>0</v>
      </c>
    </row>
    <row r="3447" spans="11:13" x14ac:dyDescent="0.2">
      <c r="K3447" t="s">
        <v>42</v>
      </c>
      <c r="L3447" t="s">
        <v>38</v>
      </c>
      <c r="M3447">
        <v>0</v>
      </c>
    </row>
    <row r="3448" spans="11:13" x14ac:dyDescent="0.2">
      <c r="K3448" t="s">
        <v>42</v>
      </c>
      <c r="L3448" t="s">
        <v>38</v>
      </c>
      <c r="M3448">
        <v>0</v>
      </c>
    </row>
    <row r="3449" spans="11:13" x14ac:dyDescent="0.2">
      <c r="K3449" t="s">
        <v>41</v>
      </c>
      <c r="L3449" t="s">
        <v>37</v>
      </c>
      <c r="M3449">
        <v>0</v>
      </c>
    </row>
    <row r="3450" spans="11:13" x14ac:dyDescent="0.2">
      <c r="K3450" t="s">
        <v>42</v>
      </c>
      <c r="L3450" t="s">
        <v>38</v>
      </c>
      <c r="M3450">
        <v>0</v>
      </c>
    </row>
    <row r="3451" spans="11:13" x14ac:dyDescent="0.2">
      <c r="K3451" t="s">
        <v>42</v>
      </c>
      <c r="L3451" t="s">
        <v>38</v>
      </c>
      <c r="M3451">
        <v>0</v>
      </c>
    </row>
    <row r="3452" spans="11:13" x14ac:dyDescent="0.2">
      <c r="K3452" t="s">
        <v>41</v>
      </c>
      <c r="L3452" t="s">
        <v>37</v>
      </c>
      <c r="M3452">
        <v>0</v>
      </c>
    </row>
    <row r="3453" spans="11:13" x14ac:dyDescent="0.2">
      <c r="K3453" t="s">
        <v>42</v>
      </c>
      <c r="L3453" t="s">
        <v>38</v>
      </c>
      <c r="M3453">
        <v>0</v>
      </c>
    </row>
    <row r="3454" spans="11:13" x14ac:dyDescent="0.2">
      <c r="K3454" t="s">
        <v>41</v>
      </c>
      <c r="L3454" t="s">
        <v>37</v>
      </c>
      <c r="M3454">
        <v>0</v>
      </c>
    </row>
    <row r="3455" spans="11:13" x14ac:dyDescent="0.2">
      <c r="K3455" t="s">
        <v>41</v>
      </c>
      <c r="L3455" t="s">
        <v>37</v>
      </c>
      <c r="M3455">
        <v>0</v>
      </c>
    </row>
    <row r="3456" spans="11:13" x14ac:dyDescent="0.2">
      <c r="K3456" t="s">
        <v>42</v>
      </c>
      <c r="L3456" t="s">
        <v>38</v>
      </c>
      <c r="M3456">
        <v>0</v>
      </c>
    </row>
    <row r="3457" spans="11:13" x14ac:dyDescent="0.2">
      <c r="K3457" t="s">
        <v>41</v>
      </c>
      <c r="L3457" t="s">
        <v>37</v>
      </c>
      <c r="M3457">
        <v>0</v>
      </c>
    </row>
    <row r="3458" spans="11:13" x14ac:dyDescent="0.2">
      <c r="K3458" t="s">
        <v>41</v>
      </c>
      <c r="L3458" t="s">
        <v>37</v>
      </c>
      <c r="M3458">
        <v>0</v>
      </c>
    </row>
    <row r="3459" spans="11:13" x14ac:dyDescent="0.2">
      <c r="K3459" t="s">
        <v>42</v>
      </c>
      <c r="L3459" t="s">
        <v>38</v>
      </c>
      <c r="M3459">
        <v>0</v>
      </c>
    </row>
    <row r="3460" spans="11:13" x14ac:dyDescent="0.2">
      <c r="K3460" t="s">
        <v>42</v>
      </c>
      <c r="L3460" t="s">
        <v>38</v>
      </c>
      <c r="M3460">
        <v>0</v>
      </c>
    </row>
    <row r="3461" spans="11:13" x14ac:dyDescent="0.2">
      <c r="K3461" t="s">
        <v>42</v>
      </c>
      <c r="L3461" t="s">
        <v>38</v>
      </c>
      <c r="M3461">
        <v>0</v>
      </c>
    </row>
    <row r="3462" spans="11:13" x14ac:dyDescent="0.2">
      <c r="K3462" t="s">
        <v>41</v>
      </c>
      <c r="L3462" t="s">
        <v>37</v>
      </c>
      <c r="M3462">
        <v>0</v>
      </c>
    </row>
    <row r="3463" spans="11:13" x14ac:dyDescent="0.2">
      <c r="K3463" t="s">
        <v>42</v>
      </c>
      <c r="L3463" t="s">
        <v>38</v>
      </c>
      <c r="M3463">
        <v>0</v>
      </c>
    </row>
    <row r="3464" spans="11:13" x14ac:dyDescent="0.2">
      <c r="K3464" t="s">
        <v>41</v>
      </c>
      <c r="L3464" t="s">
        <v>37</v>
      </c>
      <c r="M3464">
        <v>0</v>
      </c>
    </row>
    <row r="3465" spans="11:13" x14ac:dyDescent="0.2">
      <c r="K3465" t="s">
        <v>41</v>
      </c>
      <c r="L3465" t="s">
        <v>37</v>
      </c>
      <c r="M3465">
        <v>0</v>
      </c>
    </row>
    <row r="3466" spans="11:13" x14ac:dyDescent="0.2">
      <c r="K3466" t="s">
        <v>42</v>
      </c>
      <c r="L3466" t="s">
        <v>38</v>
      </c>
      <c r="M3466">
        <v>0</v>
      </c>
    </row>
    <row r="3467" spans="11:13" x14ac:dyDescent="0.2">
      <c r="K3467" t="s">
        <v>41</v>
      </c>
      <c r="L3467" t="s">
        <v>37</v>
      </c>
      <c r="M3467">
        <v>0</v>
      </c>
    </row>
    <row r="3468" spans="11:13" x14ac:dyDescent="0.2">
      <c r="K3468" t="s">
        <v>41</v>
      </c>
      <c r="L3468" t="s">
        <v>37</v>
      </c>
      <c r="M3468">
        <v>0</v>
      </c>
    </row>
    <row r="3469" spans="11:13" x14ac:dyDescent="0.2">
      <c r="K3469" t="s">
        <v>41</v>
      </c>
      <c r="L3469" t="s">
        <v>37</v>
      </c>
      <c r="M3469">
        <v>0</v>
      </c>
    </row>
    <row r="3470" spans="11:13" x14ac:dyDescent="0.2">
      <c r="K3470" t="s">
        <v>42</v>
      </c>
      <c r="L3470" t="s">
        <v>38</v>
      </c>
      <c r="M3470">
        <v>0</v>
      </c>
    </row>
    <row r="3471" spans="11:13" x14ac:dyDescent="0.2">
      <c r="K3471" t="s">
        <v>42</v>
      </c>
      <c r="L3471" t="s">
        <v>38</v>
      </c>
      <c r="M3471">
        <v>0</v>
      </c>
    </row>
    <row r="3472" spans="11:13" x14ac:dyDescent="0.2">
      <c r="K3472" t="s">
        <v>42</v>
      </c>
      <c r="L3472" t="s">
        <v>38</v>
      </c>
      <c r="M3472">
        <v>0</v>
      </c>
    </row>
    <row r="3473" spans="11:13" x14ac:dyDescent="0.2">
      <c r="K3473" t="s">
        <v>42</v>
      </c>
      <c r="L3473" t="s">
        <v>38</v>
      </c>
      <c r="M3473">
        <v>0</v>
      </c>
    </row>
    <row r="3474" spans="11:13" x14ac:dyDescent="0.2">
      <c r="K3474" t="s">
        <v>42</v>
      </c>
      <c r="L3474" t="s">
        <v>38</v>
      </c>
      <c r="M3474">
        <v>0</v>
      </c>
    </row>
    <row r="3475" spans="11:13" x14ac:dyDescent="0.2">
      <c r="K3475" t="s">
        <v>41</v>
      </c>
      <c r="L3475" t="s">
        <v>37</v>
      </c>
      <c r="M3475">
        <v>0</v>
      </c>
    </row>
    <row r="3476" spans="11:13" x14ac:dyDescent="0.2">
      <c r="K3476" t="s">
        <v>41</v>
      </c>
      <c r="L3476" t="s">
        <v>37</v>
      </c>
      <c r="M3476">
        <v>0</v>
      </c>
    </row>
    <row r="3477" spans="11:13" x14ac:dyDescent="0.2">
      <c r="K3477" t="s">
        <v>41</v>
      </c>
      <c r="L3477" t="s">
        <v>37</v>
      </c>
      <c r="M3477">
        <v>0</v>
      </c>
    </row>
    <row r="3478" spans="11:13" x14ac:dyDescent="0.2">
      <c r="K3478" t="s">
        <v>41</v>
      </c>
      <c r="L3478" t="s">
        <v>37</v>
      </c>
      <c r="M3478">
        <v>0</v>
      </c>
    </row>
    <row r="3479" spans="11:13" x14ac:dyDescent="0.2">
      <c r="K3479" t="s">
        <v>42</v>
      </c>
      <c r="L3479" t="s">
        <v>38</v>
      </c>
      <c r="M3479">
        <v>0</v>
      </c>
    </row>
    <row r="3480" spans="11:13" x14ac:dyDescent="0.2">
      <c r="K3480" t="s">
        <v>42</v>
      </c>
      <c r="L3480" t="s">
        <v>38</v>
      </c>
      <c r="M3480">
        <v>0</v>
      </c>
    </row>
    <row r="3481" spans="11:13" x14ac:dyDescent="0.2">
      <c r="K3481" t="s">
        <v>42</v>
      </c>
      <c r="L3481" t="s">
        <v>38</v>
      </c>
      <c r="M3481">
        <v>0</v>
      </c>
    </row>
    <row r="3482" spans="11:13" x14ac:dyDescent="0.2">
      <c r="K3482" t="s">
        <v>41</v>
      </c>
      <c r="L3482" t="s">
        <v>37</v>
      </c>
      <c r="M3482">
        <v>0</v>
      </c>
    </row>
    <row r="3483" spans="11:13" x14ac:dyDescent="0.2">
      <c r="K3483" t="s">
        <v>41</v>
      </c>
      <c r="L3483" t="s">
        <v>37</v>
      </c>
      <c r="M3483">
        <v>0</v>
      </c>
    </row>
    <row r="3484" spans="11:13" x14ac:dyDescent="0.2">
      <c r="K3484" t="s">
        <v>42</v>
      </c>
      <c r="L3484" t="s">
        <v>38</v>
      </c>
      <c r="M3484">
        <v>0</v>
      </c>
    </row>
    <row r="3485" spans="11:13" x14ac:dyDescent="0.2">
      <c r="K3485" t="s">
        <v>42</v>
      </c>
      <c r="L3485" t="s">
        <v>38</v>
      </c>
      <c r="M3485">
        <v>0</v>
      </c>
    </row>
    <row r="3486" spans="11:13" x14ac:dyDescent="0.2">
      <c r="K3486" t="s">
        <v>41</v>
      </c>
      <c r="L3486" t="s">
        <v>37</v>
      </c>
      <c r="M3486">
        <v>0</v>
      </c>
    </row>
    <row r="3487" spans="11:13" x14ac:dyDescent="0.2">
      <c r="K3487" t="s">
        <v>41</v>
      </c>
      <c r="L3487" t="s">
        <v>37</v>
      </c>
      <c r="M3487">
        <v>0</v>
      </c>
    </row>
    <row r="3488" spans="11:13" x14ac:dyDescent="0.2">
      <c r="K3488" t="s">
        <v>41</v>
      </c>
      <c r="L3488" t="s">
        <v>37</v>
      </c>
      <c r="M3488">
        <v>0</v>
      </c>
    </row>
    <row r="3489" spans="11:13" x14ac:dyDescent="0.2">
      <c r="K3489" t="s">
        <v>42</v>
      </c>
      <c r="L3489" t="s">
        <v>38</v>
      </c>
      <c r="M3489">
        <v>0</v>
      </c>
    </row>
    <row r="3490" spans="11:13" x14ac:dyDescent="0.2">
      <c r="K3490" t="s">
        <v>42</v>
      </c>
      <c r="L3490" t="s">
        <v>38</v>
      </c>
      <c r="M3490">
        <v>0</v>
      </c>
    </row>
    <row r="3491" spans="11:13" x14ac:dyDescent="0.2">
      <c r="K3491" t="s">
        <v>41</v>
      </c>
      <c r="L3491" t="s">
        <v>37</v>
      </c>
      <c r="M3491">
        <v>0</v>
      </c>
    </row>
    <row r="3492" spans="11:13" x14ac:dyDescent="0.2">
      <c r="K3492" t="s">
        <v>42</v>
      </c>
      <c r="L3492" t="s">
        <v>38</v>
      </c>
      <c r="M3492">
        <v>0</v>
      </c>
    </row>
    <row r="3493" spans="11:13" x14ac:dyDescent="0.2">
      <c r="K3493" t="s">
        <v>42</v>
      </c>
      <c r="L3493" t="s">
        <v>38</v>
      </c>
      <c r="M3493">
        <v>0</v>
      </c>
    </row>
    <row r="3494" spans="11:13" x14ac:dyDescent="0.2">
      <c r="K3494" t="s">
        <v>41</v>
      </c>
      <c r="L3494" t="s">
        <v>37</v>
      </c>
      <c r="M3494">
        <v>0</v>
      </c>
    </row>
    <row r="3495" spans="11:13" x14ac:dyDescent="0.2">
      <c r="K3495" t="s">
        <v>41</v>
      </c>
      <c r="L3495" t="s">
        <v>37</v>
      </c>
      <c r="M3495">
        <v>0</v>
      </c>
    </row>
    <row r="3496" spans="11:13" x14ac:dyDescent="0.2">
      <c r="K3496" t="s">
        <v>42</v>
      </c>
      <c r="L3496" t="s">
        <v>38</v>
      </c>
      <c r="M3496">
        <v>0</v>
      </c>
    </row>
    <row r="3497" spans="11:13" x14ac:dyDescent="0.2">
      <c r="K3497" t="s">
        <v>42</v>
      </c>
      <c r="L3497" t="s">
        <v>38</v>
      </c>
      <c r="M3497">
        <v>0</v>
      </c>
    </row>
    <row r="3498" spans="11:13" x14ac:dyDescent="0.2">
      <c r="K3498" t="s">
        <v>42</v>
      </c>
      <c r="L3498" t="s">
        <v>38</v>
      </c>
      <c r="M3498">
        <v>0</v>
      </c>
    </row>
    <row r="3499" spans="11:13" x14ac:dyDescent="0.2">
      <c r="K3499" t="s">
        <v>41</v>
      </c>
      <c r="L3499" t="s">
        <v>37</v>
      </c>
      <c r="M3499">
        <v>0</v>
      </c>
    </row>
    <row r="3500" spans="11:13" x14ac:dyDescent="0.2">
      <c r="K3500" t="s">
        <v>42</v>
      </c>
      <c r="L3500" t="s">
        <v>38</v>
      </c>
      <c r="M3500">
        <v>0</v>
      </c>
    </row>
    <row r="3501" spans="11:13" x14ac:dyDescent="0.2">
      <c r="K3501" t="s">
        <v>41</v>
      </c>
      <c r="L3501" t="s">
        <v>37</v>
      </c>
      <c r="M3501">
        <v>0</v>
      </c>
    </row>
    <row r="3502" spans="11:13" x14ac:dyDescent="0.2">
      <c r="K3502" t="s">
        <v>41</v>
      </c>
      <c r="L3502" t="s">
        <v>37</v>
      </c>
      <c r="M3502">
        <v>0</v>
      </c>
    </row>
    <row r="3503" spans="11:13" x14ac:dyDescent="0.2">
      <c r="K3503" t="s">
        <v>41</v>
      </c>
      <c r="L3503" t="s">
        <v>37</v>
      </c>
      <c r="M3503">
        <v>0</v>
      </c>
    </row>
    <row r="3504" spans="11:13" x14ac:dyDescent="0.2">
      <c r="K3504" t="s">
        <v>41</v>
      </c>
      <c r="L3504" t="s">
        <v>37</v>
      </c>
      <c r="M3504">
        <v>0</v>
      </c>
    </row>
    <row r="3505" spans="11:13" x14ac:dyDescent="0.2">
      <c r="K3505" t="s">
        <v>42</v>
      </c>
      <c r="L3505" t="s">
        <v>38</v>
      </c>
      <c r="M3505">
        <v>0</v>
      </c>
    </row>
    <row r="3506" spans="11:13" x14ac:dyDescent="0.2">
      <c r="K3506" t="s">
        <v>42</v>
      </c>
      <c r="L3506" t="s">
        <v>38</v>
      </c>
      <c r="M3506">
        <v>0</v>
      </c>
    </row>
    <row r="3507" spans="11:13" x14ac:dyDescent="0.2">
      <c r="K3507" t="s">
        <v>41</v>
      </c>
      <c r="L3507" t="s">
        <v>37</v>
      </c>
      <c r="M3507">
        <v>0</v>
      </c>
    </row>
    <row r="3508" spans="11:13" x14ac:dyDescent="0.2">
      <c r="K3508" t="s">
        <v>42</v>
      </c>
      <c r="L3508" t="s">
        <v>38</v>
      </c>
      <c r="M3508">
        <v>0</v>
      </c>
    </row>
    <row r="3509" spans="11:13" x14ac:dyDescent="0.2">
      <c r="K3509" t="s">
        <v>41</v>
      </c>
      <c r="L3509" t="s">
        <v>37</v>
      </c>
      <c r="M3509">
        <v>0</v>
      </c>
    </row>
    <row r="3510" spans="11:13" x14ac:dyDescent="0.2">
      <c r="K3510" t="s">
        <v>41</v>
      </c>
      <c r="L3510" t="s">
        <v>37</v>
      </c>
      <c r="M3510">
        <v>0</v>
      </c>
    </row>
    <row r="3511" spans="11:13" x14ac:dyDescent="0.2">
      <c r="K3511" t="s">
        <v>42</v>
      </c>
      <c r="L3511" t="s">
        <v>38</v>
      </c>
      <c r="M3511">
        <v>0</v>
      </c>
    </row>
    <row r="3512" spans="11:13" x14ac:dyDescent="0.2">
      <c r="K3512" t="s">
        <v>42</v>
      </c>
      <c r="L3512" t="s">
        <v>38</v>
      </c>
      <c r="M3512">
        <v>0</v>
      </c>
    </row>
    <row r="3513" spans="11:13" x14ac:dyDescent="0.2">
      <c r="K3513" t="s">
        <v>42</v>
      </c>
      <c r="L3513" t="s">
        <v>38</v>
      </c>
      <c r="M3513">
        <v>0</v>
      </c>
    </row>
    <row r="3514" spans="11:13" x14ac:dyDescent="0.2">
      <c r="K3514" t="s">
        <v>41</v>
      </c>
      <c r="L3514" t="s">
        <v>37</v>
      </c>
      <c r="M3514">
        <v>1</v>
      </c>
    </row>
    <row r="3515" spans="11:13" x14ac:dyDescent="0.2">
      <c r="K3515" t="s">
        <v>41</v>
      </c>
      <c r="L3515" t="s">
        <v>37</v>
      </c>
      <c r="M3515">
        <v>0</v>
      </c>
    </row>
    <row r="3516" spans="11:13" x14ac:dyDescent="0.2">
      <c r="K3516" t="s">
        <v>41</v>
      </c>
      <c r="L3516" t="s">
        <v>37</v>
      </c>
      <c r="M3516">
        <v>0</v>
      </c>
    </row>
    <row r="3517" spans="11:13" x14ac:dyDescent="0.2">
      <c r="K3517" t="s">
        <v>42</v>
      </c>
      <c r="L3517" t="s">
        <v>38</v>
      </c>
      <c r="M3517">
        <v>0</v>
      </c>
    </row>
    <row r="3518" spans="11:13" x14ac:dyDescent="0.2">
      <c r="K3518" t="s">
        <v>42</v>
      </c>
      <c r="L3518" t="s">
        <v>38</v>
      </c>
      <c r="M3518">
        <v>0</v>
      </c>
    </row>
    <row r="3519" spans="11:13" x14ac:dyDescent="0.2">
      <c r="K3519" t="s">
        <v>41</v>
      </c>
      <c r="L3519" t="s">
        <v>37</v>
      </c>
      <c r="M3519">
        <v>0</v>
      </c>
    </row>
    <row r="3520" spans="11:13" x14ac:dyDescent="0.2">
      <c r="K3520" t="s">
        <v>41</v>
      </c>
      <c r="L3520" t="s">
        <v>37</v>
      </c>
      <c r="M3520">
        <v>0</v>
      </c>
    </row>
    <row r="3521" spans="11:13" x14ac:dyDescent="0.2">
      <c r="K3521" t="s">
        <v>42</v>
      </c>
      <c r="L3521" t="s">
        <v>38</v>
      </c>
      <c r="M3521">
        <v>0</v>
      </c>
    </row>
    <row r="3522" spans="11:13" x14ac:dyDescent="0.2">
      <c r="K3522" t="s">
        <v>41</v>
      </c>
      <c r="L3522" t="s">
        <v>37</v>
      </c>
      <c r="M3522">
        <v>0</v>
      </c>
    </row>
    <row r="3523" spans="11:13" x14ac:dyDescent="0.2">
      <c r="K3523" t="s">
        <v>42</v>
      </c>
      <c r="L3523" t="s">
        <v>38</v>
      </c>
      <c r="M3523">
        <v>0</v>
      </c>
    </row>
    <row r="3524" spans="11:13" x14ac:dyDescent="0.2">
      <c r="K3524" t="s">
        <v>41</v>
      </c>
      <c r="L3524" t="s">
        <v>37</v>
      </c>
      <c r="M3524">
        <v>0</v>
      </c>
    </row>
    <row r="3525" spans="11:13" x14ac:dyDescent="0.2">
      <c r="K3525" t="s">
        <v>41</v>
      </c>
      <c r="L3525" t="s">
        <v>37</v>
      </c>
      <c r="M3525">
        <v>0</v>
      </c>
    </row>
    <row r="3526" spans="11:13" x14ac:dyDescent="0.2">
      <c r="K3526" t="s">
        <v>42</v>
      </c>
      <c r="L3526" t="s">
        <v>38</v>
      </c>
      <c r="M3526">
        <v>0</v>
      </c>
    </row>
    <row r="3527" spans="11:13" x14ac:dyDescent="0.2">
      <c r="K3527" t="s">
        <v>42</v>
      </c>
      <c r="L3527" t="s">
        <v>38</v>
      </c>
      <c r="M3527">
        <v>0</v>
      </c>
    </row>
    <row r="3528" spans="11:13" x14ac:dyDescent="0.2">
      <c r="K3528" t="s">
        <v>42</v>
      </c>
      <c r="L3528" t="s">
        <v>38</v>
      </c>
      <c r="M3528">
        <v>0</v>
      </c>
    </row>
    <row r="3529" spans="11:13" x14ac:dyDescent="0.2">
      <c r="K3529" t="s">
        <v>42</v>
      </c>
      <c r="L3529" t="s">
        <v>38</v>
      </c>
      <c r="M3529">
        <v>0</v>
      </c>
    </row>
    <row r="3530" spans="11:13" x14ac:dyDescent="0.2">
      <c r="K3530" t="s">
        <v>41</v>
      </c>
      <c r="L3530" t="s">
        <v>37</v>
      </c>
      <c r="M3530">
        <v>0</v>
      </c>
    </row>
    <row r="3531" spans="11:13" x14ac:dyDescent="0.2">
      <c r="K3531" t="s">
        <v>41</v>
      </c>
      <c r="L3531" t="s">
        <v>37</v>
      </c>
      <c r="M3531">
        <v>0</v>
      </c>
    </row>
    <row r="3532" spans="11:13" x14ac:dyDescent="0.2">
      <c r="K3532" t="s">
        <v>41</v>
      </c>
      <c r="L3532" t="s">
        <v>37</v>
      </c>
      <c r="M3532">
        <v>0</v>
      </c>
    </row>
    <row r="3533" spans="11:13" x14ac:dyDescent="0.2">
      <c r="K3533" t="s">
        <v>41</v>
      </c>
      <c r="L3533" t="s">
        <v>37</v>
      </c>
      <c r="M3533">
        <v>0</v>
      </c>
    </row>
    <row r="3534" spans="11:13" x14ac:dyDescent="0.2">
      <c r="K3534" t="s">
        <v>42</v>
      </c>
      <c r="L3534" t="s">
        <v>38</v>
      </c>
      <c r="M3534">
        <v>0</v>
      </c>
    </row>
    <row r="3535" spans="11:13" x14ac:dyDescent="0.2">
      <c r="K3535" t="s">
        <v>41</v>
      </c>
      <c r="L3535" t="s">
        <v>37</v>
      </c>
      <c r="M3535">
        <v>0</v>
      </c>
    </row>
    <row r="3536" spans="11:13" x14ac:dyDescent="0.2">
      <c r="K3536" t="s">
        <v>42</v>
      </c>
      <c r="L3536" t="s">
        <v>38</v>
      </c>
      <c r="M3536">
        <v>0</v>
      </c>
    </row>
    <row r="3537" spans="11:13" x14ac:dyDescent="0.2">
      <c r="K3537" t="s">
        <v>42</v>
      </c>
      <c r="L3537" t="s">
        <v>38</v>
      </c>
      <c r="M3537">
        <v>0</v>
      </c>
    </row>
    <row r="3538" spans="11:13" x14ac:dyDescent="0.2">
      <c r="K3538" t="s">
        <v>41</v>
      </c>
      <c r="L3538" t="s">
        <v>37</v>
      </c>
      <c r="M3538">
        <v>0</v>
      </c>
    </row>
    <row r="3539" spans="11:13" x14ac:dyDescent="0.2">
      <c r="K3539" t="s">
        <v>41</v>
      </c>
      <c r="L3539" t="s">
        <v>37</v>
      </c>
      <c r="M3539">
        <v>0</v>
      </c>
    </row>
    <row r="3540" spans="11:13" x14ac:dyDescent="0.2">
      <c r="K3540" t="s">
        <v>41</v>
      </c>
      <c r="L3540" t="s">
        <v>37</v>
      </c>
      <c r="M3540">
        <v>0</v>
      </c>
    </row>
    <row r="3541" spans="11:13" x14ac:dyDescent="0.2">
      <c r="K3541" t="s">
        <v>41</v>
      </c>
      <c r="L3541" t="s">
        <v>37</v>
      </c>
      <c r="M3541">
        <v>0</v>
      </c>
    </row>
    <row r="3542" spans="11:13" x14ac:dyDescent="0.2">
      <c r="K3542" t="s">
        <v>41</v>
      </c>
      <c r="L3542" t="s">
        <v>37</v>
      </c>
      <c r="M3542">
        <v>0</v>
      </c>
    </row>
    <row r="3543" spans="11:13" x14ac:dyDescent="0.2">
      <c r="K3543" t="s">
        <v>42</v>
      </c>
      <c r="L3543" t="s">
        <v>38</v>
      </c>
      <c r="M3543">
        <v>0</v>
      </c>
    </row>
    <row r="3544" spans="11:13" x14ac:dyDescent="0.2">
      <c r="K3544" t="s">
        <v>41</v>
      </c>
      <c r="L3544" t="s">
        <v>37</v>
      </c>
      <c r="M3544">
        <v>0</v>
      </c>
    </row>
    <row r="3545" spans="11:13" x14ac:dyDescent="0.2">
      <c r="K3545" t="s">
        <v>42</v>
      </c>
      <c r="L3545" t="s">
        <v>38</v>
      </c>
      <c r="M3545">
        <v>0</v>
      </c>
    </row>
    <row r="3546" spans="11:13" x14ac:dyDescent="0.2">
      <c r="K3546" t="s">
        <v>41</v>
      </c>
      <c r="L3546" t="s">
        <v>37</v>
      </c>
      <c r="M3546">
        <v>0</v>
      </c>
    </row>
    <row r="3547" spans="11:13" x14ac:dyDescent="0.2">
      <c r="K3547" t="s">
        <v>42</v>
      </c>
      <c r="L3547" t="s">
        <v>38</v>
      </c>
      <c r="M3547">
        <v>0</v>
      </c>
    </row>
    <row r="3548" spans="11:13" x14ac:dyDescent="0.2">
      <c r="K3548" t="s">
        <v>41</v>
      </c>
      <c r="L3548" t="s">
        <v>37</v>
      </c>
      <c r="M3548">
        <v>0</v>
      </c>
    </row>
    <row r="3549" spans="11:13" x14ac:dyDescent="0.2">
      <c r="K3549" t="s">
        <v>41</v>
      </c>
      <c r="L3549" t="s">
        <v>37</v>
      </c>
      <c r="M3549">
        <v>0</v>
      </c>
    </row>
    <row r="3550" spans="11:13" x14ac:dyDescent="0.2">
      <c r="K3550" t="s">
        <v>42</v>
      </c>
      <c r="L3550" t="s">
        <v>38</v>
      </c>
      <c r="M3550">
        <v>0</v>
      </c>
    </row>
    <row r="3551" spans="11:13" x14ac:dyDescent="0.2">
      <c r="K3551" t="s">
        <v>41</v>
      </c>
      <c r="L3551" t="s">
        <v>37</v>
      </c>
      <c r="M3551">
        <v>0</v>
      </c>
    </row>
    <row r="3552" spans="11:13" x14ac:dyDescent="0.2">
      <c r="K3552" t="s">
        <v>41</v>
      </c>
      <c r="L3552" t="s">
        <v>37</v>
      </c>
      <c r="M3552">
        <v>0</v>
      </c>
    </row>
    <row r="3553" spans="11:13" x14ac:dyDescent="0.2">
      <c r="K3553" t="s">
        <v>41</v>
      </c>
      <c r="L3553" t="s">
        <v>37</v>
      </c>
      <c r="M3553">
        <v>0</v>
      </c>
    </row>
    <row r="3554" spans="11:13" x14ac:dyDescent="0.2">
      <c r="K3554" t="s">
        <v>42</v>
      </c>
      <c r="L3554" t="s">
        <v>38</v>
      </c>
      <c r="M3554">
        <v>0</v>
      </c>
    </row>
    <row r="3555" spans="11:13" x14ac:dyDescent="0.2">
      <c r="K3555" t="s">
        <v>42</v>
      </c>
      <c r="L3555" t="s">
        <v>38</v>
      </c>
      <c r="M3555">
        <v>0</v>
      </c>
    </row>
    <row r="3556" spans="11:13" x14ac:dyDescent="0.2">
      <c r="K3556" t="s">
        <v>42</v>
      </c>
      <c r="L3556" t="s">
        <v>38</v>
      </c>
      <c r="M3556">
        <v>0</v>
      </c>
    </row>
    <row r="3557" spans="11:13" x14ac:dyDescent="0.2">
      <c r="K3557" t="s">
        <v>42</v>
      </c>
      <c r="L3557" t="s">
        <v>38</v>
      </c>
      <c r="M3557">
        <v>0</v>
      </c>
    </row>
    <row r="3558" spans="11:13" x14ac:dyDescent="0.2">
      <c r="K3558" t="s">
        <v>41</v>
      </c>
      <c r="L3558" t="s">
        <v>37</v>
      </c>
      <c r="M3558">
        <v>0</v>
      </c>
    </row>
    <row r="3559" spans="11:13" x14ac:dyDescent="0.2">
      <c r="K3559" t="s">
        <v>41</v>
      </c>
      <c r="L3559" t="s">
        <v>37</v>
      </c>
      <c r="M3559">
        <v>0</v>
      </c>
    </row>
    <row r="3560" spans="11:13" x14ac:dyDescent="0.2">
      <c r="K3560" t="s">
        <v>42</v>
      </c>
      <c r="L3560" t="s">
        <v>38</v>
      </c>
      <c r="M3560">
        <v>0</v>
      </c>
    </row>
    <row r="3561" spans="11:13" x14ac:dyDescent="0.2">
      <c r="K3561" t="s">
        <v>41</v>
      </c>
      <c r="L3561" t="s">
        <v>37</v>
      </c>
      <c r="M3561">
        <v>1</v>
      </c>
    </row>
    <row r="3562" spans="11:13" x14ac:dyDescent="0.2">
      <c r="K3562" t="s">
        <v>41</v>
      </c>
      <c r="L3562" t="s">
        <v>37</v>
      </c>
      <c r="M3562">
        <v>0</v>
      </c>
    </row>
    <row r="3563" spans="11:13" x14ac:dyDescent="0.2">
      <c r="K3563" t="s">
        <v>42</v>
      </c>
      <c r="L3563" t="s">
        <v>38</v>
      </c>
      <c r="M3563">
        <v>0</v>
      </c>
    </row>
    <row r="3564" spans="11:13" x14ac:dyDescent="0.2">
      <c r="K3564" t="s">
        <v>41</v>
      </c>
      <c r="L3564" t="s">
        <v>37</v>
      </c>
      <c r="M3564">
        <v>0</v>
      </c>
    </row>
    <row r="3565" spans="11:13" x14ac:dyDescent="0.2">
      <c r="K3565" t="s">
        <v>42</v>
      </c>
      <c r="L3565" t="s">
        <v>38</v>
      </c>
      <c r="M3565">
        <v>0</v>
      </c>
    </row>
    <row r="3566" spans="11:13" x14ac:dyDescent="0.2">
      <c r="K3566" t="s">
        <v>41</v>
      </c>
      <c r="L3566" t="s">
        <v>37</v>
      </c>
      <c r="M3566">
        <v>0</v>
      </c>
    </row>
    <row r="3567" spans="11:13" x14ac:dyDescent="0.2">
      <c r="K3567" t="s">
        <v>41</v>
      </c>
      <c r="L3567" t="s">
        <v>37</v>
      </c>
      <c r="M3567">
        <v>0</v>
      </c>
    </row>
    <row r="3568" spans="11:13" x14ac:dyDescent="0.2">
      <c r="K3568" t="s">
        <v>42</v>
      </c>
      <c r="L3568" t="s">
        <v>38</v>
      </c>
      <c r="M3568">
        <v>0</v>
      </c>
    </row>
    <row r="3569" spans="11:13" x14ac:dyDescent="0.2">
      <c r="K3569" t="s">
        <v>41</v>
      </c>
      <c r="L3569" t="s">
        <v>37</v>
      </c>
      <c r="M3569">
        <v>0</v>
      </c>
    </row>
    <row r="3570" spans="11:13" x14ac:dyDescent="0.2">
      <c r="K3570" t="s">
        <v>41</v>
      </c>
      <c r="L3570" t="s">
        <v>37</v>
      </c>
      <c r="M3570">
        <v>0</v>
      </c>
    </row>
    <row r="3571" spans="11:13" x14ac:dyDescent="0.2">
      <c r="K3571" t="s">
        <v>42</v>
      </c>
      <c r="L3571" t="s">
        <v>38</v>
      </c>
      <c r="M3571">
        <v>0</v>
      </c>
    </row>
    <row r="3572" spans="11:13" x14ac:dyDescent="0.2">
      <c r="K3572" t="s">
        <v>42</v>
      </c>
      <c r="L3572" t="s">
        <v>38</v>
      </c>
      <c r="M3572">
        <v>0</v>
      </c>
    </row>
    <row r="3573" spans="11:13" x14ac:dyDescent="0.2">
      <c r="K3573" t="s">
        <v>41</v>
      </c>
      <c r="L3573" t="s">
        <v>37</v>
      </c>
      <c r="M3573">
        <v>0</v>
      </c>
    </row>
    <row r="3574" spans="11:13" x14ac:dyDescent="0.2">
      <c r="K3574" t="s">
        <v>41</v>
      </c>
      <c r="L3574" t="s">
        <v>37</v>
      </c>
      <c r="M3574">
        <v>0</v>
      </c>
    </row>
    <row r="3575" spans="11:13" x14ac:dyDescent="0.2">
      <c r="K3575" t="s">
        <v>42</v>
      </c>
      <c r="L3575" t="s">
        <v>38</v>
      </c>
      <c r="M3575">
        <v>0</v>
      </c>
    </row>
    <row r="3576" spans="11:13" x14ac:dyDescent="0.2">
      <c r="K3576" t="s">
        <v>42</v>
      </c>
      <c r="L3576" t="s">
        <v>38</v>
      </c>
      <c r="M3576">
        <v>0</v>
      </c>
    </row>
    <row r="3577" spans="11:13" x14ac:dyDescent="0.2">
      <c r="K3577" t="s">
        <v>41</v>
      </c>
      <c r="L3577" t="s">
        <v>37</v>
      </c>
      <c r="M3577">
        <v>0</v>
      </c>
    </row>
    <row r="3578" spans="11:13" x14ac:dyDescent="0.2">
      <c r="K3578" t="s">
        <v>42</v>
      </c>
      <c r="L3578" t="s">
        <v>38</v>
      </c>
      <c r="M3578">
        <v>0</v>
      </c>
    </row>
    <row r="3579" spans="11:13" x14ac:dyDescent="0.2">
      <c r="K3579" t="s">
        <v>41</v>
      </c>
      <c r="L3579" t="s">
        <v>37</v>
      </c>
      <c r="M3579">
        <v>0</v>
      </c>
    </row>
    <row r="3580" spans="11:13" x14ac:dyDescent="0.2">
      <c r="K3580" t="s">
        <v>42</v>
      </c>
      <c r="L3580" t="s">
        <v>38</v>
      </c>
      <c r="M3580">
        <v>0</v>
      </c>
    </row>
    <row r="3581" spans="11:13" x14ac:dyDescent="0.2">
      <c r="K3581" t="s">
        <v>42</v>
      </c>
      <c r="L3581" t="s">
        <v>38</v>
      </c>
      <c r="M3581">
        <v>0</v>
      </c>
    </row>
    <row r="3582" spans="11:13" x14ac:dyDescent="0.2">
      <c r="K3582" t="s">
        <v>41</v>
      </c>
      <c r="L3582" t="s">
        <v>37</v>
      </c>
      <c r="M3582">
        <v>0</v>
      </c>
    </row>
    <row r="3583" spans="11:13" x14ac:dyDescent="0.2">
      <c r="K3583" t="s">
        <v>42</v>
      </c>
      <c r="L3583" t="s">
        <v>38</v>
      </c>
      <c r="M3583">
        <v>0</v>
      </c>
    </row>
    <row r="3584" spans="11:13" x14ac:dyDescent="0.2">
      <c r="K3584" t="s">
        <v>41</v>
      </c>
      <c r="L3584" t="s">
        <v>37</v>
      </c>
      <c r="M3584">
        <v>0</v>
      </c>
    </row>
    <row r="3585" spans="11:13" x14ac:dyDescent="0.2">
      <c r="K3585" t="s">
        <v>41</v>
      </c>
      <c r="L3585" t="s">
        <v>37</v>
      </c>
      <c r="M3585">
        <v>0</v>
      </c>
    </row>
    <row r="3586" spans="11:13" x14ac:dyDescent="0.2">
      <c r="K3586" t="s">
        <v>42</v>
      </c>
      <c r="L3586" t="s">
        <v>38</v>
      </c>
      <c r="M3586">
        <v>0</v>
      </c>
    </row>
    <row r="3587" spans="11:13" x14ac:dyDescent="0.2">
      <c r="K3587" t="s">
        <v>42</v>
      </c>
      <c r="L3587" t="s">
        <v>38</v>
      </c>
      <c r="M3587">
        <v>0</v>
      </c>
    </row>
    <row r="3588" spans="11:13" x14ac:dyDescent="0.2">
      <c r="K3588" t="s">
        <v>41</v>
      </c>
      <c r="L3588" t="s">
        <v>37</v>
      </c>
      <c r="M3588">
        <v>0</v>
      </c>
    </row>
    <row r="3589" spans="11:13" x14ac:dyDescent="0.2">
      <c r="K3589" t="s">
        <v>41</v>
      </c>
      <c r="L3589" t="s">
        <v>37</v>
      </c>
      <c r="M3589">
        <v>0</v>
      </c>
    </row>
    <row r="3590" spans="11:13" x14ac:dyDescent="0.2">
      <c r="K3590" t="s">
        <v>41</v>
      </c>
      <c r="L3590" t="s">
        <v>37</v>
      </c>
      <c r="M3590">
        <v>0</v>
      </c>
    </row>
    <row r="3591" spans="11:13" x14ac:dyDescent="0.2">
      <c r="K3591" t="s">
        <v>41</v>
      </c>
      <c r="L3591" t="s">
        <v>37</v>
      </c>
      <c r="M3591">
        <v>0</v>
      </c>
    </row>
    <row r="3592" spans="11:13" x14ac:dyDescent="0.2">
      <c r="K3592" t="s">
        <v>41</v>
      </c>
      <c r="L3592" t="s">
        <v>37</v>
      </c>
      <c r="M3592">
        <v>0</v>
      </c>
    </row>
    <row r="3593" spans="11:13" x14ac:dyDescent="0.2">
      <c r="K3593" t="s">
        <v>42</v>
      </c>
      <c r="L3593" t="s">
        <v>38</v>
      </c>
      <c r="M3593">
        <v>0</v>
      </c>
    </row>
    <row r="3594" spans="11:13" x14ac:dyDescent="0.2">
      <c r="K3594" t="s">
        <v>41</v>
      </c>
      <c r="L3594" t="s">
        <v>37</v>
      </c>
      <c r="M3594">
        <v>0</v>
      </c>
    </row>
    <row r="3595" spans="11:13" x14ac:dyDescent="0.2">
      <c r="K3595" t="s">
        <v>42</v>
      </c>
      <c r="L3595" t="s">
        <v>38</v>
      </c>
      <c r="M3595">
        <v>0</v>
      </c>
    </row>
    <row r="3596" spans="11:13" x14ac:dyDescent="0.2">
      <c r="K3596" t="s">
        <v>41</v>
      </c>
      <c r="L3596" t="s">
        <v>37</v>
      </c>
      <c r="M3596">
        <v>0</v>
      </c>
    </row>
    <row r="3597" spans="11:13" x14ac:dyDescent="0.2">
      <c r="K3597" t="s">
        <v>41</v>
      </c>
      <c r="L3597" t="s">
        <v>37</v>
      </c>
      <c r="M3597">
        <v>0</v>
      </c>
    </row>
    <row r="3598" spans="11:13" x14ac:dyDescent="0.2">
      <c r="K3598" t="s">
        <v>41</v>
      </c>
      <c r="L3598" t="s">
        <v>37</v>
      </c>
      <c r="M3598">
        <v>0</v>
      </c>
    </row>
    <row r="3599" spans="11:13" x14ac:dyDescent="0.2">
      <c r="K3599" t="s">
        <v>42</v>
      </c>
      <c r="L3599" t="s">
        <v>38</v>
      </c>
      <c r="M3599">
        <v>1</v>
      </c>
    </row>
    <row r="3600" spans="11:13" x14ac:dyDescent="0.2">
      <c r="K3600" t="s">
        <v>42</v>
      </c>
      <c r="L3600" t="s">
        <v>38</v>
      </c>
      <c r="M3600">
        <v>0</v>
      </c>
    </row>
    <row r="3601" spans="11:13" x14ac:dyDescent="0.2">
      <c r="K3601" t="s">
        <v>41</v>
      </c>
      <c r="L3601" t="s">
        <v>37</v>
      </c>
      <c r="M3601">
        <v>0</v>
      </c>
    </row>
    <row r="3602" spans="11:13" x14ac:dyDescent="0.2">
      <c r="K3602" t="s">
        <v>42</v>
      </c>
      <c r="L3602" t="s">
        <v>38</v>
      </c>
      <c r="M3602">
        <v>0</v>
      </c>
    </row>
    <row r="3603" spans="11:13" x14ac:dyDescent="0.2">
      <c r="K3603" t="s">
        <v>42</v>
      </c>
      <c r="L3603" t="s">
        <v>38</v>
      </c>
      <c r="M3603">
        <v>0</v>
      </c>
    </row>
    <row r="3604" spans="11:13" x14ac:dyDescent="0.2">
      <c r="K3604" t="s">
        <v>42</v>
      </c>
      <c r="L3604" t="s">
        <v>38</v>
      </c>
      <c r="M3604">
        <v>0</v>
      </c>
    </row>
    <row r="3605" spans="11:13" x14ac:dyDescent="0.2">
      <c r="K3605" t="s">
        <v>41</v>
      </c>
      <c r="L3605" t="s">
        <v>37</v>
      </c>
      <c r="M3605">
        <v>0</v>
      </c>
    </row>
    <row r="3606" spans="11:13" x14ac:dyDescent="0.2">
      <c r="K3606" t="s">
        <v>42</v>
      </c>
      <c r="L3606" t="s">
        <v>38</v>
      </c>
      <c r="M3606">
        <v>0</v>
      </c>
    </row>
    <row r="3607" spans="11:13" x14ac:dyDescent="0.2">
      <c r="K3607" t="s">
        <v>42</v>
      </c>
      <c r="L3607" t="s">
        <v>38</v>
      </c>
      <c r="M3607">
        <v>0</v>
      </c>
    </row>
    <row r="3608" spans="11:13" x14ac:dyDescent="0.2">
      <c r="K3608" t="s">
        <v>41</v>
      </c>
      <c r="L3608" t="s">
        <v>37</v>
      </c>
      <c r="M3608">
        <v>0</v>
      </c>
    </row>
    <row r="3609" spans="11:13" x14ac:dyDescent="0.2">
      <c r="K3609" t="s">
        <v>42</v>
      </c>
      <c r="L3609" t="s">
        <v>38</v>
      </c>
      <c r="M3609">
        <v>0</v>
      </c>
    </row>
    <row r="3610" spans="11:13" x14ac:dyDescent="0.2">
      <c r="K3610" t="s">
        <v>41</v>
      </c>
      <c r="L3610" t="s">
        <v>37</v>
      </c>
      <c r="M3610">
        <v>0</v>
      </c>
    </row>
    <row r="3611" spans="11:13" x14ac:dyDescent="0.2">
      <c r="K3611" t="s">
        <v>42</v>
      </c>
      <c r="L3611" t="s">
        <v>38</v>
      </c>
      <c r="M3611">
        <v>0</v>
      </c>
    </row>
    <row r="3612" spans="11:13" x14ac:dyDescent="0.2">
      <c r="K3612" t="s">
        <v>41</v>
      </c>
      <c r="L3612" t="s">
        <v>37</v>
      </c>
      <c r="M3612">
        <v>0</v>
      </c>
    </row>
    <row r="3613" spans="11:13" x14ac:dyDescent="0.2">
      <c r="K3613" t="s">
        <v>41</v>
      </c>
      <c r="L3613" t="s">
        <v>37</v>
      </c>
      <c r="M3613">
        <v>0</v>
      </c>
    </row>
    <row r="3614" spans="11:13" x14ac:dyDescent="0.2">
      <c r="K3614" t="s">
        <v>42</v>
      </c>
      <c r="L3614" t="s">
        <v>38</v>
      </c>
      <c r="M3614">
        <v>0</v>
      </c>
    </row>
    <row r="3615" spans="11:13" x14ac:dyDescent="0.2">
      <c r="K3615" t="s">
        <v>41</v>
      </c>
      <c r="L3615" t="s">
        <v>37</v>
      </c>
      <c r="M3615">
        <v>0</v>
      </c>
    </row>
    <row r="3616" spans="11:13" x14ac:dyDescent="0.2">
      <c r="K3616" t="s">
        <v>42</v>
      </c>
      <c r="L3616" t="s">
        <v>38</v>
      </c>
      <c r="M3616">
        <v>0</v>
      </c>
    </row>
    <row r="3617" spans="11:13" x14ac:dyDescent="0.2">
      <c r="K3617" t="s">
        <v>41</v>
      </c>
      <c r="L3617" t="s">
        <v>37</v>
      </c>
      <c r="M3617">
        <v>0</v>
      </c>
    </row>
    <row r="3618" spans="11:13" x14ac:dyDescent="0.2">
      <c r="K3618" t="s">
        <v>42</v>
      </c>
      <c r="L3618" t="s">
        <v>38</v>
      </c>
      <c r="M3618">
        <v>0</v>
      </c>
    </row>
    <row r="3619" spans="11:13" x14ac:dyDescent="0.2">
      <c r="K3619" t="s">
        <v>42</v>
      </c>
      <c r="L3619" t="s">
        <v>38</v>
      </c>
      <c r="M3619">
        <v>0</v>
      </c>
    </row>
    <row r="3620" spans="11:13" x14ac:dyDescent="0.2">
      <c r="K3620" t="s">
        <v>41</v>
      </c>
      <c r="L3620" t="s">
        <v>37</v>
      </c>
      <c r="M3620">
        <v>0</v>
      </c>
    </row>
    <row r="3621" spans="11:13" x14ac:dyDescent="0.2">
      <c r="K3621" t="s">
        <v>42</v>
      </c>
      <c r="L3621" t="s">
        <v>38</v>
      </c>
      <c r="M3621">
        <v>0</v>
      </c>
    </row>
    <row r="3622" spans="11:13" x14ac:dyDescent="0.2">
      <c r="K3622" t="s">
        <v>42</v>
      </c>
      <c r="L3622" t="s">
        <v>38</v>
      </c>
      <c r="M3622">
        <v>0</v>
      </c>
    </row>
    <row r="3623" spans="11:13" x14ac:dyDescent="0.2">
      <c r="K3623" t="s">
        <v>42</v>
      </c>
      <c r="L3623" t="s">
        <v>38</v>
      </c>
      <c r="M3623">
        <v>0</v>
      </c>
    </row>
    <row r="3624" spans="11:13" x14ac:dyDescent="0.2">
      <c r="K3624" t="s">
        <v>41</v>
      </c>
      <c r="L3624" t="s">
        <v>37</v>
      </c>
      <c r="M3624">
        <v>0</v>
      </c>
    </row>
    <row r="3625" spans="11:13" x14ac:dyDescent="0.2">
      <c r="K3625" t="s">
        <v>41</v>
      </c>
      <c r="L3625" t="s">
        <v>37</v>
      </c>
      <c r="M3625">
        <v>0</v>
      </c>
    </row>
    <row r="3626" spans="11:13" x14ac:dyDescent="0.2">
      <c r="K3626" t="s">
        <v>41</v>
      </c>
      <c r="L3626" t="s">
        <v>37</v>
      </c>
      <c r="M3626">
        <v>0</v>
      </c>
    </row>
    <row r="3627" spans="11:13" x14ac:dyDescent="0.2">
      <c r="K3627" t="s">
        <v>41</v>
      </c>
      <c r="L3627" t="s">
        <v>37</v>
      </c>
      <c r="M3627">
        <v>0</v>
      </c>
    </row>
    <row r="3628" spans="11:13" x14ac:dyDescent="0.2">
      <c r="K3628" t="s">
        <v>41</v>
      </c>
      <c r="L3628" t="s">
        <v>37</v>
      </c>
      <c r="M3628">
        <v>0</v>
      </c>
    </row>
    <row r="3629" spans="11:13" x14ac:dyDescent="0.2">
      <c r="K3629" t="s">
        <v>41</v>
      </c>
      <c r="L3629" t="s">
        <v>37</v>
      </c>
      <c r="M3629">
        <v>0</v>
      </c>
    </row>
    <row r="3630" spans="11:13" x14ac:dyDescent="0.2">
      <c r="K3630" t="s">
        <v>42</v>
      </c>
      <c r="L3630" t="s">
        <v>38</v>
      </c>
      <c r="M3630">
        <v>0</v>
      </c>
    </row>
    <row r="3631" spans="11:13" x14ac:dyDescent="0.2">
      <c r="K3631" t="s">
        <v>41</v>
      </c>
      <c r="L3631" t="s">
        <v>37</v>
      </c>
      <c r="M3631">
        <v>0</v>
      </c>
    </row>
    <row r="3632" spans="11:13" x14ac:dyDescent="0.2">
      <c r="K3632" t="s">
        <v>41</v>
      </c>
      <c r="L3632" t="s">
        <v>37</v>
      </c>
      <c r="M3632">
        <v>0</v>
      </c>
    </row>
    <row r="3633" spans="11:13" x14ac:dyDescent="0.2">
      <c r="K3633" t="s">
        <v>42</v>
      </c>
      <c r="L3633" t="s">
        <v>38</v>
      </c>
      <c r="M3633">
        <v>0</v>
      </c>
    </row>
    <row r="3634" spans="11:13" x14ac:dyDescent="0.2">
      <c r="K3634" t="s">
        <v>41</v>
      </c>
      <c r="L3634" t="s">
        <v>37</v>
      </c>
      <c r="M3634">
        <v>0</v>
      </c>
    </row>
    <row r="3635" spans="11:13" x14ac:dyDescent="0.2">
      <c r="K3635" t="s">
        <v>41</v>
      </c>
      <c r="L3635" t="s">
        <v>37</v>
      </c>
      <c r="M3635">
        <v>0</v>
      </c>
    </row>
    <row r="3636" spans="11:13" x14ac:dyDescent="0.2">
      <c r="K3636" t="s">
        <v>41</v>
      </c>
      <c r="L3636" t="s">
        <v>37</v>
      </c>
      <c r="M3636">
        <v>0</v>
      </c>
    </row>
    <row r="3637" spans="11:13" x14ac:dyDescent="0.2">
      <c r="K3637" t="s">
        <v>41</v>
      </c>
      <c r="L3637" t="s">
        <v>37</v>
      </c>
      <c r="M3637">
        <v>0</v>
      </c>
    </row>
    <row r="3638" spans="11:13" x14ac:dyDescent="0.2">
      <c r="K3638" t="s">
        <v>41</v>
      </c>
      <c r="L3638" t="s">
        <v>37</v>
      </c>
      <c r="M3638">
        <v>0</v>
      </c>
    </row>
    <row r="3639" spans="11:13" x14ac:dyDescent="0.2">
      <c r="K3639" t="s">
        <v>42</v>
      </c>
      <c r="L3639" t="s">
        <v>38</v>
      </c>
      <c r="M3639">
        <v>0</v>
      </c>
    </row>
    <row r="3640" spans="11:13" x14ac:dyDescent="0.2">
      <c r="K3640" t="s">
        <v>42</v>
      </c>
      <c r="L3640" t="s">
        <v>38</v>
      </c>
      <c r="M3640">
        <v>0</v>
      </c>
    </row>
    <row r="3641" spans="11:13" x14ac:dyDescent="0.2">
      <c r="K3641" t="s">
        <v>41</v>
      </c>
      <c r="L3641" t="s">
        <v>37</v>
      </c>
      <c r="M3641">
        <v>0</v>
      </c>
    </row>
    <row r="3642" spans="11:13" x14ac:dyDescent="0.2">
      <c r="K3642" t="s">
        <v>42</v>
      </c>
      <c r="L3642" t="s">
        <v>38</v>
      </c>
      <c r="M3642">
        <v>0</v>
      </c>
    </row>
    <row r="3643" spans="11:13" x14ac:dyDescent="0.2">
      <c r="K3643" t="s">
        <v>41</v>
      </c>
      <c r="L3643" t="s">
        <v>37</v>
      </c>
      <c r="M3643">
        <v>0</v>
      </c>
    </row>
    <row r="3644" spans="11:13" x14ac:dyDescent="0.2">
      <c r="K3644" t="s">
        <v>41</v>
      </c>
      <c r="L3644" t="s">
        <v>37</v>
      </c>
      <c r="M3644">
        <v>0</v>
      </c>
    </row>
    <row r="3645" spans="11:13" x14ac:dyDescent="0.2">
      <c r="K3645" t="s">
        <v>41</v>
      </c>
      <c r="L3645" t="s">
        <v>37</v>
      </c>
      <c r="M3645">
        <v>0</v>
      </c>
    </row>
    <row r="3646" spans="11:13" x14ac:dyDescent="0.2">
      <c r="K3646" t="s">
        <v>42</v>
      </c>
      <c r="L3646" t="s">
        <v>38</v>
      </c>
      <c r="M3646">
        <v>0</v>
      </c>
    </row>
    <row r="3647" spans="11:13" x14ac:dyDescent="0.2">
      <c r="K3647" t="s">
        <v>41</v>
      </c>
      <c r="L3647" t="s">
        <v>37</v>
      </c>
      <c r="M3647">
        <v>0</v>
      </c>
    </row>
    <row r="3648" spans="11:13" x14ac:dyDescent="0.2">
      <c r="K3648" t="s">
        <v>42</v>
      </c>
      <c r="L3648" t="s">
        <v>38</v>
      </c>
      <c r="M3648">
        <v>0</v>
      </c>
    </row>
    <row r="3649" spans="11:13" x14ac:dyDescent="0.2">
      <c r="K3649" t="s">
        <v>41</v>
      </c>
      <c r="L3649" t="s">
        <v>37</v>
      </c>
      <c r="M3649">
        <v>0</v>
      </c>
    </row>
    <row r="3650" spans="11:13" x14ac:dyDescent="0.2">
      <c r="K3650" t="s">
        <v>41</v>
      </c>
      <c r="L3650" t="s">
        <v>37</v>
      </c>
      <c r="M3650">
        <v>0</v>
      </c>
    </row>
    <row r="3651" spans="11:13" x14ac:dyDescent="0.2">
      <c r="K3651" t="s">
        <v>41</v>
      </c>
      <c r="L3651" t="s">
        <v>37</v>
      </c>
      <c r="M3651">
        <v>0</v>
      </c>
    </row>
    <row r="3652" spans="11:13" x14ac:dyDescent="0.2">
      <c r="K3652" t="s">
        <v>41</v>
      </c>
      <c r="L3652" t="s">
        <v>37</v>
      </c>
      <c r="M3652">
        <v>0</v>
      </c>
    </row>
    <row r="3653" spans="11:13" x14ac:dyDescent="0.2">
      <c r="K3653" t="s">
        <v>41</v>
      </c>
      <c r="L3653" t="s">
        <v>37</v>
      </c>
      <c r="M3653">
        <v>0</v>
      </c>
    </row>
    <row r="3654" spans="11:13" x14ac:dyDescent="0.2">
      <c r="K3654" t="s">
        <v>42</v>
      </c>
      <c r="L3654" t="s">
        <v>38</v>
      </c>
      <c r="M3654">
        <v>0</v>
      </c>
    </row>
    <row r="3655" spans="11:13" x14ac:dyDescent="0.2">
      <c r="K3655" t="s">
        <v>42</v>
      </c>
      <c r="L3655" t="s">
        <v>38</v>
      </c>
      <c r="M3655">
        <v>0</v>
      </c>
    </row>
    <row r="3656" spans="11:13" x14ac:dyDescent="0.2">
      <c r="K3656" t="s">
        <v>41</v>
      </c>
      <c r="L3656" t="s">
        <v>37</v>
      </c>
      <c r="M3656">
        <v>0</v>
      </c>
    </row>
    <row r="3657" spans="11:13" x14ac:dyDescent="0.2">
      <c r="K3657" t="s">
        <v>42</v>
      </c>
      <c r="L3657" t="s">
        <v>38</v>
      </c>
      <c r="M3657">
        <v>0</v>
      </c>
    </row>
    <row r="3658" spans="11:13" x14ac:dyDescent="0.2">
      <c r="K3658" t="s">
        <v>41</v>
      </c>
      <c r="L3658" t="s">
        <v>37</v>
      </c>
      <c r="M3658">
        <v>0</v>
      </c>
    </row>
    <row r="3659" spans="11:13" x14ac:dyDescent="0.2">
      <c r="K3659" t="s">
        <v>41</v>
      </c>
      <c r="L3659" t="s">
        <v>37</v>
      </c>
      <c r="M3659">
        <v>0</v>
      </c>
    </row>
    <row r="3660" spans="11:13" x14ac:dyDescent="0.2">
      <c r="K3660" t="s">
        <v>41</v>
      </c>
      <c r="L3660" t="s">
        <v>37</v>
      </c>
      <c r="M3660">
        <v>0</v>
      </c>
    </row>
    <row r="3661" spans="11:13" x14ac:dyDescent="0.2">
      <c r="K3661" t="s">
        <v>42</v>
      </c>
      <c r="L3661" t="s">
        <v>38</v>
      </c>
      <c r="M3661">
        <v>0</v>
      </c>
    </row>
    <row r="3662" spans="11:13" x14ac:dyDescent="0.2">
      <c r="K3662" t="s">
        <v>41</v>
      </c>
      <c r="L3662" t="s">
        <v>37</v>
      </c>
      <c r="M3662">
        <v>0</v>
      </c>
    </row>
    <row r="3663" spans="11:13" x14ac:dyDescent="0.2">
      <c r="K3663" t="s">
        <v>42</v>
      </c>
      <c r="L3663" t="s">
        <v>38</v>
      </c>
      <c r="M3663">
        <v>0</v>
      </c>
    </row>
    <row r="3664" spans="11:13" x14ac:dyDescent="0.2">
      <c r="K3664" t="s">
        <v>42</v>
      </c>
      <c r="L3664" t="s">
        <v>38</v>
      </c>
      <c r="M3664">
        <v>0</v>
      </c>
    </row>
    <row r="3665" spans="11:13" x14ac:dyDescent="0.2">
      <c r="K3665" t="s">
        <v>41</v>
      </c>
      <c r="L3665" t="s">
        <v>37</v>
      </c>
      <c r="M3665">
        <v>0</v>
      </c>
    </row>
    <row r="3666" spans="11:13" x14ac:dyDescent="0.2">
      <c r="K3666" t="s">
        <v>41</v>
      </c>
      <c r="L3666" t="s">
        <v>37</v>
      </c>
      <c r="M3666">
        <v>0</v>
      </c>
    </row>
    <row r="3667" spans="11:13" x14ac:dyDescent="0.2">
      <c r="K3667" t="s">
        <v>42</v>
      </c>
      <c r="L3667" t="s">
        <v>38</v>
      </c>
      <c r="M3667">
        <v>0</v>
      </c>
    </row>
    <row r="3668" spans="11:13" x14ac:dyDescent="0.2">
      <c r="K3668" t="s">
        <v>42</v>
      </c>
      <c r="L3668" t="s">
        <v>38</v>
      </c>
      <c r="M3668">
        <v>0</v>
      </c>
    </row>
    <row r="3669" spans="11:13" x14ac:dyDescent="0.2">
      <c r="K3669" t="s">
        <v>42</v>
      </c>
      <c r="L3669" t="s">
        <v>38</v>
      </c>
      <c r="M3669">
        <v>0</v>
      </c>
    </row>
    <row r="3670" spans="11:13" x14ac:dyDescent="0.2">
      <c r="K3670" t="s">
        <v>41</v>
      </c>
      <c r="L3670" t="s">
        <v>37</v>
      </c>
      <c r="M3670">
        <v>0</v>
      </c>
    </row>
    <row r="3671" spans="11:13" x14ac:dyDescent="0.2">
      <c r="K3671" t="s">
        <v>42</v>
      </c>
      <c r="L3671" t="s">
        <v>38</v>
      </c>
      <c r="M3671">
        <v>0</v>
      </c>
    </row>
    <row r="3672" spans="11:13" x14ac:dyDescent="0.2">
      <c r="K3672" t="s">
        <v>41</v>
      </c>
      <c r="L3672" t="s">
        <v>37</v>
      </c>
      <c r="M3672">
        <v>0</v>
      </c>
    </row>
    <row r="3673" spans="11:13" x14ac:dyDescent="0.2">
      <c r="K3673" t="s">
        <v>42</v>
      </c>
      <c r="L3673" t="s">
        <v>38</v>
      </c>
      <c r="M3673">
        <v>0</v>
      </c>
    </row>
    <row r="3674" spans="11:13" x14ac:dyDescent="0.2">
      <c r="K3674" t="s">
        <v>42</v>
      </c>
      <c r="L3674" t="s">
        <v>38</v>
      </c>
      <c r="M3674">
        <v>0</v>
      </c>
    </row>
    <row r="3675" spans="11:13" x14ac:dyDescent="0.2">
      <c r="K3675" t="s">
        <v>42</v>
      </c>
      <c r="L3675" t="s">
        <v>38</v>
      </c>
      <c r="M3675">
        <v>0</v>
      </c>
    </row>
    <row r="3676" spans="11:13" x14ac:dyDescent="0.2">
      <c r="K3676" t="s">
        <v>42</v>
      </c>
      <c r="L3676" t="s">
        <v>38</v>
      </c>
      <c r="M3676">
        <v>0</v>
      </c>
    </row>
    <row r="3677" spans="11:13" x14ac:dyDescent="0.2">
      <c r="K3677" t="s">
        <v>41</v>
      </c>
      <c r="L3677" t="s">
        <v>37</v>
      </c>
      <c r="M3677">
        <v>0</v>
      </c>
    </row>
    <row r="3678" spans="11:13" x14ac:dyDescent="0.2">
      <c r="K3678" t="s">
        <v>41</v>
      </c>
      <c r="L3678" t="s">
        <v>37</v>
      </c>
      <c r="M3678">
        <v>0</v>
      </c>
    </row>
    <row r="3679" spans="11:13" x14ac:dyDescent="0.2">
      <c r="K3679" t="s">
        <v>41</v>
      </c>
      <c r="L3679" t="s">
        <v>37</v>
      </c>
      <c r="M3679">
        <v>0</v>
      </c>
    </row>
    <row r="3680" spans="11:13" x14ac:dyDescent="0.2">
      <c r="K3680" t="s">
        <v>41</v>
      </c>
      <c r="L3680" t="s">
        <v>37</v>
      </c>
      <c r="M3680">
        <v>0</v>
      </c>
    </row>
    <row r="3681" spans="11:13" x14ac:dyDescent="0.2">
      <c r="K3681" t="s">
        <v>42</v>
      </c>
      <c r="L3681" t="s">
        <v>38</v>
      </c>
      <c r="M3681">
        <v>0</v>
      </c>
    </row>
    <row r="3682" spans="11:13" x14ac:dyDescent="0.2">
      <c r="K3682" t="s">
        <v>42</v>
      </c>
      <c r="L3682" t="s">
        <v>38</v>
      </c>
      <c r="M3682">
        <v>0</v>
      </c>
    </row>
    <row r="3683" spans="11:13" x14ac:dyDescent="0.2">
      <c r="K3683" t="s">
        <v>42</v>
      </c>
      <c r="L3683" t="s">
        <v>38</v>
      </c>
      <c r="M3683">
        <v>0</v>
      </c>
    </row>
    <row r="3684" spans="11:13" x14ac:dyDescent="0.2">
      <c r="K3684" t="s">
        <v>41</v>
      </c>
      <c r="L3684" t="s">
        <v>37</v>
      </c>
      <c r="M3684">
        <v>0</v>
      </c>
    </row>
    <row r="3685" spans="11:13" x14ac:dyDescent="0.2">
      <c r="K3685" t="s">
        <v>42</v>
      </c>
      <c r="L3685" t="s">
        <v>38</v>
      </c>
      <c r="M3685">
        <v>0</v>
      </c>
    </row>
    <row r="3686" spans="11:13" x14ac:dyDescent="0.2">
      <c r="K3686" t="s">
        <v>42</v>
      </c>
      <c r="L3686" t="s">
        <v>38</v>
      </c>
      <c r="M3686">
        <v>1</v>
      </c>
    </row>
    <row r="3687" spans="11:13" x14ac:dyDescent="0.2">
      <c r="K3687" t="s">
        <v>41</v>
      </c>
      <c r="L3687" t="s">
        <v>37</v>
      </c>
      <c r="M3687">
        <v>0</v>
      </c>
    </row>
    <row r="3688" spans="11:13" x14ac:dyDescent="0.2">
      <c r="K3688" t="s">
        <v>41</v>
      </c>
      <c r="L3688" t="s">
        <v>37</v>
      </c>
      <c r="M3688">
        <v>0</v>
      </c>
    </row>
    <row r="3689" spans="11:13" x14ac:dyDescent="0.2">
      <c r="K3689" t="s">
        <v>42</v>
      </c>
      <c r="L3689" t="s">
        <v>38</v>
      </c>
      <c r="M3689">
        <v>0</v>
      </c>
    </row>
    <row r="3690" spans="11:13" x14ac:dyDescent="0.2">
      <c r="K3690" t="s">
        <v>42</v>
      </c>
      <c r="L3690" t="s">
        <v>38</v>
      </c>
      <c r="M3690">
        <v>0</v>
      </c>
    </row>
    <row r="3691" spans="11:13" x14ac:dyDescent="0.2">
      <c r="K3691" t="s">
        <v>42</v>
      </c>
      <c r="L3691" t="s">
        <v>38</v>
      </c>
      <c r="M3691">
        <v>0</v>
      </c>
    </row>
    <row r="3692" spans="11:13" x14ac:dyDescent="0.2">
      <c r="K3692" t="s">
        <v>41</v>
      </c>
      <c r="L3692" t="s">
        <v>37</v>
      </c>
      <c r="M3692">
        <v>0</v>
      </c>
    </row>
    <row r="3693" spans="11:13" x14ac:dyDescent="0.2">
      <c r="K3693" t="s">
        <v>41</v>
      </c>
      <c r="L3693" t="s">
        <v>37</v>
      </c>
      <c r="M3693">
        <v>0</v>
      </c>
    </row>
    <row r="3694" spans="11:13" x14ac:dyDescent="0.2">
      <c r="K3694" t="s">
        <v>42</v>
      </c>
      <c r="L3694" t="s">
        <v>38</v>
      </c>
      <c r="M3694">
        <v>1</v>
      </c>
    </row>
    <row r="3695" spans="11:13" x14ac:dyDescent="0.2">
      <c r="K3695" t="s">
        <v>42</v>
      </c>
      <c r="L3695" t="s">
        <v>38</v>
      </c>
      <c r="M3695">
        <v>0</v>
      </c>
    </row>
    <row r="3696" spans="11:13" x14ac:dyDescent="0.2">
      <c r="K3696" t="s">
        <v>41</v>
      </c>
      <c r="L3696" t="s">
        <v>37</v>
      </c>
      <c r="M3696">
        <v>0</v>
      </c>
    </row>
    <row r="3697" spans="11:13" x14ac:dyDescent="0.2">
      <c r="K3697" t="s">
        <v>41</v>
      </c>
      <c r="L3697" t="s">
        <v>37</v>
      </c>
      <c r="M3697">
        <v>0</v>
      </c>
    </row>
    <row r="3698" spans="11:13" x14ac:dyDescent="0.2">
      <c r="K3698" t="s">
        <v>42</v>
      </c>
      <c r="L3698" t="s">
        <v>38</v>
      </c>
      <c r="M3698">
        <v>0</v>
      </c>
    </row>
    <row r="3699" spans="11:13" x14ac:dyDescent="0.2">
      <c r="K3699" t="s">
        <v>41</v>
      </c>
      <c r="L3699" t="s">
        <v>37</v>
      </c>
      <c r="M3699">
        <v>0</v>
      </c>
    </row>
    <row r="3700" spans="11:13" x14ac:dyDescent="0.2">
      <c r="K3700" t="s">
        <v>42</v>
      </c>
      <c r="L3700" t="s">
        <v>38</v>
      </c>
      <c r="M3700">
        <v>0</v>
      </c>
    </row>
    <row r="3701" spans="11:13" x14ac:dyDescent="0.2">
      <c r="K3701" t="s">
        <v>42</v>
      </c>
      <c r="L3701" t="s">
        <v>38</v>
      </c>
      <c r="M3701">
        <v>0</v>
      </c>
    </row>
    <row r="3702" spans="11:13" x14ac:dyDescent="0.2">
      <c r="K3702" t="s">
        <v>42</v>
      </c>
      <c r="L3702" t="s">
        <v>38</v>
      </c>
      <c r="M3702">
        <v>0</v>
      </c>
    </row>
    <row r="3703" spans="11:13" x14ac:dyDescent="0.2">
      <c r="K3703" t="s">
        <v>42</v>
      </c>
      <c r="L3703" t="s">
        <v>38</v>
      </c>
      <c r="M3703">
        <v>0</v>
      </c>
    </row>
    <row r="3704" spans="11:13" x14ac:dyDescent="0.2">
      <c r="K3704" t="s">
        <v>42</v>
      </c>
      <c r="L3704" t="s">
        <v>38</v>
      </c>
      <c r="M3704">
        <v>0</v>
      </c>
    </row>
    <row r="3705" spans="11:13" x14ac:dyDescent="0.2">
      <c r="K3705" t="s">
        <v>42</v>
      </c>
      <c r="L3705" t="s">
        <v>38</v>
      </c>
      <c r="M3705">
        <v>0</v>
      </c>
    </row>
    <row r="3706" spans="11:13" x14ac:dyDescent="0.2">
      <c r="K3706" t="s">
        <v>42</v>
      </c>
      <c r="L3706" t="s">
        <v>38</v>
      </c>
      <c r="M3706">
        <v>0</v>
      </c>
    </row>
    <row r="3707" spans="11:13" x14ac:dyDescent="0.2">
      <c r="K3707" t="s">
        <v>42</v>
      </c>
      <c r="L3707" t="s">
        <v>38</v>
      </c>
      <c r="M3707">
        <v>0</v>
      </c>
    </row>
    <row r="3708" spans="11:13" x14ac:dyDescent="0.2">
      <c r="K3708" t="s">
        <v>41</v>
      </c>
      <c r="L3708" t="s">
        <v>37</v>
      </c>
      <c r="M3708">
        <v>0</v>
      </c>
    </row>
    <row r="3709" spans="11:13" x14ac:dyDescent="0.2">
      <c r="K3709" t="s">
        <v>41</v>
      </c>
      <c r="L3709" t="s">
        <v>37</v>
      </c>
      <c r="M3709">
        <v>0</v>
      </c>
    </row>
    <row r="3710" spans="11:13" x14ac:dyDescent="0.2">
      <c r="K3710" t="s">
        <v>42</v>
      </c>
      <c r="L3710" t="s">
        <v>38</v>
      </c>
      <c r="M3710">
        <v>0</v>
      </c>
    </row>
    <row r="3711" spans="11:13" x14ac:dyDescent="0.2">
      <c r="K3711" t="s">
        <v>42</v>
      </c>
      <c r="L3711" t="s">
        <v>38</v>
      </c>
      <c r="M3711">
        <v>0</v>
      </c>
    </row>
    <row r="3712" spans="11:13" x14ac:dyDescent="0.2">
      <c r="K3712" t="s">
        <v>41</v>
      </c>
      <c r="L3712" t="s">
        <v>37</v>
      </c>
      <c r="M3712">
        <v>0</v>
      </c>
    </row>
    <row r="3713" spans="11:13" x14ac:dyDescent="0.2">
      <c r="K3713" t="s">
        <v>41</v>
      </c>
      <c r="L3713" t="s">
        <v>37</v>
      </c>
      <c r="M3713">
        <v>0</v>
      </c>
    </row>
    <row r="3714" spans="11:13" x14ac:dyDescent="0.2">
      <c r="K3714" t="s">
        <v>42</v>
      </c>
      <c r="L3714" t="s">
        <v>38</v>
      </c>
      <c r="M3714">
        <v>0</v>
      </c>
    </row>
    <row r="3715" spans="11:13" x14ac:dyDescent="0.2">
      <c r="K3715" t="s">
        <v>41</v>
      </c>
      <c r="L3715" t="s">
        <v>37</v>
      </c>
      <c r="M3715">
        <v>0</v>
      </c>
    </row>
    <row r="3716" spans="11:13" x14ac:dyDescent="0.2">
      <c r="K3716" t="s">
        <v>42</v>
      </c>
      <c r="L3716" t="s">
        <v>38</v>
      </c>
      <c r="M3716">
        <v>0</v>
      </c>
    </row>
    <row r="3717" spans="11:13" x14ac:dyDescent="0.2">
      <c r="K3717" t="s">
        <v>42</v>
      </c>
      <c r="L3717" t="s">
        <v>38</v>
      </c>
      <c r="M3717">
        <v>0</v>
      </c>
    </row>
    <row r="3718" spans="11:13" x14ac:dyDescent="0.2">
      <c r="K3718" t="s">
        <v>41</v>
      </c>
      <c r="L3718" t="s">
        <v>37</v>
      </c>
      <c r="M3718">
        <v>0</v>
      </c>
    </row>
    <row r="3719" spans="11:13" x14ac:dyDescent="0.2">
      <c r="K3719" t="s">
        <v>41</v>
      </c>
      <c r="L3719" t="s">
        <v>37</v>
      </c>
      <c r="M3719">
        <v>0</v>
      </c>
    </row>
    <row r="3720" spans="11:13" x14ac:dyDescent="0.2">
      <c r="K3720" t="s">
        <v>41</v>
      </c>
      <c r="L3720" t="s">
        <v>37</v>
      </c>
      <c r="M3720">
        <v>0</v>
      </c>
    </row>
    <row r="3721" spans="11:13" x14ac:dyDescent="0.2">
      <c r="K3721" t="s">
        <v>41</v>
      </c>
      <c r="L3721" t="s">
        <v>37</v>
      </c>
      <c r="M3721">
        <v>0</v>
      </c>
    </row>
    <row r="3722" spans="11:13" x14ac:dyDescent="0.2">
      <c r="K3722" t="s">
        <v>42</v>
      </c>
      <c r="L3722" t="s">
        <v>38</v>
      </c>
      <c r="M3722">
        <v>0</v>
      </c>
    </row>
    <row r="3723" spans="11:13" x14ac:dyDescent="0.2">
      <c r="K3723" t="s">
        <v>42</v>
      </c>
      <c r="L3723" t="s">
        <v>38</v>
      </c>
      <c r="M3723">
        <v>0</v>
      </c>
    </row>
    <row r="3724" spans="11:13" x14ac:dyDescent="0.2">
      <c r="K3724" t="s">
        <v>42</v>
      </c>
      <c r="L3724" t="s">
        <v>38</v>
      </c>
      <c r="M3724">
        <v>0</v>
      </c>
    </row>
    <row r="3725" spans="11:13" x14ac:dyDescent="0.2">
      <c r="K3725" t="s">
        <v>41</v>
      </c>
      <c r="L3725" t="s">
        <v>37</v>
      </c>
      <c r="M3725">
        <v>0</v>
      </c>
    </row>
    <row r="3726" spans="11:13" x14ac:dyDescent="0.2">
      <c r="K3726" t="s">
        <v>42</v>
      </c>
      <c r="L3726" t="s">
        <v>38</v>
      </c>
      <c r="M3726">
        <v>0</v>
      </c>
    </row>
    <row r="3727" spans="11:13" x14ac:dyDescent="0.2">
      <c r="K3727" t="s">
        <v>42</v>
      </c>
      <c r="L3727" t="s">
        <v>38</v>
      </c>
      <c r="M3727">
        <v>0</v>
      </c>
    </row>
    <row r="3728" spans="11:13" x14ac:dyDescent="0.2">
      <c r="K3728" t="s">
        <v>42</v>
      </c>
      <c r="L3728" t="s">
        <v>38</v>
      </c>
      <c r="M3728">
        <v>0</v>
      </c>
    </row>
    <row r="3729" spans="11:13" x14ac:dyDescent="0.2">
      <c r="K3729" t="s">
        <v>42</v>
      </c>
      <c r="L3729" t="s">
        <v>38</v>
      </c>
      <c r="M3729">
        <v>0</v>
      </c>
    </row>
    <row r="3730" spans="11:13" x14ac:dyDescent="0.2">
      <c r="K3730" t="s">
        <v>42</v>
      </c>
      <c r="L3730" t="s">
        <v>38</v>
      </c>
      <c r="M3730">
        <v>0</v>
      </c>
    </row>
    <row r="3731" spans="11:13" x14ac:dyDescent="0.2">
      <c r="K3731" t="s">
        <v>42</v>
      </c>
      <c r="L3731" t="s">
        <v>38</v>
      </c>
      <c r="M3731">
        <v>0</v>
      </c>
    </row>
    <row r="3732" spans="11:13" x14ac:dyDescent="0.2">
      <c r="K3732" t="s">
        <v>42</v>
      </c>
      <c r="L3732" t="s">
        <v>38</v>
      </c>
      <c r="M3732">
        <v>0</v>
      </c>
    </row>
    <row r="3733" spans="11:13" x14ac:dyDescent="0.2">
      <c r="K3733" t="s">
        <v>42</v>
      </c>
      <c r="L3733" t="s">
        <v>38</v>
      </c>
      <c r="M3733">
        <v>0</v>
      </c>
    </row>
    <row r="3734" spans="11:13" x14ac:dyDescent="0.2">
      <c r="K3734" t="s">
        <v>42</v>
      </c>
      <c r="L3734" t="s">
        <v>38</v>
      </c>
      <c r="M3734">
        <v>0</v>
      </c>
    </row>
    <row r="3735" spans="11:13" x14ac:dyDescent="0.2">
      <c r="K3735" t="s">
        <v>42</v>
      </c>
      <c r="L3735" t="s">
        <v>38</v>
      </c>
      <c r="M3735">
        <v>0</v>
      </c>
    </row>
    <row r="3736" spans="11:13" x14ac:dyDescent="0.2">
      <c r="K3736" t="s">
        <v>42</v>
      </c>
      <c r="L3736" t="s">
        <v>38</v>
      </c>
      <c r="M3736">
        <v>0</v>
      </c>
    </row>
    <row r="3737" spans="11:13" x14ac:dyDescent="0.2">
      <c r="K3737" t="s">
        <v>42</v>
      </c>
      <c r="L3737" t="s">
        <v>38</v>
      </c>
      <c r="M3737">
        <v>0</v>
      </c>
    </row>
    <row r="3738" spans="11:13" x14ac:dyDescent="0.2">
      <c r="K3738" t="s">
        <v>42</v>
      </c>
      <c r="L3738" t="s">
        <v>38</v>
      </c>
      <c r="M3738">
        <v>0</v>
      </c>
    </row>
    <row r="3739" spans="11:13" x14ac:dyDescent="0.2">
      <c r="K3739" t="s">
        <v>42</v>
      </c>
      <c r="L3739" t="s">
        <v>38</v>
      </c>
      <c r="M3739">
        <v>0</v>
      </c>
    </row>
    <row r="3740" spans="11:13" x14ac:dyDescent="0.2">
      <c r="K3740" t="s">
        <v>42</v>
      </c>
      <c r="L3740" t="s">
        <v>38</v>
      </c>
      <c r="M3740">
        <v>0</v>
      </c>
    </row>
    <row r="3741" spans="11:13" x14ac:dyDescent="0.2">
      <c r="K3741" t="s">
        <v>42</v>
      </c>
      <c r="L3741" t="s">
        <v>38</v>
      </c>
      <c r="M3741">
        <v>0</v>
      </c>
    </row>
    <row r="3742" spans="11:13" x14ac:dyDescent="0.2">
      <c r="K3742" t="s">
        <v>42</v>
      </c>
      <c r="L3742" t="s">
        <v>38</v>
      </c>
      <c r="M3742">
        <v>0</v>
      </c>
    </row>
    <row r="3743" spans="11:13" x14ac:dyDescent="0.2">
      <c r="K3743" t="s">
        <v>41</v>
      </c>
      <c r="L3743" t="s">
        <v>37</v>
      </c>
      <c r="M3743">
        <v>0</v>
      </c>
    </row>
    <row r="3744" spans="11:13" x14ac:dyDescent="0.2">
      <c r="K3744" t="s">
        <v>41</v>
      </c>
      <c r="L3744" t="s">
        <v>37</v>
      </c>
      <c r="M3744">
        <v>0</v>
      </c>
    </row>
    <row r="3745" spans="11:13" x14ac:dyDescent="0.2">
      <c r="K3745" t="s">
        <v>41</v>
      </c>
      <c r="L3745" t="s">
        <v>37</v>
      </c>
      <c r="M3745">
        <v>0</v>
      </c>
    </row>
    <row r="3746" spans="11:13" x14ac:dyDescent="0.2">
      <c r="K3746" t="s">
        <v>41</v>
      </c>
      <c r="L3746" t="s">
        <v>37</v>
      </c>
      <c r="M3746">
        <v>0</v>
      </c>
    </row>
    <row r="3747" spans="11:13" x14ac:dyDescent="0.2">
      <c r="K3747" t="s">
        <v>42</v>
      </c>
      <c r="L3747" t="s">
        <v>38</v>
      </c>
      <c r="M3747">
        <v>0</v>
      </c>
    </row>
    <row r="3748" spans="11:13" x14ac:dyDescent="0.2">
      <c r="K3748" t="s">
        <v>41</v>
      </c>
      <c r="L3748" t="s">
        <v>37</v>
      </c>
      <c r="M3748">
        <v>0</v>
      </c>
    </row>
    <row r="3749" spans="11:13" x14ac:dyDescent="0.2">
      <c r="K3749" t="s">
        <v>42</v>
      </c>
      <c r="L3749" t="s">
        <v>38</v>
      </c>
      <c r="M3749">
        <v>0</v>
      </c>
    </row>
    <row r="3750" spans="11:13" x14ac:dyDescent="0.2">
      <c r="K3750" t="s">
        <v>42</v>
      </c>
      <c r="L3750" t="s">
        <v>38</v>
      </c>
      <c r="M3750">
        <v>0</v>
      </c>
    </row>
    <row r="3751" spans="11:13" x14ac:dyDescent="0.2">
      <c r="K3751" t="s">
        <v>41</v>
      </c>
      <c r="L3751" t="s">
        <v>37</v>
      </c>
      <c r="M3751">
        <v>0</v>
      </c>
    </row>
    <row r="3752" spans="11:13" x14ac:dyDescent="0.2">
      <c r="K3752" t="s">
        <v>41</v>
      </c>
      <c r="L3752" t="s">
        <v>37</v>
      </c>
      <c r="M3752">
        <v>0</v>
      </c>
    </row>
    <row r="3753" spans="11:13" x14ac:dyDescent="0.2">
      <c r="K3753" t="s">
        <v>41</v>
      </c>
      <c r="L3753" t="s">
        <v>37</v>
      </c>
      <c r="M3753">
        <v>0</v>
      </c>
    </row>
    <row r="3754" spans="11:13" x14ac:dyDescent="0.2">
      <c r="K3754" t="s">
        <v>41</v>
      </c>
      <c r="L3754" t="s">
        <v>37</v>
      </c>
      <c r="M3754">
        <v>0</v>
      </c>
    </row>
    <row r="3755" spans="11:13" x14ac:dyDescent="0.2">
      <c r="K3755" t="s">
        <v>41</v>
      </c>
      <c r="L3755" t="s">
        <v>37</v>
      </c>
      <c r="M3755">
        <v>0</v>
      </c>
    </row>
    <row r="3756" spans="11:13" x14ac:dyDescent="0.2">
      <c r="K3756" t="s">
        <v>41</v>
      </c>
      <c r="L3756" t="s">
        <v>37</v>
      </c>
      <c r="M3756">
        <v>0</v>
      </c>
    </row>
    <row r="3757" spans="11:13" x14ac:dyDescent="0.2">
      <c r="K3757" t="s">
        <v>42</v>
      </c>
      <c r="L3757" t="s">
        <v>38</v>
      </c>
      <c r="M3757">
        <v>0</v>
      </c>
    </row>
    <row r="3758" spans="11:13" x14ac:dyDescent="0.2">
      <c r="K3758" t="s">
        <v>42</v>
      </c>
      <c r="L3758" t="s">
        <v>38</v>
      </c>
      <c r="M3758">
        <v>0</v>
      </c>
    </row>
    <row r="3759" spans="11:13" x14ac:dyDescent="0.2">
      <c r="K3759" t="s">
        <v>41</v>
      </c>
      <c r="L3759" t="s">
        <v>37</v>
      </c>
      <c r="M3759">
        <v>0</v>
      </c>
    </row>
    <row r="3760" spans="11:13" x14ac:dyDescent="0.2">
      <c r="K3760" t="s">
        <v>42</v>
      </c>
      <c r="L3760" t="s">
        <v>38</v>
      </c>
      <c r="M3760">
        <v>0</v>
      </c>
    </row>
    <row r="3761" spans="11:13" x14ac:dyDescent="0.2">
      <c r="K3761" t="s">
        <v>42</v>
      </c>
      <c r="L3761" t="s">
        <v>38</v>
      </c>
      <c r="M3761">
        <v>0</v>
      </c>
    </row>
    <row r="3762" spans="11:13" x14ac:dyDescent="0.2">
      <c r="K3762" t="s">
        <v>42</v>
      </c>
      <c r="L3762" t="s">
        <v>38</v>
      </c>
      <c r="M3762">
        <v>0</v>
      </c>
    </row>
    <row r="3763" spans="11:13" x14ac:dyDescent="0.2">
      <c r="K3763" t="s">
        <v>41</v>
      </c>
      <c r="L3763" t="s">
        <v>37</v>
      </c>
      <c r="M3763">
        <v>0</v>
      </c>
    </row>
    <row r="3764" spans="11:13" x14ac:dyDescent="0.2">
      <c r="K3764" t="s">
        <v>41</v>
      </c>
      <c r="L3764" t="s">
        <v>37</v>
      </c>
      <c r="M3764">
        <v>0</v>
      </c>
    </row>
    <row r="3765" spans="11:13" x14ac:dyDescent="0.2">
      <c r="K3765" t="s">
        <v>42</v>
      </c>
      <c r="L3765" t="s">
        <v>38</v>
      </c>
      <c r="M3765">
        <v>0</v>
      </c>
    </row>
    <row r="3766" spans="11:13" x14ac:dyDescent="0.2">
      <c r="K3766" t="s">
        <v>42</v>
      </c>
      <c r="L3766" t="s">
        <v>38</v>
      </c>
      <c r="M3766">
        <v>0</v>
      </c>
    </row>
    <row r="3767" spans="11:13" x14ac:dyDescent="0.2">
      <c r="K3767" t="s">
        <v>42</v>
      </c>
      <c r="L3767" t="s">
        <v>38</v>
      </c>
      <c r="M3767">
        <v>0</v>
      </c>
    </row>
    <row r="3768" spans="11:13" x14ac:dyDescent="0.2">
      <c r="K3768" t="s">
        <v>42</v>
      </c>
      <c r="L3768" t="s">
        <v>38</v>
      </c>
      <c r="M3768">
        <v>0</v>
      </c>
    </row>
    <row r="3769" spans="11:13" x14ac:dyDescent="0.2">
      <c r="K3769" t="s">
        <v>41</v>
      </c>
      <c r="L3769" t="s">
        <v>37</v>
      </c>
      <c r="M3769">
        <v>0</v>
      </c>
    </row>
    <row r="3770" spans="11:13" x14ac:dyDescent="0.2">
      <c r="K3770" t="s">
        <v>42</v>
      </c>
      <c r="L3770" t="s">
        <v>38</v>
      </c>
      <c r="M3770">
        <v>0</v>
      </c>
    </row>
    <row r="3771" spans="11:13" x14ac:dyDescent="0.2">
      <c r="K3771" t="s">
        <v>41</v>
      </c>
      <c r="L3771" t="s">
        <v>37</v>
      </c>
      <c r="M3771">
        <v>0</v>
      </c>
    </row>
    <row r="3772" spans="11:13" x14ac:dyDescent="0.2">
      <c r="K3772" t="s">
        <v>41</v>
      </c>
      <c r="L3772" t="s">
        <v>37</v>
      </c>
      <c r="M3772">
        <v>0</v>
      </c>
    </row>
    <row r="3773" spans="11:13" x14ac:dyDescent="0.2">
      <c r="K3773" t="s">
        <v>41</v>
      </c>
      <c r="L3773" t="s">
        <v>37</v>
      </c>
      <c r="M3773">
        <v>0</v>
      </c>
    </row>
    <row r="3774" spans="11:13" x14ac:dyDescent="0.2">
      <c r="K3774" t="s">
        <v>41</v>
      </c>
      <c r="L3774" t="s">
        <v>37</v>
      </c>
      <c r="M3774">
        <v>0</v>
      </c>
    </row>
    <row r="3775" spans="11:13" x14ac:dyDescent="0.2">
      <c r="K3775" t="s">
        <v>41</v>
      </c>
      <c r="L3775" t="s">
        <v>37</v>
      </c>
      <c r="M3775">
        <v>0</v>
      </c>
    </row>
    <row r="3776" spans="11:13" x14ac:dyDescent="0.2">
      <c r="K3776" t="s">
        <v>42</v>
      </c>
      <c r="L3776" t="s">
        <v>38</v>
      </c>
      <c r="M3776">
        <v>0</v>
      </c>
    </row>
    <row r="3777" spans="11:13" x14ac:dyDescent="0.2">
      <c r="K3777" t="s">
        <v>42</v>
      </c>
      <c r="L3777" t="s">
        <v>38</v>
      </c>
      <c r="M3777">
        <v>0</v>
      </c>
    </row>
    <row r="3778" spans="11:13" x14ac:dyDescent="0.2">
      <c r="K3778" t="s">
        <v>41</v>
      </c>
      <c r="L3778" t="s">
        <v>37</v>
      </c>
      <c r="M3778">
        <v>0</v>
      </c>
    </row>
    <row r="3779" spans="11:13" x14ac:dyDescent="0.2">
      <c r="K3779" t="s">
        <v>42</v>
      </c>
      <c r="L3779" t="s">
        <v>38</v>
      </c>
      <c r="M3779">
        <v>0</v>
      </c>
    </row>
    <row r="3780" spans="11:13" x14ac:dyDescent="0.2">
      <c r="K3780" t="s">
        <v>41</v>
      </c>
      <c r="L3780" t="s">
        <v>37</v>
      </c>
      <c r="M3780">
        <v>0</v>
      </c>
    </row>
    <row r="3781" spans="11:13" x14ac:dyDescent="0.2">
      <c r="K3781" t="s">
        <v>41</v>
      </c>
      <c r="L3781" t="s">
        <v>37</v>
      </c>
      <c r="M3781">
        <v>0</v>
      </c>
    </row>
    <row r="3782" spans="11:13" x14ac:dyDescent="0.2">
      <c r="K3782" t="s">
        <v>42</v>
      </c>
      <c r="L3782" t="s">
        <v>38</v>
      </c>
      <c r="M3782">
        <v>0</v>
      </c>
    </row>
    <row r="3783" spans="11:13" x14ac:dyDescent="0.2">
      <c r="K3783" t="s">
        <v>42</v>
      </c>
      <c r="L3783" t="s">
        <v>38</v>
      </c>
      <c r="M3783">
        <v>0</v>
      </c>
    </row>
    <row r="3784" spans="11:13" x14ac:dyDescent="0.2">
      <c r="K3784" t="s">
        <v>41</v>
      </c>
      <c r="L3784" t="s">
        <v>37</v>
      </c>
      <c r="M3784">
        <v>0</v>
      </c>
    </row>
    <row r="3785" spans="11:13" x14ac:dyDescent="0.2">
      <c r="K3785" t="s">
        <v>41</v>
      </c>
      <c r="L3785" t="s">
        <v>37</v>
      </c>
      <c r="M3785">
        <v>0</v>
      </c>
    </row>
    <row r="3786" spans="11:13" x14ac:dyDescent="0.2">
      <c r="K3786" t="s">
        <v>42</v>
      </c>
      <c r="L3786" t="s">
        <v>38</v>
      </c>
      <c r="M3786">
        <v>0</v>
      </c>
    </row>
    <row r="3787" spans="11:13" x14ac:dyDescent="0.2">
      <c r="K3787" t="s">
        <v>42</v>
      </c>
      <c r="L3787" t="s">
        <v>38</v>
      </c>
      <c r="M3787">
        <v>0</v>
      </c>
    </row>
    <row r="3788" spans="11:13" x14ac:dyDescent="0.2">
      <c r="K3788" t="s">
        <v>42</v>
      </c>
      <c r="L3788" t="s">
        <v>38</v>
      </c>
      <c r="M3788">
        <v>0</v>
      </c>
    </row>
    <row r="3789" spans="11:13" x14ac:dyDescent="0.2">
      <c r="K3789" t="s">
        <v>42</v>
      </c>
      <c r="L3789" t="s">
        <v>38</v>
      </c>
      <c r="M3789">
        <v>0</v>
      </c>
    </row>
    <row r="3790" spans="11:13" x14ac:dyDescent="0.2">
      <c r="K3790" t="s">
        <v>42</v>
      </c>
      <c r="L3790" t="s">
        <v>38</v>
      </c>
      <c r="M3790">
        <v>0</v>
      </c>
    </row>
    <row r="3791" spans="11:13" x14ac:dyDescent="0.2">
      <c r="K3791" t="s">
        <v>42</v>
      </c>
      <c r="L3791" t="s">
        <v>38</v>
      </c>
      <c r="M3791">
        <v>0</v>
      </c>
    </row>
    <row r="3792" spans="11:13" x14ac:dyDescent="0.2">
      <c r="K3792" t="s">
        <v>42</v>
      </c>
      <c r="L3792" t="s">
        <v>38</v>
      </c>
      <c r="M3792">
        <v>1</v>
      </c>
    </row>
    <row r="3793" spans="11:13" x14ac:dyDescent="0.2">
      <c r="K3793" t="s">
        <v>42</v>
      </c>
      <c r="L3793" t="s">
        <v>38</v>
      </c>
      <c r="M3793">
        <v>0</v>
      </c>
    </row>
    <row r="3794" spans="11:13" x14ac:dyDescent="0.2">
      <c r="K3794" t="s">
        <v>42</v>
      </c>
      <c r="L3794" t="s">
        <v>38</v>
      </c>
      <c r="M3794">
        <v>0</v>
      </c>
    </row>
    <row r="3795" spans="11:13" x14ac:dyDescent="0.2">
      <c r="K3795" t="s">
        <v>42</v>
      </c>
      <c r="L3795" t="s">
        <v>38</v>
      </c>
      <c r="M3795">
        <v>0</v>
      </c>
    </row>
    <row r="3796" spans="11:13" x14ac:dyDescent="0.2">
      <c r="K3796" t="s">
        <v>41</v>
      </c>
      <c r="L3796" t="s">
        <v>37</v>
      </c>
      <c r="M3796">
        <v>0</v>
      </c>
    </row>
    <row r="3797" spans="11:13" x14ac:dyDescent="0.2">
      <c r="K3797" t="s">
        <v>41</v>
      </c>
      <c r="L3797" t="s">
        <v>37</v>
      </c>
      <c r="M3797">
        <v>0</v>
      </c>
    </row>
    <row r="3798" spans="11:13" x14ac:dyDescent="0.2">
      <c r="K3798" t="s">
        <v>42</v>
      </c>
      <c r="L3798" t="s">
        <v>38</v>
      </c>
      <c r="M3798">
        <v>0</v>
      </c>
    </row>
    <row r="3799" spans="11:13" x14ac:dyDescent="0.2">
      <c r="K3799" t="s">
        <v>41</v>
      </c>
      <c r="L3799" t="s">
        <v>37</v>
      </c>
      <c r="M3799">
        <v>1</v>
      </c>
    </row>
    <row r="3800" spans="11:13" x14ac:dyDescent="0.2">
      <c r="K3800" t="s">
        <v>42</v>
      </c>
      <c r="L3800" t="s">
        <v>38</v>
      </c>
      <c r="M3800">
        <v>0</v>
      </c>
    </row>
    <row r="3801" spans="11:13" x14ac:dyDescent="0.2">
      <c r="K3801" t="s">
        <v>41</v>
      </c>
      <c r="L3801" t="s">
        <v>37</v>
      </c>
      <c r="M3801">
        <v>0</v>
      </c>
    </row>
    <row r="3802" spans="11:13" x14ac:dyDescent="0.2">
      <c r="K3802" t="s">
        <v>42</v>
      </c>
      <c r="L3802" t="s">
        <v>38</v>
      </c>
      <c r="M3802">
        <v>0</v>
      </c>
    </row>
    <row r="3803" spans="11:13" x14ac:dyDescent="0.2">
      <c r="K3803" t="s">
        <v>41</v>
      </c>
      <c r="L3803" t="s">
        <v>37</v>
      </c>
      <c r="M3803">
        <v>0</v>
      </c>
    </row>
    <row r="3804" spans="11:13" x14ac:dyDescent="0.2">
      <c r="K3804" t="s">
        <v>41</v>
      </c>
      <c r="L3804" t="s">
        <v>37</v>
      </c>
      <c r="M3804">
        <v>0</v>
      </c>
    </row>
    <row r="3805" spans="11:13" x14ac:dyDescent="0.2">
      <c r="K3805" t="s">
        <v>41</v>
      </c>
      <c r="L3805" t="s">
        <v>37</v>
      </c>
      <c r="M3805">
        <v>0</v>
      </c>
    </row>
    <row r="3806" spans="11:13" x14ac:dyDescent="0.2">
      <c r="K3806" t="s">
        <v>42</v>
      </c>
      <c r="L3806" t="s">
        <v>38</v>
      </c>
      <c r="M3806">
        <v>0</v>
      </c>
    </row>
    <row r="3807" spans="11:13" x14ac:dyDescent="0.2">
      <c r="K3807" t="s">
        <v>42</v>
      </c>
      <c r="L3807" t="s">
        <v>38</v>
      </c>
      <c r="M3807">
        <v>0</v>
      </c>
    </row>
    <row r="3808" spans="11:13" x14ac:dyDescent="0.2">
      <c r="K3808" t="s">
        <v>41</v>
      </c>
      <c r="L3808" t="s">
        <v>37</v>
      </c>
      <c r="M3808">
        <v>1</v>
      </c>
    </row>
    <row r="3809" spans="11:13" x14ac:dyDescent="0.2">
      <c r="K3809" t="s">
        <v>42</v>
      </c>
      <c r="L3809" t="s">
        <v>38</v>
      </c>
      <c r="M3809">
        <v>0</v>
      </c>
    </row>
    <row r="3810" spans="11:13" x14ac:dyDescent="0.2">
      <c r="K3810" t="s">
        <v>41</v>
      </c>
      <c r="L3810" t="s">
        <v>37</v>
      </c>
      <c r="M3810">
        <v>0</v>
      </c>
    </row>
    <row r="3811" spans="11:13" x14ac:dyDescent="0.2">
      <c r="K3811" t="s">
        <v>42</v>
      </c>
      <c r="L3811" t="s">
        <v>38</v>
      </c>
      <c r="M3811">
        <v>0</v>
      </c>
    </row>
    <row r="3812" spans="11:13" x14ac:dyDescent="0.2">
      <c r="K3812" t="s">
        <v>41</v>
      </c>
      <c r="L3812" t="s">
        <v>37</v>
      </c>
      <c r="M3812">
        <v>0</v>
      </c>
    </row>
    <row r="3813" spans="11:13" x14ac:dyDescent="0.2">
      <c r="K3813" t="s">
        <v>42</v>
      </c>
      <c r="L3813" t="s">
        <v>38</v>
      </c>
      <c r="M3813">
        <v>0</v>
      </c>
    </row>
    <row r="3814" spans="11:13" x14ac:dyDescent="0.2">
      <c r="K3814" t="s">
        <v>42</v>
      </c>
      <c r="L3814" t="s">
        <v>38</v>
      </c>
      <c r="M3814">
        <v>0</v>
      </c>
    </row>
    <row r="3815" spans="11:13" x14ac:dyDescent="0.2">
      <c r="K3815" t="s">
        <v>42</v>
      </c>
      <c r="L3815" t="s">
        <v>38</v>
      </c>
      <c r="M3815">
        <v>0</v>
      </c>
    </row>
    <row r="3816" spans="11:13" x14ac:dyDescent="0.2">
      <c r="K3816" t="s">
        <v>42</v>
      </c>
      <c r="L3816" t="s">
        <v>38</v>
      </c>
      <c r="M3816">
        <v>0</v>
      </c>
    </row>
    <row r="3817" spans="11:13" x14ac:dyDescent="0.2">
      <c r="K3817" t="s">
        <v>41</v>
      </c>
      <c r="L3817" t="s">
        <v>37</v>
      </c>
      <c r="M3817">
        <v>0</v>
      </c>
    </row>
    <row r="3818" spans="11:13" x14ac:dyDescent="0.2">
      <c r="K3818" t="s">
        <v>42</v>
      </c>
      <c r="L3818" t="s">
        <v>38</v>
      </c>
      <c r="M3818">
        <v>0</v>
      </c>
    </row>
    <row r="3819" spans="11:13" x14ac:dyDescent="0.2">
      <c r="K3819" t="s">
        <v>42</v>
      </c>
      <c r="L3819" t="s">
        <v>38</v>
      </c>
      <c r="M3819">
        <v>0</v>
      </c>
    </row>
    <row r="3820" spans="11:13" x14ac:dyDescent="0.2">
      <c r="K3820" t="s">
        <v>41</v>
      </c>
      <c r="L3820" t="s">
        <v>37</v>
      </c>
      <c r="M3820">
        <v>0</v>
      </c>
    </row>
    <row r="3821" spans="11:13" x14ac:dyDescent="0.2">
      <c r="K3821" t="s">
        <v>41</v>
      </c>
      <c r="L3821" t="s">
        <v>37</v>
      </c>
      <c r="M3821">
        <v>0</v>
      </c>
    </row>
    <row r="3822" spans="11:13" x14ac:dyDescent="0.2">
      <c r="K3822" t="s">
        <v>41</v>
      </c>
      <c r="L3822" t="s">
        <v>37</v>
      </c>
      <c r="M3822">
        <v>0</v>
      </c>
    </row>
    <row r="3823" spans="11:13" x14ac:dyDescent="0.2">
      <c r="K3823" t="s">
        <v>41</v>
      </c>
      <c r="L3823" t="s">
        <v>37</v>
      </c>
      <c r="M3823">
        <v>0</v>
      </c>
    </row>
    <row r="3824" spans="11:13" x14ac:dyDescent="0.2">
      <c r="K3824" t="s">
        <v>42</v>
      </c>
      <c r="L3824" t="s">
        <v>38</v>
      </c>
      <c r="M3824">
        <v>0</v>
      </c>
    </row>
    <row r="3825" spans="11:13" x14ac:dyDescent="0.2">
      <c r="K3825" t="s">
        <v>41</v>
      </c>
      <c r="L3825" t="s">
        <v>37</v>
      </c>
      <c r="M3825">
        <v>1</v>
      </c>
    </row>
    <row r="3826" spans="11:13" x14ac:dyDescent="0.2">
      <c r="K3826" t="s">
        <v>42</v>
      </c>
      <c r="L3826" t="s">
        <v>38</v>
      </c>
      <c r="M3826">
        <v>0</v>
      </c>
    </row>
    <row r="3827" spans="11:13" x14ac:dyDescent="0.2">
      <c r="K3827" t="s">
        <v>42</v>
      </c>
      <c r="L3827" t="s">
        <v>38</v>
      </c>
      <c r="M3827">
        <v>0</v>
      </c>
    </row>
    <row r="3828" spans="11:13" x14ac:dyDescent="0.2">
      <c r="K3828" t="s">
        <v>42</v>
      </c>
      <c r="L3828" t="s">
        <v>38</v>
      </c>
      <c r="M3828">
        <v>0</v>
      </c>
    </row>
    <row r="3829" spans="11:13" x14ac:dyDescent="0.2">
      <c r="K3829" t="s">
        <v>41</v>
      </c>
      <c r="L3829" t="s">
        <v>37</v>
      </c>
      <c r="M3829">
        <v>0</v>
      </c>
    </row>
    <row r="3830" spans="11:13" x14ac:dyDescent="0.2">
      <c r="K3830" t="s">
        <v>42</v>
      </c>
      <c r="L3830" t="s">
        <v>38</v>
      </c>
      <c r="M3830">
        <v>0</v>
      </c>
    </row>
    <row r="3831" spans="11:13" x14ac:dyDescent="0.2">
      <c r="K3831" t="s">
        <v>42</v>
      </c>
      <c r="L3831" t="s">
        <v>38</v>
      </c>
      <c r="M3831">
        <v>0</v>
      </c>
    </row>
    <row r="3832" spans="11:13" x14ac:dyDescent="0.2">
      <c r="K3832" t="s">
        <v>42</v>
      </c>
      <c r="L3832" t="s">
        <v>38</v>
      </c>
      <c r="M3832">
        <v>0</v>
      </c>
    </row>
    <row r="3833" spans="11:13" x14ac:dyDescent="0.2">
      <c r="K3833" t="s">
        <v>41</v>
      </c>
      <c r="L3833" t="s">
        <v>37</v>
      </c>
      <c r="M3833">
        <v>0</v>
      </c>
    </row>
    <row r="3834" spans="11:13" x14ac:dyDescent="0.2">
      <c r="K3834" t="s">
        <v>42</v>
      </c>
      <c r="L3834" t="s">
        <v>38</v>
      </c>
      <c r="M3834">
        <v>0</v>
      </c>
    </row>
    <row r="3835" spans="11:13" x14ac:dyDescent="0.2">
      <c r="K3835" t="s">
        <v>41</v>
      </c>
      <c r="L3835" t="s">
        <v>37</v>
      </c>
      <c r="M3835">
        <v>0</v>
      </c>
    </row>
    <row r="3836" spans="11:13" x14ac:dyDescent="0.2">
      <c r="K3836" t="s">
        <v>41</v>
      </c>
      <c r="L3836" t="s">
        <v>37</v>
      </c>
      <c r="M3836">
        <v>0</v>
      </c>
    </row>
    <row r="3837" spans="11:13" x14ac:dyDescent="0.2">
      <c r="K3837" t="s">
        <v>42</v>
      </c>
      <c r="L3837" t="s">
        <v>38</v>
      </c>
      <c r="M3837">
        <v>0</v>
      </c>
    </row>
    <row r="3838" spans="11:13" x14ac:dyDescent="0.2">
      <c r="K3838" t="s">
        <v>41</v>
      </c>
      <c r="L3838" t="s">
        <v>37</v>
      </c>
      <c r="M3838">
        <v>0</v>
      </c>
    </row>
    <row r="3839" spans="11:13" x14ac:dyDescent="0.2">
      <c r="K3839" t="s">
        <v>42</v>
      </c>
      <c r="L3839" t="s">
        <v>38</v>
      </c>
      <c r="M3839">
        <v>0</v>
      </c>
    </row>
    <row r="3840" spans="11:13" x14ac:dyDescent="0.2">
      <c r="K3840" t="s">
        <v>42</v>
      </c>
      <c r="L3840" t="s">
        <v>38</v>
      </c>
      <c r="M3840">
        <v>0</v>
      </c>
    </row>
    <row r="3841" spans="11:13" x14ac:dyDescent="0.2">
      <c r="K3841" t="s">
        <v>42</v>
      </c>
      <c r="L3841" t="s">
        <v>38</v>
      </c>
      <c r="M3841">
        <v>0</v>
      </c>
    </row>
    <row r="3842" spans="11:13" x14ac:dyDescent="0.2">
      <c r="K3842" t="s">
        <v>42</v>
      </c>
      <c r="L3842" t="s">
        <v>38</v>
      </c>
      <c r="M3842">
        <v>0</v>
      </c>
    </row>
    <row r="3843" spans="11:13" x14ac:dyDescent="0.2">
      <c r="K3843" t="s">
        <v>42</v>
      </c>
      <c r="L3843" t="s">
        <v>38</v>
      </c>
      <c r="M3843">
        <v>0</v>
      </c>
    </row>
    <row r="3844" spans="11:13" x14ac:dyDescent="0.2">
      <c r="K3844" t="s">
        <v>41</v>
      </c>
      <c r="L3844" t="s">
        <v>37</v>
      </c>
      <c r="M3844">
        <v>1</v>
      </c>
    </row>
    <row r="3845" spans="11:13" x14ac:dyDescent="0.2">
      <c r="K3845" t="s">
        <v>42</v>
      </c>
      <c r="L3845" t="s">
        <v>38</v>
      </c>
      <c r="M3845">
        <v>0</v>
      </c>
    </row>
    <row r="3846" spans="11:13" x14ac:dyDescent="0.2">
      <c r="K3846" t="s">
        <v>41</v>
      </c>
      <c r="L3846" t="s">
        <v>37</v>
      </c>
      <c r="M3846">
        <v>0</v>
      </c>
    </row>
    <row r="3847" spans="11:13" x14ac:dyDescent="0.2">
      <c r="K3847" t="s">
        <v>41</v>
      </c>
      <c r="L3847" t="s">
        <v>37</v>
      </c>
      <c r="M3847">
        <v>0</v>
      </c>
    </row>
    <row r="3848" spans="11:13" x14ac:dyDescent="0.2">
      <c r="K3848" t="s">
        <v>41</v>
      </c>
      <c r="L3848" t="s">
        <v>37</v>
      </c>
      <c r="M3848">
        <v>0</v>
      </c>
    </row>
    <row r="3849" spans="11:13" x14ac:dyDescent="0.2">
      <c r="K3849" t="s">
        <v>42</v>
      </c>
      <c r="L3849" t="s">
        <v>38</v>
      </c>
      <c r="M3849">
        <v>1</v>
      </c>
    </row>
    <row r="3850" spans="11:13" x14ac:dyDescent="0.2">
      <c r="K3850" t="s">
        <v>42</v>
      </c>
      <c r="L3850" t="s">
        <v>38</v>
      </c>
      <c r="M3850">
        <v>0</v>
      </c>
    </row>
    <row r="3851" spans="11:13" x14ac:dyDescent="0.2">
      <c r="K3851" t="s">
        <v>41</v>
      </c>
      <c r="L3851" t="s">
        <v>37</v>
      </c>
      <c r="M3851">
        <v>0</v>
      </c>
    </row>
    <row r="3852" spans="11:13" x14ac:dyDescent="0.2">
      <c r="K3852" t="s">
        <v>42</v>
      </c>
      <c r="L3852" t="s">
        <v>38</v>
      </c>
      <c r="M3852">
        <v>0</v>
      </c>
    </row>
    <row r="3853" spans="11:13" x14ac:dyDescent="0.2">
      <c r="K3853" t="s">
        <v>41</v>
      </c>
      <c r="L3853" t="s">
        <v>37</v>
      </c>
      <c r="M3853">
        <v>0</v>
      </c>
    </row>
    <row r="3854" spans="11:13" x14ac:dyDescent="0.2">
      <c r="K3854" t="s">
        <v>42</v>
      </c>
      <c r="L3854" t="s">
        <v>38</v>
      </c>
      <c r="M3854">
        <v>0</v>
      </c>
    </row>
    <row r="3855" spans="11:13" x14ac:dyDescent="0.2">
      <c r="K3855" t="s">
        <v>42</v>
      </c>
      <c r="L3855" t="s">
        <v>38</v>
      </c>
      <c r="M3855">
        <v>0</v>
      </c>
    </row>
    <row r="3856" spans="11:13" x14ac:dyDescent="0.2">
      <c r="K3856" t="s">
        <v>42</v>
      </c>
      <c r="L3856" t="s">
        <v>38</v>
      </c>
      <c r="M3856">
        <v>0</v>
      </c>
    </row>
    <row r="3857" spans="11:13" x14ac:dyDescent="0.2">
      <c r="K3857" t="s">
        <v>42</v>
      </c>
      <c r="L3857" t="s">
        <v>38</v>
      </c>
      <c r="M3857">
        <v>0</v>
      </c>
    </row>
    <row r="3858" spans="11:13" x14ac:dyDescent="0.2">
      <c r="K3858" t="s">
        <v>41</v>
      </c>
      <c r="L3858" t="s">
        <v>37</v>
      </c>
      <c r="M3858">
        <v>0</v>
      </c>
    </row>
    <row r="3859" spans="11:13" x14ac:dyDescent="0.2">
      <c r="K3859" t="s">
        <v>42</v>
      </c>
      <c r="L3859" t="s">
        <v>38</v>
      </c>
      <c r="M3859">
        <v>0</v>
      </c>
    </row>
    <row r="3860" spans="11:13" x14ac:dyDescent="0.2">
      <c r="K3860" t="s">
        <v>42</v>
      </c>
      <c r="L3860" t="s">
        <v>38</v>
      </c>
      <c r="M3860">
        <v>0</v>
      </c>
    </row>
    <row r="3861" spans="11:13" x14ac:dyDescent="0.2">
      <c r="K3861" t="s">
        <v>42</v>
      </c>
      <c r="L3861" t="s">
        <v>38</v>
      </c>
      <c r="M3861">
        <v>0</v>
      </c>
    </row>
    <row r="3862" spans="11:13" x14ac:dyDescent="0.2">
      <c r="K3862" t="s">
        <v>42</v>
      </c>
      <c r="L3862" t="s">
        <v>38</v>
      </c>
      <c r="M3862">
        <v>0</v>
      </c>
    </row>
    <row r="3863" spans="11:13" x14ac:dyDescent="0.2">
      <c r="K3863" t="s">
        <v>41</v>
      </c>
      <c r="L3863" t="s">
        <v>37</v>
      </c>
      <c r="M3863">
        <v>0</v>
      </c>
    </row>
    <row r="3864" spans="11:13" x14ac:dyDescent="0.2">
      <c r="K3864" t="s">
        <v>41</v>
      </c>
      <c r="L3864" t="s">
        <v>37</v>
      </c>
      <c r="M3864">
        <v>0</v>
      </c>
    </row>
    <row r="3865" spans="11:13" x14ac:dyDescent="0.2">
      <c r="K3865" t="s">
        <v>41</v>
      </c>
      <c r="L3865" t="s">
        <v>37</v>
      </c>
      <c r="M3865">
        <v>0</v>
      </c>
    </row>
    <row r="3866" spans="11:13" x14ac:dyDescent="0.2">
      <c r="K3866" t="s">
        <v>41</v>
      </c>
      <c r="L3866" t="s">
        <v>37</v>
      </c>
      <c r="M3866">
        <v>0</v>
      </c>
    </row>
    <row r="3867" spans="11:13" x14ac:dyDescent="0.2">
      <c r="K3867" t="s">
        <v>41</v>
      </c>
      <c r="L3867" t="s">
        <v>37</v>
      </c>
      <c r="M3867">
        <v>0</v>
      </c>
    </row>
    <row r="3868" spans="11:13" x14ac:dyDescent="0.2">
      <c r="K3868" t="s">
        <v>41</v>
      </c>
      <c r="L3868" t="s">
        <v>37</v>
      </c>
      <c r="M3868">
        <v>0</v>
      </c>
    </row>
    <row r="3869" spans="11:13" x14ac:dyDescent="0.2">
      <c r="K3869" t="s">
        <v>41</v>
      </c>
      <c r="L3869" t="s">
        <v>37</v>
      </c>
      <c r="M3869">
        <v>0</v>
      </c>
    </row>
    <row r="3870" spans="11:13" x14ac:dyDescent="0.2">
      <c r="K3870" t="s">
        <v>42</v>
      </c>
      <c r="L3870" t="s">
        <v>38</v>
      </c>
      <c r="M3870">
        <v>0</v>
      </c>
    </row>
    <row r="3871" spans="11:13" x14ac:dyDescent="0.2">
      <c r="K3871" t="s">
        <v>41</v>
      </c>
      <c r="L3871" t="s">
        <v>37</v>
      </c>
      <c r="M3871">
        <v>0</v>
      </c>
    </row>
    <row r="3872" spans="11:13" x14ac:dyDescent="0.2">
      <c r="K3872" t="s">
        <v>42</v>
      </c>
      <c r="L3872" t="s">
        <v>38</v>
      </c>
      <c r="M3872">
        <v>0</v>
      </c>
    </row>
    <row r="3873" spans="11:13" x14ac:dyDescent="0.2">
      <c r="K3873" t="s">
        <v>41</v>
      </c>
      <c r="L3873" t="s">
        <v>37</v>
      </c>
      <c r="M3873">
        <v>0</v>
      </c>
    </row>
    <row r="3874" spans="11:13" x14ac:dyDescent="0.2">
      <c r="K3874" t="s">
        <v>42</v>
      </c>
      <c r="L3874" t="s">
        <v>38</v>
      </c>
      <c r="M3874">
        <v>0</v>
      </c>
    </row>
    <row r="3875" spans="11:13" x14ac:dyDescent="0.2">
      <c r="K3875" t="s">
        <v>41</v>
      </c>
      <c r="L3875" t="s">
        <v>37</v>
      </c>
      <c r="M3875">
        <v>0</v>
      </c>
    </row>
    <row r="3876" spans="11:13" x14ac:dyDescent="0.2">
      <c r="K3876" t="s">
        <v>41</v>
      </c>
      <c r="L3876" t="s">
        <v>37</v>
      </c>
      <c r="M3876">
        <v>0</v>
      </c>
    </row>
    <row r="3877" spans="11:13" x14ac:dyDescent="0.2">
      <c r="K3877" t="s">
        <v>41</v>
      </c>
      <c r="L3877" t="s">
        <v>37</v>
      </c>
      <c r="M3877">
        <v>0</v>
      </c>
    </row>
    <row r="3878" spans="11:13" x14ac:dyDescent="0.2">
      <c r="K3878" t="s">
        <v>41</v>
      </c>
      <c r="L3878" t="s">
        <v>37</v>
      </c>
      <c r="M3878">
        <v>0</v>
      </c>
    </row>
    <row r="3879" spans="11:13" x14ac:dyDescent="0.2">
      <c r="K3879" t="s">
        <v>42</v>
      </c>
      <c r="L3879" t="s">
        <v>38</v>
      </c>
      <c r="M3879">
        <v>0</v>
      </c>
    </row>
    <row r="3880" spans="11:13" x14ac:dyDescent="0.2">
      <c r="K3880" t="s">
        <v>42</v>
      </c>
      <c r="L3880" t="s">
        <v>38</v>
      </c>
      <c r="M3880">
        <v>0</v>
      </c>
    </row>
    <row r="3881" spans="11:13" x14ac:dyDescent="0.2">
      <c r="K3881" t="s">
        <v>42</v>
      </c>
      <c r="L3881" t="s">
        <v>38</v>
      </c>
      <c r="M3881">
        <v>0</v>
      </c>
    </row>
    <row r="3882" spans="11:13" x14ac:dyDescent="0.2">
      <c r="K3882" t="s">
        <v>41</v>
      </c>
      <c r="L3882" t="s">
        <v>37</v>
      </c>
      <c r="M3882">
        <v>0</v>
      </c>
    </row>
    <row r="3883" spans="11:13" x14ac:dyDescent="0.2">
      <c r="K3883" t="s">
        <v>42</v>
      </c>
      <c r="L3883" t="s">
        <v>38</v>
      </c>
      <c r="M3883">
        <v>1</v>
      </c>
    </row>
    <row r="3884" spans="11:13" x14ac:dyDescent="0.2">
      <c r="K3884" t="s">
        <v>42</v>
      </c>
      <c r="L3884" t="s">
        <v>38</v>
      </c>
      <c r="M3884">
        <v>0</v>
      </c>
    </row>
    <row r="3885" spans="11:13" x14ac:dyDescent="0.2">
      <c r="K3885" t="s">
        <v>41</v>
      </c>
      <c r="L3885" t="s">
        <v>37</v>
      </c>
      <c r="M3885">
        <v>1</v>
      </c>
    </row>
    <row r="3886" spans="11:13" x14ac:dyDescent="0.2">
      <c r="K3886" t="s">
        <v>42</v>
      </c>
      <c r="L3886" t="s">
        <v>38</v>
      </c>
      <c r="M3886">
        <v>0</v>
      </c>
    </row>
    <row r="3887" spans="11:13" x14ac:dyDescent="0.2">
      <c r="K3887" t="s">
        <v>42</v>
      </c>
      <c r="L3887" t="s">
        <v>38</v>
      </c>
      <c r="M3887">
        <v>0</v>
      </c>
    </row>
    <row r="3888" spans="11:13" x14ac:dyDescent="0.2">
      <c r="K3888" t="s">
        <v>42</v>
      </c>
      <c r="L3888" t="s">
        <v>38</v>
      </c>
      <c r="M3888">
        <v>0</v>
      </c>
    </row>
    <row r="3889" spans="11:13" x14ac:dyDescent="0.2">
      <c r="K3889" t="s">
        <v>42</v>
      </c>
      <c r="L3889" t="s">
        <v>38</v>
      </c>
      <c r="M3889">
        <v>0</v>
      </c>
    </row>
    <row r="3890" spans="11:13" x14ac:dyDescent="0.2">
      <c r="K3890" t="s">
        <v>41</v>
      </c>
      <c r="L3890" t="s">
        <v>37</v>
      </c>
      <c r="M3890">
        <v>0</v>
      </c>
    </row>
    <row r="3891" spans="11:13" x14ac:dyDescent="0.2">
      <c r="K3891" t="s">
        <v>41</v>
      </c>
      <c r="L3891" t="s">
        <v>37</v>
      </c>
      <c r="M3891">
        <v>0</v>
      </c>
    </row>
    <row r="3892" spans="11:13" x14ac:dyDescent="0.2">
      <c r="K3892" t="s">
        <v>41</v>
      </c>
      <c r="L3892" t="s">
        <v>37</v>
      </c>
      <c r="M3892">
        <v>0</v>
      </c>
    </row>
    <row r="3893" spans="11:13" x14ac:dyDescent="0.2">
      <c r="K3893" t="s">
        <v>42</v>
      </c>
      <c r="L3893" t="s">
        <v>38</v>
      </c>
      <c r="M3893">
        <v>0</v>
      </c>
    </row>
    <row r="3894" spans="11:13" x14ac:dyDescent="0.2">
      <c r="K3894" t="s">
        <v>42</v>
      </c>
      <c r="L3894" t="s">
        <v>38</v>
      </c>
      <c r="M3894">
        <v>0</v>
      </c>
    </row>
    <row r="3895" spans="11:13" x14ac:dyDescent="0.2">
      <c r="K3895" t="s">
        <v>42</v>
      </c>
      <c r="L3895" t="s">
        <v>38</v>
      </c>
      <c r="M3895">
        <v>0</v>
      </c>
    </row>
    <row r="3896" spans="11:13" x14ac:dyDescent="0.2">
      <c r="K3896" t="s">
        <v>41</v>
      </c>
      <c r="L3896" t="s">
        <v>37</v>
      </c>
      <c r="M3896">
        <v>0</v>
      </c>
    </row>
    <row r="3897" spans="11:13" x14ac:dyDescent="0.2">
      <c r="K3897" t="s">
        <v>41</v>
      </c>
      <c r="L3897" t="s">
        <v>37</v>
      </c>
      <c r="M3897">
        <v>0</v>
      </c>
    </row>
    <row r="3898" spans="11:13" x14ac:dyDescent="0.2">
      <c r="K3898" t="s">
        <v>42</v>
      </c>
      <c r="L3898" t="s">
        <v>38</v>
      </c>
      <c r="M3898">
        <v>0</v>
      </c>
    </row>
    <row r="3899" spans="11:13" x14ac:dyDescent="0.2">
      <c r="K3899" t="s">
        <v>41</v>
      </c>
      <c r="L3899" t="s">
        <v>37</v>
      </c>
      <c r="M3899">
        <v>0</v>
      </c>
    </row>
    <row r="3900" spans="11:13" x14ac:dyDescent="0.2">
      <c r="K3900" t="s">
        <v>42</v>
      </c>
      <c r="L3900" t="s">
        <v>38</v>
      </c>
      <c r="M3900">
        <v>0</v>
      </c>
    </row>
    <row r="3901" spans="11:13" x14ac:dyDescent="0.2">
      <c r="K3901" t="s">
        <v>41</v>
      </c>
      <c r="L3901" t="s">
        <v>37</v>
      </c>
      <c r="M3901">
        <v>0</v>
      </c>
    </row>
    <row r="3902" spans="11:13" x14ac:dyDescent="0.2">
      <c r="K3902" t="s">
        <v>41</v>
      </c>
      <c r="L3902" t="s">
        <v>37</v>
      </c>
      <c r="M3902">
        <v>0</v>
      </c>
    </row>
    <row r="3903" spans="11:13" x14ac:dyDescent="0.2">
      <c r="K3903" t="s">
        <v>41</v>
      </c>
      <c r="L3903" t="s">
        <v>37</v>
      </c>
      <c r="M3903">
        <v>0</v>
      </c>
    </row>
    <row r="3904" spans="11:13" x14ac:dyDescent="0.2">
      <c r="K3904" t="s">
        <v>41</v>
      </c>
      <c r="L3904" t="s">
        <v>37</v>
      </c>
      <c r="M3904">
        <v>0</v>
      </c>
    </row>
    <row r="3905" spans="11:13" x14ac:dyDescent="0.2">
      <c r="K3905" t="s">
        <v>41</v>
      </c>
      <c r="L3905" t="s">
        <v>37</v>
      </c>
      <c r="M3905">
        <v>0</v>
      </c>
    </row>
    <row r="3906" spans="11:13" x14ac:dyDescent="0.2">
      <c r="K3906" t="s">
        <v>41</v>
      </c>
      <c r="L3906" t="s">
        <v>37</v>
      </c>
      <c r="M3906">
        <v>0</v>
      </c>
    </row>
    <row r="3907" spans="11:13" x14ac:dyDescent="0.2">
      <c r="K3907" t="s">
        <v>42</v>
      </c>
      <c r="L3907" t="s">
        <v>38</v>
      </c>
      <c r="M3907">
        <v>0</v>
      </c>
    </row>
    <row r="3908" spans="11:13" x14ac:dyDescent="0.2">
      <c r="K3908" t="s">
        <v>42</v>
      </c>
      <c r="L3908" t="s">
        <v>38</v>
      </c>
      <c r="M3908">
        <v>0</v>
      </c>
    </row>
    <row r="3909" spans="11:13" x14ac:dyDescent="0.2">
      <c r="K3909" t="s">
        <v>41</v>
      </c>
      <c r="L3909" t="s">
        <v>37</v>
      </c>
      <c r="M3909">
        <v>0</v>
      </c>
    </row>
    <row r="3910" spans="11:13" x14ac:dyDescent="0.2">
      <c r="K3910" t="s">
        <v>42</v>
      </c>
      <c r="L3910" t="s">
        <v>38</v>
      </c>
      <c r="M3910">
        <v>0</v>
      </c>
    </row>
    <row r="3911" spans="11:13" x14ac:dyDescent="0.2">
      <c r="K3911" t="s">
        <v>42</v>
      </c>
      <c r="L3911" t="s">
        <v>38</v>
      </c>
      <c r="M3911">
        <v>0</v>
      </c>
    </row>
    <row r="3912" spans="11:13" x14ac:dyDescent="0.2">
      <c r="K3912" t="s">
        <v>41</v>
      </c>
      <c r="L3912" t="s">
        <v>37</v>
      </c>
      <c r="M3912">
        <v>0</v>
      </c>
    </row>
    <row r="3913" spans="11:13" x14ac:dyDescent="0.2">
      <c r="K3913" t="s">
        <v>42</v>
      </c>
      <c r="L3913" t="s">
        <v>38</v>
      </c>
      <c r="M3913">
        <v>0</v>
      </c>
    </row>
    <row r="3914" spans="11:13" x14ac:dyDescent="0.2">
      <c r="K3914" t="s">
        <v>41</v>
      </c>
      <c r="L3914" t="s">
        <v>37</v>
      </c>
      <c r="M3914">
        <v>0</v>
      </c>
    </row>
    <row r="3915" spans="11:13" x14ac:dyDescent="0.2">
      <c r="K3915" t="s">
        <v>41</v>
      </c>
      <c r="L3915" t="s">
        <v>37</v>
      </c>
      <c r="M3915">
        <v>0</v>
      </c>
    </row>
    <row r="3916" spans="11:13" x14ac:dyDescent="0.2">
      <c r="K3916" t="s">
        <v>41</v>
      </c>
      <c r="L3916" t="s">
        <v>37</v>
      </c>
      <c r="M3916">
        <v>0</v>
      </c>
    </row>
    <row r="3917" spans="11:13" x14ac:dyDescent="0.2">
      <c r="K3917" t="s">
        <v>41</v>
      </c>
      <c r="L3917" t="s">
        <v>37</v>
      </c>
      <c r="M3917">
        <v>0</v>
      </c>
    </row>
    <row r="3918" spans="11:13" x14ac:dyDescent="0.2">
      <c r="K3918" t="s">
        <v>42</v>
      </c>
      <c r="L3918" t="s">
        <v>38</v>
      </c>
      <c r="M3918">
        <v>0</v>
      </c>
    </row>
    <row r="3919" spans="11:13" x14ac:dyDescent="0.2">
      <c r="K3919" t="s">
        <v>41</v>
      </c>
      <c r="L3919" t="s">
        <v>37</v>
      </c>
      <c r="M3919">
        <v>0</v>
      </c>
    </row>
    <row r="3920" spans="11:13" x14ac:dyDescent="0.2">
      <c r="K3920" t="s">
        <v>42</v>
      </c>
      <c r="L3920" t="s">
        <v>38</v>
      </c>
      <c r="M3920">
        <v>0</v>
      </c>
    </row>
    <row r="3921" spans="11:13" x14ac:dyDescent="0.2">
      <c r="K3921" t="s">
        <v>41</v>
      </c>
      <c r="L3921" t="s">
        <v>37</v>
      </c>
      <c r="M3921">
        <v>0</v>
      </c>
    </row>
    <row r="3922" spans="11:13" x14ac:dyDescent="0.2">
      <c r="K3922" t="s">
        <v>42</v>
      </c>
      <c r="L3922" t="s">
        <v>38</v>
      </c>
      <c r="M3922">
        <v>0</v>
      </c>
    </row>
    <row r="3923" spans="11:13" x14ac:dyDescent="0.2">
      <c r="K3923" t="s">
        <v>42</v>
      </c>
      <c r="L3923" t="s">
        <v>38</v>
      </c>
      <c r="M3923">
        <v>0</v>
      </c>
    </row>
    <row r="3924" spans="11:13" x14ac:dyDescent="0.2">
      <c r="K3924" t="s">
        <v>41</v>
      </c>
      <c r="L3924" t="s">
        <v>37</v>
      </c>
      <c r="M3924">
        <v>0</v>
      </c>
    </row>
    <row r="3925" spans="11:13" x14ac:dyDescent="0.2">
      <c r="K3925" t="s">
        <v>42</v>
      </c>
      <c r="L3925" t="s">
        <v>38</v>
      </c>
      <c r="M3925">
        <v>0</v>
      </c>
    </row>
    <row r="3926" spans="11:13" x14ac:dyDescent="0.2">
      <c r="K3926" t="s">
        <v>42</v>
      </c>
      <c r="L3926" t="s">
        <v>38</v>
      </c>
      <c r="M3926">
        <v>0</v>
      </c>
    </row>
    <row r="3927" spans="11:13" x14ac:dyDescent="0.2">
      <c r="K3927" t="s">
        <v>42</v>
      </c>
      <c r="L3927" t="s">
        <v>38</v>
      </c>
      <c r="M3927">
        <v>0</v>
      </c>
    </row>
    <row r="3928" spans="11:13" x14ac:dyDescent="0.2">
      <c r="K3928" t="s">
        <v>42</v>
      </c>
      <c r="L3928" t="s">
        <v>38</v>
      </c>
      <c r="M3928">
        <v>0</v>
      </c>
    </row>
    <row r="3929" spans="11:13" x14ac:dyDescent="0.2">
      <c r="K3929" t="s">
        <v>41</v>
      </c>
      <c r="L3929" t="s">
        <v>37</v>
      </c>
      <c r="M3929">
        <v>0</v>
      </c>
    </row>
    <row r="3930" spans="11:13" x14ac:dyDescent="0.2">
      <c r="K3930" t="s">
        <v>41</v>
      </c>
      <c r="L3930" t="s">
        <v>37</v>
      </c>
      <c r="M3930">
        <v>0</v>
      </c>
    </row>
    <row r="3931" spans="11:13" x14ac:dyDescent="0.2">
      <c r="K3931" t="s">
        <v>42</v>
      </c>
      <c r="L3931" t="s">
        <v>38</v>
      </c>
      <c r="M3931">
        <v>0</v>
      </c>
    </row>
    <row r="3932" spans="11:13" x14ac:dyDescent="0.2">
      <c r="K3932" t="s">
        <v>42</v>
      </c>
      <c r="L3932" t="s">
        <v>38</v>
      </c>
      <c r="M3932">
        <v>0</v>
      </c>
    </row>
    <row r="3933" spans="11:13" x14ac:dyDescent="0.2">
      <c r="K3933" t="s">
        <v>42</v>
      </c>
      <c r="L3933" t="s">
        <v>38</v>
      </c>
      <c r="M3933">
        <v>1</v>
      </c>
    </row>
    <row r="3934" spans="11:13" x14ac:dyDescent="0.2">
      <c r="K3934" t="s">
        <v>42</v>
      </c>
      <c r="L3934" t="s">
        <v>38</v>
      </c>
      <c r="M3934">
        <v>0</v>
      </c>
    </row>
    <row r="3935" spans="11:13" x14ac:dyDescent="0.2">
      <c r="K3935" t="s">
        <v>41</v>
      </c>
      <c r="L3935" t="s">
        <v>37</v>
      </c>
      <c r="M3935">
        <v>0</v>
      </c>
    </row>
    <row r="3936" spans="11:13" x14ac:dyDescent="0.2">
      <c r="K3936" t="s">
        <v>42</v>
      </c>
      <c r="L3936" t="s">
        <v>38</v>
      </c>
      <c r="M3936">
        <v>0</v>
      </c>
    </row>
    <row r="3937" spans="11:13" x14ac:dyDescent="0.2">
      <c r="K3937" t="s">
        <v>41</v>
      </c>
      <c r="L3937" t="s">
        <v>37</v>
      </c>
      <c r="M3937">
        <v>1</v>
      </c>
    </row>
    <row r="3938" spans="11:13" x14ac:dyDescent="0.2">
      <c r="K3938" t="s">
        <v>42</v>
      </c>
      <c r="L3938" t="s">
        <v>38</v>
      </c>
      <c r="M3938">
        <v>0</v>
      </c>
    </row>
    <row r="3939" spans="11:13" x14ac:dyDescent="0.2">
      <c r="K3939" t="s">
        <v>41</v>
      </c>
      <c r="L3939" t="s">
        <v>37</v>
      </c>
      <c r="M3939">
        <v>0</v>
      </c>
    </row>
    <row r="3940" spans="11:13" x14ac:dyDescent="0.2">
      <c r="K3940" t="s">
        <v>41</v>
      </c>
      <c r="L3940" t="s">
        <v>37</v>
      </c>
      <c r="M3940">
        <v>0</v>
      </c>
    </row>
    <row r="3941" spans="11:13" x14ac:dyDescent="0.2">
      <c r="K3941" t="s">
        <v>41</v>
      </c>
      <c r="L3941" t="s">
        <v>37</v>
      </c>
      <c r="M3941">
        <v>0</v>
      </c>
    </row>
    <row r="3942" spans="11:13" x14ac:dyDescent="0.2">
      <c r="K3942" t="s">
        <v>41</v>
      </c>
      <c r="L3942" t="s">
        <v>37</v>
      </c>
      <c r="M3942">
        <v>0</v>
      </c>
    </row>
    <row r="3943" spans="11:13" x14ac:dyDescent="0.2">
      <c r="K3943" t="s">
        <v>42</v>
      </c>
      <c r="L3943" t="s">
        <v>38</v>
      </c>
      <c r="M3943">
        <v>0</v>
      </c>
    </row>
    <row r="3944" spans="11:13" x14ac:dyDescent="0.2">
      <c r="K3944" t="s">
        <v>41</v>
      </c>
      <c r="L3944" t="s">
        <v>37</v>
      </c>
      <c r="M3944">
        <v>0</v>
      </c>
    </row>
    <row r="3945" spans="11:13" x14ac:dyDescent="0.2">
      <c r="K3945" t="s">
        <v>41</v>
      </c>
      <c r="L3945" t="s">
        <v>37</v>
      </c>
      <c r="M3945">
        <v>0</v>
      </c>
    </row>
    <row r="3946" spans="11:13" x14ac:dyDescent="0.2">
      <c r="K3946" t="s">
        <v>41</v>
      </c>
      <c r="L3946" t="s">
        <v>37</v>
      </c>
      <c r="M3946">
        <v>0</v>
      </c>
    </row>
    <row r="3947" spans="11:13" x14ac:dyDescent="0.2">
      <c r="K3947" t="s">
        <v>41</v>
      </c>
      <c r="L3947" t="s">
        <v>37</v>
      </c>
      <c r="M3947">
        <v>0</v>
      </c>
    </row>
    <row r="3948" spans="11:13" x14ac:dyDescent="0.2">
      <c r="K3948" t="s">
        <v>41</v>
      </c>
      <c r="L3948" t="s">
        <v>37</v>
      </c>
      <c r="M3948">
        <v>0</v>
      </c>
    </row>
    <row r="3949" spans="11:13" x14ac:dyDescent="0.2">
      <c r="K3949" t="s">
        <v>41</v>
      </c>
      <c r="L3949" t="s">
        <v>37</v>
      </c>
      <c r="M3949">
        <v>0</v>
      </c>
    </row>
    <row r="3950" spans="11:13" x14ac:dyDescent="0.2">
      <c r="K3950" t="s">
        <v>42</v>
      </c>
      <c r="L3950" t="s">
        <v>38</v>
      </c>
      <c r="M3950">
        <v>0</v>
      </c>
    </row>
    <row r="3951" spans="11:13" x14ac:dyDescent="0.2">
      <c r="K3951" t="s">
        <v>42</v>
      </c>
      <c r="L3951" t="s">
        <v>38</v>
      </c>
      <c r="M3951">
        <v>0</v>
      </c>
    </row>
    <row r="3952" spans="11:13" x14ac:dyDescent="0.2">
      <c r="K3952" t="s">
        <v>42</v>
      </c>
      <c r="L3952" t="s">
        <v>38</v>
      </c>
      <c r="M3952">
        <v>0</v>
      </c>
    </row>
    <row r="3953" spans="11:13" x14ac:dyDescent="0.2">
      <c r="K3953" t="s">
        <v>41</v>
      </c>
      <c r="L3953" t="s">
        <v>37</v>
      </c>
      <c r="M3953">
        <v>0</v>
      </c>
    </row>
    <row r="3954" spans="11:13" x14ac:dyDescent="0.2">
      <c r="K3954" t="s">
        <v>42</v>
      </c>
      <c r="L3954" t="s">
        <v>38</v>
      </c>
      <c r="M3954">
        <v>0</v>
      </c>
    </row>
    <row r="3955" spans="11:13" x14ac:dyDescent="0.2">
      <c r="K3955" t="s">
        <v>41</v>
      </c>
      <c r="L3955" t="s">
        <v>37</v>
      </c>
      <c r="M3955">
        <v>0</v>
      </c>
    </row>
    <row r="3956" spans="11:13" x14ac:dyDescent="0.2">
      <c r="K3956" t="s">
        <v>42</v>
      </c>
      <c r="L3956" t="s">
        <v>38</v>
      </c>
      <c r="M3956">
        <v>0</v>
      </c>
    </row>
    <row r="3957" spans="11:13" x14ac:dyDescent="0.2">
      <c r="K3957" t="s">
        <v>41</v>
      </c>
      <c r="L3957" t="s">
        <v>37</v>
      </c>
      <c r="M3957">
        <v>0</v>
      </c>
    </row>
    <row r="3958" spans="11:13" x14ac:dyDescent="0.2">
      <c r="K3958" t="s">
        <v>42</v>
      </c>
      <c r="L3958" t="s">
        <v>38</v>
      </c>
      <c r="M3958">
        <v>0</v>
      </c>
    </row>
    <row r="3959" spans="11:13" x14ac:dyDescent="0.2">
      <c r="K3959" t="s">
        <v>42</v>
      </c>
      <c r="L3959" t="s">
        <v>38</v>
      </c>
      <c r="M3959">
        <v>0</v>
      </c>
    </row>
    <row r="3960" spans="11:13" x14ac:dyDescent="0.2">
      <c r="K3960" t="s">
        <v>41</v>
      </c>
      <c r="L3960" t="s">
        <v>37</v>
      </c>
      <c r="M3960">
        <v>0</v>
      </c>
    </row>
    <row r="3961" spans="11:13" x14ac:dyDescent="0.2">
      <c r="K3961" t="s">
        <v>42</v>
      </c>
      <c r="L3961" t="s">
        <v>38</v>
      </c>
      <c r="M3961">
        <v>0</v>
      </c>
    </row>
    <row r="3962" spans="11:13" x14ac:dyDescent="0.2">
      <c r="K3962" t="s">
        <v>42</v>
      </c>
      <c r="L3962" t="s">
        <v>38</v>
      </c>
      <c r="M3962">
        <v>0</v>
      </c>
    </row>
    <row r="3963" spans="11:13" x14ac:dyDescent="0.2">
      <c r="K3963" t="s">
        <v>42</v>
      </c>
      <c r="L3963" t="s">
        <v>38</v>
      </c>
      <c r="M3963">
        <v>0</v>
      </c>
    </row>
    <row r="3964" spans="11:13" x14ac:dyDescent="0.2">
      <c r="K3964" t="s">
        <v>41</v>
      </c>
      <c r="L3964" t="s">
        <v>37</v>
      </c>
      <c r="M3964">
        <v>0</v>
      </c>
    </row>
    <row r="3965" spans="11:13" x14ac:dyDescent="0.2">
      <c r="K3965" t="s">
        <v>41</v>
      </c>
      <c r="L3965" t="s">
        <v>37</v>
      </c>
      <c r="M3965">
        <v>0</v>
      </c>
    </row>
    <row r="3966" spans="11:13" x14ac:dyDescent="0.2">
      <c r="K3966" t="s">
        <v>41</v>
      </c>
      <c r="L3966" t="s">
        <v>37</v>
      </c>
      <c r="M3966">
        <v>0</v>
      </c>
    </row>
    <row r="3967" spans="11:13" x14ac:dyDescent="0.2">
      <c r="K3967" t="s">
        <v>41</v>
      </c>
      <c r="L3967" t="s">
        <v>37</v>
      </c>
      <c r="M3967">
        <v>0</v>
      </c>
    </row>
    <row r="3968" spans="11:13" x14ac:dyDescent="0.2">
      <c r="K3968" t="s">
        <v>42</v>
      </c>
      <c r="L3968" t="s">
        <v>38</v>
      </c>
      <c r="M3968">
        <v>0</v>
      </c>
    </row>
    <row r="3969" spans="11:13" x14ac:dyDescent="0.2">
      <c r="K3969" t="s">
        <v>41</v>
      </c>
      <c r="L3969" t="s">
        <v>37</v>
      </c>
      <c r="M3969">
        <v>0</v>
      </c>
    </row>
    <row r="3970" spans="11:13" x14ac:dyDescent="0.2">
      <c r="K3970" t="s">
        <v>42</v>
      </c>
      <c r="L3970" t="s">
        <v>38</v>
      </c>
      <c r="M3970">
        <v>0</v>
      </c>
    </row>
    <row r="3971" spans="11:13" x14ac:dyDescent="0.2">
      <c r="K3971" t="s">
        <v>42</v>
      </c>
      <c r="L3971" t="s">
        <v>38</v>
      </c>
      <c r="M3971">
        <v>0</v>
      </c>
    </row>
    <row r="3972" spans="11:13" x14ac:dyDescent="0.2">
      <c r="K3972" t="s">
        <v>41</v>
      </c>
      <c r="L3972" t="s">
        <v>37</v>
      </c>
      <c r="M3972">
        <v>0</v>
      </c>
    </row>
    <row r="3973" spans="11:13" x14ac:dyDescent="0.2">
      <c r="K3973" t="s">
        <v>41</v>
      </c>
      <c r="L3973" t="s">
        <v>37</v>
      </c>
      <c r="M3973">
        <v>0</v>
      </c>
    </row>
    <row r="3974" spans="11:13" x14ac:dyDescent="0.2">
      <c r="K3974" t="s">
        <v>42</v>
      </c>
      <c r="L3974" t="s">
        <v>38</v>
      </c>
      <c r="M3974">
        <v>0</v>
      </c>
    </row>
    <row r="3975" spans="11:13" x14ac:dyDescent="0.2">
      <c r="K3975" t="s">
        <v>41</v>
      </c>
      <c r="L3975" t="s">
        <v>37</v>
      </c>
      <c r="M3975">
        <v>0</v>
      </c>
    </row>
    <row r="3976" spans="11:13" x14ac:dyDescent="0.2">
      <c r="K3976" t="s">
        <v>41</v>
      </c>
      <c r="L3976" t="s">
        <v>37</v>
      </c>
      <c r="M3976">
        <v>0</v>
      </c>
    </row>
    <row r="3977" spans="11:13" x14ac:dyDescent="0.2">
      <c r="K3977" t="s">
        <v>42</v>
      </c>
      <c r="L3977" t="s">
        <v>38</v>
      </c>
      <c r="M3977">
        <v>0</v>
      </c>
    </row>
    <row r="3978" spans="11:13" x14ac:dyDescent="0.2">
      <c r="K3978" t="s">
        <v>42</v>
      </c>
      <c r="L3978" t="s">
        <v>38</v>
      </c>
      <c r="M3978">
        <v>0</v>
      </c>
    </row>
    <row r="3979" spans="11:13" x14ac:dyDescent="0.2">
      <c r="K3979" t="s">
        <v>41</v>
      </c>
      <c r="L3979" t="s">
        <v>37</v>
      </c>
      <c r="M3979">
        <v>0</v>
      </c>
    </row>
    <row r="3980" spans="11:13" x14ac:dyDescent="0.2">
      <c r="K3980" t="s">
        <v>42</v>
      </c>
      <c r="L3980" t="s">
        <v>38</v>
      </c>
      <c r="M3980">
        <v>0</v>
      </c>
    </row>
    <row r="3981" spans="11:13" x14ac:dyDescent="0.2">
      <c r="K3981" t="s">
        <v>42</v>
      </c>
      <c r="L3981" t="s">
        <v>38</v>
      </c>
      <c r="M3981">
        <v>0</v>
      </c>
    </row>
    <row r="3982" spans="11:13" x14ac:dyDescent="0.2">
      <c r="K3982" t="s">
        <v>42</v>
      </c>
      <c r="L3982" t="s">
        <v>38</v>
      </c>
      <c r="M3982">
        <v>0</v>
      </c>
    </row>
    <row r="3983" spans="11:13" x14ac:dyDescent="0.2">
      <c r="K3983" t="s">
        <v>41</v>
      </c>
      <c r="L3983" t="s">
        <v>37</v>
      </c>
      <c r="M3983">
        <v>0</v>
      </c>
    </row>
    <row r="3984" spans="11:13" x14ac:dyDescent="0.2">
      <c r="K3984" t="s">
        <v>41</v>
      </c>
      <c r="L3984" t="s">
        <v>37</v>
      </c>
      <c r="M3984">
        <v>0</v>
      </c>
    </row>
    <row r="3985" spans="11:13" x14ac:dyDescent="0.2">
      <c r="K3985" t="s">
        <v>42</v>
      </c>
      <c r="L3985" t="s">
        <v>38</v>
      </c>
      <c r="M3985">
        <v>0</v>
      </c>
    </row>
    <row r="3986" spans="11:13" x14ac:dyDescent="0.2">
      <c r="K3986" t="s">
        <v>41</v>
      </c>
      <c r="L3986" t="s">
        <v>37</v>
      </c>
      <c r="M3986">
        <v>0</v>
      </c>
    </row>
    <row r="3987" spans="11:13" x14ac:dyDescent="0.2">
      <c r="K3987" t="s">
        <v>41</v>
      </c>
      <c r="L3987" t="s">
        <v>37</v>
      </c>
      <c r="M3987">
        <v>0</v>
      </c>
    </row>
    <row r="3988" spans="11:13" x14ac:dyDescent="0.2">
      <c r="K3988" t="s">
        <v>41</v>
      </c>
      <c r="L3988" t="s">
        <v>37</v>
      </c>
      <c r="M3988">
        <v>0</v>
      </c>
    </row>
    <row r="3989" spans="11:13" x14ac:dyDescent="0.2">
      <c r="K3989" t="s">
        <v>41</v>
      </c>
      <c r="L3989" t="s">
        <v>37</v>
      </c>
      <c r="M3989">
        <v>0</v>
      </c>
    </row>
    <row r="3990" spans="11:13" x14ac:dyDescent="0.2">
      <c r="K3990" t="s">
        <v>42</v>
      </c>
      <c r="L3990" t="s">
        <v>38</v>
      </c>
      <c r="M3990">
        <v>0</v>
      </c>
    </row>
    <row r="3991" spans="11:13" x14ac:dyDescent="0.2">
      <c r="K3991" t="s">
        <v>41</v>
      </c>
      <c r="L3991" t="s">
        <v>37</v>
      </c>
      <c r="M3991">
        <v>0</v>
      </c>
    </row>
    <row r="3992" spans="11:13" x14ac:dyDescent="0.2">
      <c r="K3992" t="s">
        <v>41</v>
      </c>
      <c r="L3992" t="s">
        <v>37</v>
      </c>
      <c r="M3992">
        <v>0</v>
      </c>
    </row>
    <row r="3993" spans="11:13" x14ac:dyDescent="0.2">
      <c r="K3993" t="s">
        <v>41</v>
      </c>
      <c r="L3993" t="s">
        <v>37</v>
      </c>
      <c r="M3993">
        <v>0</v>
      </c>
    </row>
    <row r="3994" spans="11:13" x14ac:dyDescent="0.2">
      <c r="K3994" t="s">
        <v>42</v>
      </c>
      <c r="L3994" t="s">
        <v>38</v>
      </c>
      <c r="M3994">
        <v>0</v>
      </c>
    </row>
    <row r="3995" spans="11:13" x14ac:dyDescent="0.2">
      <c r="K3995" t="s">
        <v>41</v>
      </c>
      <c r="L3995" t="s">
        <v>37</v>
      </c>
      <c r="M3995">
        <v>0</v>
      </c>
    </row>
    <row r="3996" spans="11:13" x14ac:dyDescent="0.2">
      <c r="K3996" t="s">
        <v>42</v>
      </c>
      <c r="L3996" t="s">
        <v>38</v>
      </c>
      <c r="M3996">
        <v>0</v>
      </c>
    </row>
    <row r="3997" spans="11:13" x14ac:dyDescent="0.2">
      <c r="K3997" t="s">
        <v>42</v>
      </c>
      <c r="L3997" t="s">
        <v>38</v>
      </c>
      <c r="M3997">
        <v>0</v>
      </c>
    </row>
    <row r="3998" spans="11:13" x14ac:dyDescent="0.2">
      <c r="K3998" t="s">
        <v>42</v>
      </c>
      <c r="L3998" t="s">
        <v>38</v>
      </c>
      <c r="M3998">
        <v>0</v>
      </c>
    </row>
    <row r="3999" spans="11:13" x14ac:dyDescent="0.2">
      <c r="K3999" t="s">
        <v>41</v>
      </c>
      <c r="L3999" t="s">
        <v>37</v>
      </c>
      <c r="M3999">
        <v>0</v>
      </c>
    </row>
    <row r="4000" spans="11:13" x14ac:dyDescent="0.2">
      <c r="K4000" t="s">
        <v>41</v>
      </c>
      <c r="L4000" t="s">
        <v>37</v>
      </c>
      <c r="M4000">
        <v>0</v>
      </c>
    </row>
    <row r="4001" spans="11:13" x14ac:dyDescent="0.2">
      <c r="K4001" t="s">
        <v>42</v>
      </c>
      <c r="L4001" t="s">
        <v>38</v>
      </c>
      <c r="M4001">
        <v>0</v>
      </c>
    </row>
    <row r="4002" spans="11:13" x14ac:dyDescent="0.2">
      <c r="K4002" t="s">
        <v>42</v>
      </c>
      <c r="L4002" t="s">
        <v>38</v>
      </c>
      <c r="M4002">
        <v>0</v>
      </c>
    </row>
    <row r="4003" spans="11:13" x14ac:dyDescent="0.2">
      <c r="K4003" t="s">
        <v>41</v>
      </c>
      <c r="L4003" t="s">
        <v>37</v>
      </c>
      <c r="M4003">
        <v>0</v>
      </c>
    </row>
    <row r="4004" spans="11:13" x14ac:dyDescent="0.2">
      <c r="K4004" t="s">
        <v>42</v>
      </c>
      <c r="L4004" t="s">
        <v>38</v>
      </c>
      <c r="M4004">
        <v>0</v>
      </c>
    </row>
    <row r="4005" spans="11:13" x14ac:dyDescent="0.2">
      <c r="K4005" t="s">
        <v>41</v>
      </c>
      <c r="L4005" t="s">
        <v>37</v>
      </c>
      <c r="M4005">
        <v>0</v>
      </c>
    </row>
    <row r="4006" spans="11:13" x14ac:dyDescent="0.2">
      <c r="K4006" t="s">
        <v>42</v>
      </c>
      <c r="L4006" t="s">
        <v>38</v>
      </c>
      <c r="M4006">
        <v>0</v>
      </c>
    </row>
    <row r="4007" spans="11:13" x14ac:dyDescent="0.2">
      <c r="K4007" t="s">
        <v>41</v>
      </c>
      <c r="L4007" t="s">
        <v>37</v>
      </c>
      <c r="M4007">
        <v>0</v>
      </c>
    </row>
    <row r="4008" spans="11:13" x14ac:dyDescent="0.2">
      <c r="K4008" t="s">
        <v>42</v>
      </c>
      <c r="L4008" t="s">
        <v>38</v>
      </c>
      <c r="M4008">
        <v>0</v>
      </c>
    </row>
    <row r="4009" spans="11:13" x14ac:dyDescent="0.2">
      <c r="K4009" t="s">
        <v>41</v>
      </c>
      <c r="L4009" t="s">
        <v>37</v>
      </c>
      <c r="M4009">
        <v>0</v>
      </c>
    </row>
    <row r="4010" spans="11:13" x14ac:dyDescent="0.2">
      <c r="K4010" t="s">
        <v>42</v>
      </c>
      <c r="L4010" t="s">
        <v>38</v>
      </c>
      <c r="M4010">
        <v>0</v>
      </c>
    </row>
    <row r="4011" spans="11:13" x14ac:dyDescent="0.2">
      <c r="K4011" t="s">
        <v>42</v>
      </c>
      <c r="L4011" t="s">
        <v>38</v>
      </c>
      <c r="M4011">
        <v>0</v>
      </c>
    </row>
    <row r="4012" spans="11:13" x14ac:dyDescent="0.2">
      <c r="K4012" t="s">
        <v>42</v>
      </c>
      <c r="L4012" t="s">
        <v>38</v>
      </c>
      <c r="M4012">
        <v>0</v>
      </c>
    </row>
    <row r="4013" spans="11:13" x14ac:dyDescent="0.2">
      <c r="K4013" t="s">
        <v>42</v>
      </c>
      <c r="L4013" t="s">
        <v>38</v>
      </c>
      <c r="M4013">
        <v>0</v>
      </c>
    </row>
    <row r="4014" spans="11:13" x14ac:dyDescent="0.2">
      <c r="K4014" t="s">
        <v>42</v>
      </c>
      <c r="L4014" t="s">
        <v>38</v>
      </c>
      <c r="M4014">
        <v>0</v>
      </c>
    </row>
    <row r="4015" spans="11:13" x14ac:dyDescent="0.2">
      <c r="K4015" t="s">
        <v>41</v>
      </c>
      <c r="L4015" t="s">
        <v>37</v>
      </c>
      <c r="M4015">
        <v>0</v>
      </c>
    </row>
    <row r="4016" spans="11:13" x14ac:dyDescent="0.2">
      <c r="K4016" t="s">
        <v>42</v>
      </c>
      <c r="L4016" t="s">
        <v>38</v>
      </c>
      <c r="M4016">
        <v>0</v>
      </c>
    </row>
    <row r="4017" spans="11:13" x14ac:dyDescent="0.2">
      <c r="K4017" t="s">
        <v>42</v>
      </c>
      <c r="L4017" t="s">
        <v>38</v>
      </c>
      <c r="M4017">
        <v>0</v>
      </c>
    </row>
    <row r="4018" spans="11:13" x14ac:dyDescent="0.2">
      <c r="K4018" t="s">
        <v>41</v>
      </c>
      <c r="L4018" t="s">
        <v>37</v>
      </c>
      <c r="M4018">
        <v>0</v>
      </c>
    </row>
    <row r="4019" spans="11:13" x14ac:dyDescent="0.2">
      <c r="K4019" t="s">
        <v>42</v>
      </c>
      <c r="L4019" t="s">
        <v>38</v>
      </c>
      <c r="M4019">
        <v>0</v>
      </c>
    </row>
    <row r="4020" spans="11:13" x14ac:dyDescent="0.2">
      <c r="K4020" t="s">
        <v>42</v>
      </c>
      <c r="L4020" t="s">
        <v>38</v>
      </c>
      <c r="M4020">
        <v>0</v>
      </c>
    </row>
    <row r="4021" spans="11:13" x14ac:dyDescent="0.2">
      <c r="K4021" t="s">
        <v>42</v>
      </c>
      <c r="L4021" t="s">
        <v>38</v>
      </c>
      <c r="M4021">
        <v>0</v>
      </c>
    </row>
    <row r="4022" spans="11:13" x14ac:dyDescent="0.2">
      <c r="K4022" t="s">
        <v>41</v>
      </c>
      <c r="L4022" t="s">
        <v>37</v>
      </c>
      <c r="M4022">
        <v>0</v>
      </c>
    </row>
    <row r="4023" spans="11:13" x14ac:dyDescent="0.2">
      <c r="K4023" t="s">
        <v>41</v>
      </c>
      <c r="L4023" t="s">
        <v>37</v>
      </c>
      <c r="M4023">
        <v>0</v>
      </c>
    </row>
    <row r="4024" spans="11:13" x14ac:dyDescent="0.2">
      <c r="K4024" t="s">
        <v>41</v>
      </c>
      <c r="L4024" t="s">
        <v>37</v>
      </c>
      <c r="M4024">
        <v>0</v>
      </c>
    </row>
    <row r="4025" spans="11:13" x14ac:dyDescent="0.2">
      <c r="K4025" t="s">
        <v>42</v>
      </c>
      <c r="L4025" t="s">
        <v>38</v>
      </c>
      <c r="M4025">
        <v>0</v>
      </c>
    </row>
    <row r="4026" spans="11:13" x14ac:dyDescent="0.2">
      <c r="K4026" t="s">
        <v>41</v>
      </c>
      <c r="L4026" t="s">
        <v>37</v>
      </c>
      <c r="M4026">
        <v>0</v>
      </c>
    </row>
    <row r="4027" spans="11:13" x14ac:dyDescent="0.2">
      <c r="K4027" t="s">
        <v>42</v>
      </c>
      <c r="L4027" t="s">
        <v>38</v>
      </c>
      <c r="M4027">
        <v>0</v>
      </c>
    </row>
    <row r="4028" spans="11:13" x14ac:dyDescent="0.2">
      <c r="K4028" t="s">
        <v>41</v>
      </c>
      <c r="L4028" t="s">
        <v>37</v>
      </c>
      <c r="M4028">
        <v>0</v>
      </c>
    </row>
    <row r="4029" spans="11:13" x14ac:dyDescent="0.2">
      <c r="K4029" t="s">
        <v>41</v>
      </c>
      <c r="L4029" t="s">
        <v>37</v>
      </c>
      <c r="M4029">
        <v>0</v>
      </c>
    </row>
    <row r="4030" spans="11:13" x14ac:dyDescent="0.2">
      <c r="K4030" t="s">
        <v>41</v>
      </c>
      <c r="L4030" t="s">
        <v>37</v>
      </c>
      <c r="M4030">
        <v>0</v>
      </c>
    </row>
    <row r="4031" spans="11:13" x14ac:dyDescent="0.2">
      <c r="K4031" t="s">
        <v>41</v>
      </c>
      <c r="L4031" t="s">
        <v>37</v>
      </c>
      <c r="M4031">
        <v>0</v>
      </c>
    </row>
    <row r="4032" spans="11:13" x14ac:dyDescent="0.2">
      <c r="K4032" t="s">
        <v>42</v>
      </c>
      <c r="L4032" t="s">
        <v>38</v>
      </c>
      <c r="M4032">
        <v>0</v>
      </c>
    </row>
    <row r="4033" spans="11:13" x14ac:dyDescent="0.2">
      <c r="K4033" t="s">
        <v>42</v>
      </c>
      <c r="L4033" t="s">
        <v>38</v>
      </c>
      <c r="M4033">
        <v>0</v>
      </c>
    </row>
    <row r="4034" spans="11:13" x14ac:dyDescent="0.2">
      <c r="K4034" t="s">
        <v>41</v>
      </c>
      <c r="L4034" t="s">
        <v>37</v>
      </c>
      <c r="M4034">
        <v>0</v>
      </c>
    </row>
    <row r="4035" spans="11:13" x14ac:dyDescent="0.2">
      <c r="K4035" t="s">
        <v>42</v>
      </c>
      <c r="L4035" t="s">
        <v>38</v>
      </c>
      <c r="M4035">
        <v>0</v>
      </c>
    </row>
    <row r="4036" spans="11:13" x14ac:dyDescent="0.2">
      <c r="K4036" t="s">
        <v>41</v>
      </c>
      <c r="L4036" t="s">
        <v>37</v>
      </c>
      <c r="M4036">
        <v>0</v>
      </c>
    </row>
    <row r="4037" spans="11:13" x14ac:dyDescent="0.2">
      <c r="K4037" t="s">
        <v>42</v>
      </c>
      <c r="L4037" t="s">
        <v>38</v>
      </c>
      <c r="M4037">
        <v>0</v>
      </c>
    </row>
    <row r="4038" spans="11:13" x14ac:dyDescent="0.2">
      <c r="K4038" t="s">
        <v>41</v>
      </c>
      <c r="L4038" t="s">
        <v>37</v>
      </c>
      <c r="M4038">
        <v>0</v>
      </c>
    </row>
    <row r="4039" spans="11:13" x14ac:dyDescent="0.2">
      <c r="K4039" t="s">
        <v>41</v>
      </c>
      <c r="L4039" t="s">
        <v>37</v>
      </c>
      <c r="M4039">
        <v>0</v>
      </c>
    </row>
    <row r="4040" spans="11:13" x14ac:dyDescent="0.2">
      <c r="K4040" t="s">
        <v>41</v>
      </c>
      <c r="L4040" t="s">
        <v>37</v>
      </c>
      <c r="M4040">
        <v>0</v>
      </c>
    </row>
    <row r="4041" spans="11:13" x14ac:dyDescent="0.2">
      <c r="K4041" t="s">
        <v>41</v>
      </c>
      <c r="L4041" t="s">
        <v>37</v>
      </c>
      <c r="M4041">
        <v>0</v>
      </c>
    </row>
    <row r="4042" spans="11:13" x14ac:dyDescent="0.2">
      <c r="K4042" t="s">
        <v>41</v>
      </c>
      <c r="L4042" t="s">
        <v>37</v>
      </c>
      <c r="M4042">
        <v>0</v>
      </c>
    </row>
    <row r="4043" spans="11:13" x14ac:dyDescent="0.2">
      <c r="K4043" t="s">
        <v>41</v>
      </c>
      <c r="L4043" t="s">
        <v>37</v>
      </c>
      <c r="M4043">
        <v>0</v>
      </c>
    </row>
    <row r="4044" spans="11:13" x14ac:dyDescent="0.2">
      <c r="K4044" t="s">
        <v>41</v>
      </c>
      <c r="L4044" t="s">
        <v>37</v>
      </c>
      <c r="M4044">
        <v>0</v>
      </c>
    </row>
    <row r="4045" spans="11:13" x14ac:dyDescent="0.2">
      <c r="K4045" t="s">
        <v>42</v>
      </c>
      <c r="L4045" t="s">
        <v>38</v>
      </c>
      <c r="M4045">
        <v>0</v>
      </c>
    </row>
    <row r="4046" spans="11:13" x14ac:dyDescent="0.2">
      <c r="K4046" t="s">
        <v>41</v>
      </c>
      <c r="L4046" t="s">
        <v>37</v>
      </c>
      <c r="M4046">
        <v>0</v>
      </c>
    </row>
    <row r="4047" spans="11:13" x14ac:dyDescent="0.2">
      <c r="K4047" t="s">
        <v>41</v>
      </c>
      <c r="L4047" t="s">
        <v>37</v>
      </c>
      <c r="M4047">
        <v>0</v>
      </c>
    </row>
    <row r="4048" spans="11:13" x14ac:dyDescent="0.2">
      <c r="K4048" t="s">
        <v>41</v>
      </c>
      <c r="L4048" t="s">
        <v>37</v>
      </c>
      <c r="M4048">
        <v>0</v>
      </c>
    </row>
    <row r="4049" spans="11:13" x14ac:dyDescent="0.2">
      <c r="K4049" t="s">
        <v>41</v>
      </c>
      <c r="L4049" t="s">
        <v>37</v>
      </c>
      <c r="M4049">
        <v>1</v>
      </c>
    </row>
    <row r="4050" spans="11:13" x14ac:dyDescent="0.2">
      <c r="K4050" t="s">
        <v>41</v>
      </c>
      <c r="L4050" t="s">
        <v>37</v>
      </c>
      <c r="M4050">
        <v>0</v>
      </c>
    </row>
    <row r="4051" spans="11:13" x14ac:dyDescent="0.2">
      <c r="K4051" t="s">
        <v>41</v>
      </c>
      <c r="L4051" t="s">
        <v>37</v>
      </c>
      <c r="M4051">
        <v>0</v>
      </c>
    </row>
    <row r="4052" spans="11:13" x14ac:dyDescent="0.2">
      <c r="K4052" t="s">
        <v>41</v>
      </c>
      <c r="L4052" t="s">
        <v>37</v>
      </c>
      <c r="M4052">
        <v>0</v>
      </c>
    </row>
    <row r="4053" spans="11:13" x14ac:dyDescent="0.2">
      <c r="K4053" t="s">
        <v>41</v>
      </c>
      <c r="L4053" t="s">
        <v>37</v>
      </c>
      <c r="M4053">
        <v>0</v>
      </c>
    </row>
    <row r="4054" spans="11:13" x14ac:dyDescent="0.2">
      <c r="K4054" t="s">
        <v>42</v>
      </c>
      <c r="L4054" t="s">
        <v>38</v>
      </c>
      <c r="M4054">
        <v>0</v>
      </c>
    </row>
    <row r="4055" spans="11:13" x14ac:dyDescent="0.2">
      <c r="K4055" t="s">
        <v>41</v>
      </c>
      <c r="L4055" t="s">
        <v>37</v>
      </c>
      <c r="M4055">
        <v>0</v>
      </c>
    </row>
    <row r="4056" spans="11:13" x14ac:dyDescent="0.2">
      <c r="K4056" t="s">
        <v>41</v>
      </c>
      <c r="L4056" t="s">
        <v>37</v>
      </c>
      <c r="M4056">
        <v>0</v>
      </c>
    </row>
    <row r="4057" spans="11:13" x14ac:dyDescent="0.2">
      <c r="K4057" t="s">
        <v>41</v>
      </c>
      <c r="L4057" t="s">
        <v>37</v>
      </c>
      <c r="M4057">
        <v>0</v>
      </c>
    </row>
    <row r="4058" spans="11:13" x14ac:dyDescent="0.2">
      <c r="K4058" t="s">
        <v>42</v>
      </c>
      <c r="L4058" t="s">
        <v>38</v>
      </c>
      <c r="M4058">
        <v>0</v>
      </c>
    </row>
    <row r="4059" spans="11:13" x14ac:dyDescent="0.2">
      <c r="K4059" t="s">
        <v>42</v>
      </c>
      <c r="L4059" t="s">
        <v>38</v>
      </c>
      <c r="M4059">
        <v>0</v>
      </c>
    </row>
    <row r="4060" spans="11:13" x14ac:dyDescent="0.2">
      <c r="K4060" t="s">
        <v>41</v>
      </c>
      <c r="L4060" t="s">
        <v>37</v>
      </c>
      <c r="M4060">
        <v>0</v>
      </c>
    </row>
    <row r="4061" spans="11:13" x14ac:dyDescent="0.2">
      <c r="K4061" t="s">
        <v>42</v>
      </c>
      <c r="L4061" t="s">
        <v>38</v>
      </c>
      <c r="M4061">
        <v>0</v>
      </c>
    </row>
    <row r="4062" spans="11:13" x14ac:dyDescent="0.2">
      <c r="K4062" t="s">
        <v>41</v>
      </c>
      <c r="L4062" t="s">
        <v>37</v>
      </c>
      <c r="M4062">
        <v>0</v>
      </c>
    </row>
    <row r="4063" spans="11:13" x14ac:dyDescent="0.2">
      <c r="K4063" t="s">
        <v>42</v>
      </c>
      <c r="L4063" t="s">
        <v>38</v>
      </c>
      <c r="M4063">
        <v>0</v>
      </c>
    </row>
    <row r="4064" spans="11:13" x14ac:dyDescent="0.2">
      <c r="K4064" t="s">
        <v>42</v>
      </c>
      <c r="L4064" t="s">
        <v>38</v>
      </c>
      <c r="M4064">
        <v>0</v>
      </c>
    </row>
    <row r="4065" spans="11:13" x14ac:dyDescent="0.2">
      <c r="K4065" t="s">
        <v>42</v>
      </c>
      <c r="L4065" t="s">
        <v>38</v>
      </c>
      <c r="M4065">
        <v>0</v>
      </c>
    </row>
    <row r="4066" spans="11:13" x14ac:dyDescent="0.2">
      <c r="K4066" t="s">
        <v>41</v>
      </c>
      <c r="L4066" t="s">
        <v>37</v>
      </c>
      <c r="M4066">
        <v>0</v>
      </c>
    </row>
    <row r="4067" spans="11:13" x14ac:dyDescent="0.2">
      <c r="K4067" t="s">
        <v>41</v>
      </c>
      <c r="L4067" t="s">
        <v>37</v>
      </c>
      <c r="M4067">
        <v>0</v>
      </c>
    </row>
    <row r="4068" spans="11:13" x14ac:dyDescent="0.2">
      <c r="K4068" t="s">
        <v>42</v>
      </c>
      <c r="L4068" t="s">
        <v>38</v>
      </c>
      <c r="M4068">
        <v>0</v>
      </c>
    </row>
    <row r="4069" spans="11:13" x14ac:dyDescent="0.2">
      <c r="K4069" t="s">
        <v>41</v>
      </c>
      <c r="L4069" t="s">
        <v>37</v>
      </c>
      <c r="M4069">
        <v>0</v>
      </c>
    </row>
    <row r="4070" spans="11:13" x14ac:dyDescent="0.2">
      <c r="K4070" t="s">
        <v>42</v>
      </c>
      <c r="L4070" t="s">
        <v>38</v>
      </c>
      <c r="M4070">
        <v>0</v>
      </c>
    </row>
    <row r="4071" spans="11:13" x14ac:dyDescent="0.2">
      <c r="K4071" t="s">
        <v>42</v>
      </c>
      <c r="L4071" t="s">
        <v>38</v>
      </c>
      <c r="M4071">
        <v>0</v>
      </c>
    </row>
    <row r="4072" spans="11:13" x14ac:dyDescent="0.2">
      <c r="K4072" t="s">
        <v>42</v>
      </c>
      <c r="L4072" t="s">
        <v>38</v>
      </c>
      <c r="M4072">
        <v>0</v>
      </c>
    </row>
    <row r="4073" spans="11:13" x14ac:dyDescent="0.2">
      <c r="K4073" t="s">
        <v>41</v>
      </c>
      <c r="L4073" t="s">
        <v>37</v>
      </c>
      <c r="M4073">
        <v>0</v>
      </c>
    </row>
    <row r="4074" spans="11:13" x14ac:dyDescent="0.2">
      <c r="K4074" t="s">
        <v>42</v>
      </c>
      <c r="L4074" t="s">
        <v>38</v>
      </c>
      <c r="M4074">
        <v>0</v>
      </c>
    </row>
    <row r="4075" spans="11:13" x14ac:dyDescent="0.2">
      <c r="K4075" t="s">
        <v>42</v>
      </c>
      <c r="L4075" t="s">
        <v>38</v>
      </c>
      <c r="M4075">
        <v>0</v>
      </c>
    </row>
    <row r="4076" spans="11:13" x14ac:dyDescent="0.2">
      <c r="K4076" t="s">
        <v>42</v>
      </c>
      <c r="L4076" t="s">
        <v>38</v>
      </c>
      <c r="M4076">
        <v>0</v>
      </c>
    </row>
    <row r="4077" spans="11:13" x14ac:dyDescent="0.2">
      <c r="K4077" t="s">
        <v>42</v>
      </c>
      <c r="L4077" t="s">
        <v>38</v>
      </c>
      <c r="M4077">
        <v>0</v>
      </c>
    </row>
    <row r="4078" spans="11:13" x14ac:dyDescent="0.2">
      <c r="K4078" t="s">
        <v>41</v>
      </c>
      <c r="L4078" t="s">
        <v>37</v>
      </c>
      <c r="M4078">
        <v>0</v>
      </c>
    </row>
    <row r="4079" spans="11:13" x14ac:dyDescent="0.2">
      <c r="K4079" t="s">
        <v>41</v>
      </c>
      <c r="L4079" t="s">
        <v>37</v>
      </c>
      <c r="M4079">
        <v>0</v>
      </c>
    </row>
    <row r="4080" spans="11:13" x14ac:dyDescent="0.2">
      <c r="K4080" t="s">
        <v>42</v>
      </c>
      <c r="L4080" t="s">
        <v>38</v>
      </c>
      <c r="M4080">
        <v>0</v>
      </c>
    </row>
    <row r="4081" spans="11:13" x14ac:dyDescent="0.2">
      <c r="K4081" t="s">
        <v>42</v>
      </c>
      <c r="L4081" t="s">
        <v>38</v>
      </c>
      <c r="M4081">
        <v>0</v>
      </c>
    </row>
    <row r="4082" spans="11:13" x14ac:dyDescent="0.2">
      <c r="K4082" t="s">
        <v>41</v>
      </c>
      <c r="L4082" t="s">
        <v>37</v>
      </c>
      <c r="M4082">
        <v>0</v>
      </c>
    </row>
    <row r="4083" spans="11:13" x14ac:dyDescent="0.2">
      <c r="K4083" t="s">
        <v>42</v>
      </c>
      <c r="L4083" t="s">
        <v>38</v>
      </c>
      <c r="M4083">
        <v>0</v>
      </c>
    </row>
    <row r="4084" spans="11:13" x14ac:dyDescent="0.2">
      <c r="K4084" t="s">
        <v>41</v>
      </c>
      <c r="L4084" t="s">
        <v>37</v>
      </c>
      <c r="M4084">
        <v>0</v>
      </c>
    </row>
    <row r="4085" spans="11:13" x14ac:dyDescent="0.2">
      <c r="K4085" t="s">
        <v>42</v>
      </c>
      <c r="L4085" t="s">
        <v>38</v>
      </c>
      <c r="M4085">
        <v>0</v>
      </c>
    </row>
    <row r="4086" spans="11:13" x14ac:dyDescent="0.2">
      <c r="K4086" t="s">
        <v>42</v>
      </c>
      <c r="L4086" t="s">
        <v>38</v>
      </c>
      <c r="M4086">
        <v>0</v>
      </c>
    </row>
    <row r="4087" spans="11:13" x14ac:dyDescent="0.2">
      <c r="K4087" t="s">
        <v>41</v>
      </c>
      <c r="L4087" t="s">
        <v>37</v>
      </c>
      <c r="M4087">
        <v>0</v>
      </c>
    </row>
    <row r="4088" spans="11:13" x14ac:dyDescent="0.2">
      <c r="K4088" t="s">
        <v>41</v>
      </c>
      <c r="L4088" t="s">
        <v>37</v>
      </c>
      <c r="M4088">
        <v>0</v>
      </c>
    </row>
    <row r="4089" spans="11:13" x14ac:dyDescent="0.2">
      <c r="K4089" t="s">
        <v>41</v>
      </c>
      <c r="L4089" t="s">
        <v>37</v>
      </c>
      <c r="M4089">
        <v>0</v>
      </c>
    </row>
    <row r="4090" spans="11:13" x14ac:dyDescent="0.2">
      <c r="K4090" t="s">
        <v>41</v>
      </c>
      <c r="L4090" t="s">
        <v>37</v>
      </c>
      <c r="M4090">
        <v>0</v>
      </c>
    </row>
    <row r="4091" spans="11:13" x14ac:dyDescent="0.2">
      <c r="K4091" t="s">
        <v>42</v>
      </c>
      <c r="L4091" t="s">
        <v>38</v>
      </c>
      <c r="M4091">
        <v>0</v>
      </c>
    </row>
    <row r="4092" spans="11:13" x14ac:dyDescent="0.2">
      <c r="K4092" t="s">
        <v>41</v>
      </c>
      <c r="L4092" t="s">
        <v>37</v>
      </c>
      <c r="M4092">
        <v>0</v>
      </c>
    </row>
    <row r="4093" spans="11:13" x14ac:dyDescent="0.2">
      <c r="K4093" t="s">
        <v>41</v>
      </c>
      <c r="L4093" t="s">
        <v>37</v>
      </c>
      <c r="M4093">
        <v>0</v>
      </c>
    </row>
    <row r="4094" spans="11:13" x14ac:dyDescent="0.2">
      <c r="K4094" t="s">
        <v>41</v>
      </c>
      <c r="L4094" t="s">
        <v>37</v>
      </c>
      <c r="M4094">
        <v>0</v>
      </c>
    </row>
    <row r="4095" spans="11:13" x14ac:dyDescent="0.2">
      <c r="K4095" t="s">
        <v>41</v>
      </c>
      <c r="L4095" t="s">
        <v>37</v>
      </c>
      <c r="M4095">
        <v>0</v>
      </c>
    </row>
    <row r="4096" spans="11:13" x14ac:dyDescent="0.2">
      <c r="K4096" t="s">
        <v>42</v>
      </c>
      <c r="L4096" t="s">
        <v>38</v>
      </c>
      <c r="M4096">
        <v>0</v>
      </c>
    </row>
    <row r="4097" spans="11:13" x14ac:dyDescent="0.2">
      <c r="K4097" t="s">
        <v>42</v>
      </c>
      <c r="L4097" t="s">
        <v>38</v>
      </c>
      <c r="M4097">
        <v>0</v>
      </c>
    </row>
    <row r="4098" spans="11:13" x14ac:dyDescent="0.2">
      <c r="K4098" t="s">
        <v>42</v>
      </c>
      <c r="L4098" t="s">
        <v>38</v>
      </c>
      <c r="M4098">
        <v>0</v>
      </c>
    </row>
    <row r="4099" spans="11:13" x14ac:dyDescent="0.2">
      <c r="K4099" t="s">
        <v>41</v>
      </c>
      <c r="L4099" t="s">
        <v>37</v>
      </c>
      <c r="M4099">
        <v>0</v>
      </c>
    </row>
    <row r="4100" spans="11:13" x14ac:dyDescent="0.2">
      <c r="K4100" t="s">
        <v>41</v>
      </c>
      <c r="L4100" t="s">
        <v>37</v>
      </c>
      <c r="M4100">
        <v>0</v>
      </c>
    </row>
    <row r="4101" spans="11:13" x14ac:dyDescent="0.2">
      <c r="K4101" t="s">
        <v>42</v>
      </c>
      <c r="L4101" t="s">
        <v>38</v>
      </c>
      <c r="M4101">
        <v>0</v>
      </c>
    </row>
    <row r="4102" spans="11:13" x14ac:dyDescent="0.2">
      <c r="K4102" t="s">
        <v>42</v>
      </c>
      <c r="L4102" t="s">
        <v>38</v>
      </c>
      <c r="M4102">
        <v>0</v>
      </c>
    </row>
    <row r="4103" spans="11:13" x14ac:dyDescent="0.2">
      <c r="K4103" t="s">
        <v>42</v>
      </c>
      <c r="L4103" t="s">
        <v>38</v>
      </c>
      <c r="M4103">
        <v>0</v>
      </c>
    </row>
    <row r="4104" spans="11:13" x14ac:dyDescent="0.2">
      <c r="K4104" t="s">
        <v>42</v>
      </c>
      <c r="L4104" t="s">
        <v>38</v>
      </c>
      <c r="M4104">
        <v>1</v>
      </c>
    </row>
    <row r="4105" spans="11:13" x14ac:dyDescent="0.2">
      <c r="K4105" t="s">
        <v>41</v>
      </c>
      <c r="L4105" t="s">
        <v>37</v>
      </c>
      <c r="M4105">
        <v>0</v>
      </c>
    </row>
    <row r="4106" spans="11:13" x14ac:dyDescent="0.2">
      <c r="K4106" t="s">
        <v>42</v>
      </c>
      <c r="L4106" t="s">
        <v>38</v>
      </c>
      <c r="M4106">
        <v>0</v>
      </c>
    </row>
    <row r="4107" spans="11:13" x14ac:dyDescent="0.2">
      <c r="K4107" t="s">
        <v>42</v>
      </c>
      <c r="L4107" t="s">
        <v>38</v>
      </c>
      <c r="M4107">
        <v>0</v>
      </c>
    </row>
    <row r="4108" spans="11:13" x14ac:dyDescent="0.2">
      <c r="K4108" t="s">
        <v>41</v>
      </c>
      <c r="L4108" t="s">
        <v>37</v>
      </c>
      <c r="M4108">
        <v>0</v>
      </c>
    </row>
    <row r="4109" spans="11:13" x14ac:dyDescent="0.2">
      <c r="K4109" t="s">
        <v>42</v>
      </c>
      <c r="L4109" t="s">
        <v>38</v>
      </c>
      <c r="M4109">
        <v>0</v>
      </c>
    </row>
    <row r="4110" spans="11:13" x14ac:dyDescent="0.2">
      <c r="K4110" t="s">
        <v>41</v>
      </c>
      <c r="L4110" t="s">
        <v>37</v>
      </c>
      <c r="M4110">
        <v>0</v>
      </c>
    </row>
    <row r="4111" spans="11:13" x14ac:dyDescent="0.2">
      <c r="K4111" t="s">
        <v>41</v>
      </c>
      <c r="L4111" t="s">
        <v>37</v>
      </c>
      <c r="M4111">
        <v>0</v>
      </c>
    </row>
    <row r="4112" spans="11:13" x14ac:dyDescent="0.2">
      <c r="K4112" t="s">
        <v>42</v>
      </c>
      <c r="L4112" t="s">
        <v>38</v>
      </c>
      <c r="M4112">
        <v>0</v>
      </c>
    </row>
    <row r="4113" spans="11:13" x14ac:dyDescent="0.2">
      <c r="K4113" t="s">
        <v>42</v>
      </c>
      <c r="L4113" t="s">
        <v>38</v>
      </c>
      <c r="M4113">
        <v>0</v>
      </c>
    </row>
    <row r="4114" spans="11:13" x14ac:dyDescent="0.2">
      <c r="K4114" t="s">
        <v>42</v>
      </c>
      <c r="L4114" t="s">
        <v>38</v>
      </c>
      <c r="M4114">
        <v>0</v>
      </c>
    </row>
    <row r="4115" spans="11:13" x14ac:dyDescent="0.2">
      <c r="K4115" t="s">
        <v>42</v>
      </c>
      <c r="L4115" t="s">
        <v>38</v>
      </c>
      <c r="M4115">
        <v>0</v>
      </c>
    </row>
    <row r="4116" spans="11:13" x14ac:dyDescent="0.2">
      <c r="K4116" t="s">
        <v>41</v>
      </c>
      <c r="L4116" t="s">
        <v>37</v>
      </c>
      <c r="M4116">
        <v>0</v>
      </c>
    </row>
    <row r="4117" spans="11:13" x14ac:dyDescent="0.2">
      <c r="K4117" t="s">
        <v>41</v>
      </c>
      <c r="L4117" t="s">
        <v>37</v>
      </c>
      <c r="M4117">
        <v>0</v>
      </c>
    </row>
    <row r="4118" spans="11:13" x14ac:dyDescent="0.2">
      <c r="K4118" t="s">
        <v>42</v>
      </c>
      <c r="L4118" t="s">
        <v>38</v>
      </c>
      <c r="M4118">
        <v>0</v>
      </c>
    </row>
    <row r="4119" spans="11:13" x14ac:dyDescent="0.2">
      <c r="K4119" t="s">
        <v>41</v>
      </c>
      <c r="L4119" t="s">
        <v>37</v>
      </c>
      <c r="M4119">
        <v>0</v>
      </c>
    </row>
    <row r="4120" spans="11:13" x14ac:dyDescent="0.2">
      <c r="K4120" t="s">
        <v>42</v>
      </c>
      <c r="L4120" t="s">
        <v>38</v>
      </c>
      <c r="M4120">
        <v>0</v>
      </c>
    </row>
    <row r="4121" spans="11:13" x14ac:dyDescent="0.2">
      <c r="K4121" t="s">
        <v>42</v>
      </c>
      <c r="L4121" t="s">
        <v>38</v>
      </c>
      <c r="M4121">
        <v>0</v>
      </c>
    </row>
    <row r="4122" spans="11:13" x14ac:dyDescent="0.2">
      <c r="K4122" t="s">
        <v>42</v>
      </c>
      <c r="L4122" t="s">
        <v>38</v>
      </c>
      <c r="M4122">
        <v>0</v>
      </c>
    </row>
    <row r="4123" spans="11:13" x14ac:dyDescent="0.2">
      <c r="K4123" t="s">
        <v>42</v>
      </c>
      <c r="L4123" t="s">
        <v>38</v>
      </c>
      <c r="M4123">
        <v>0</v>
      </c>
    </row>
    <row r="4124" spans="11:13" x14ac:dyDescent="0.2">
      <c r="K4124" t="s">
        <v>41</v>
      </c>
      <c r="L4124" t="s">
        <v>37</v>
      </c>
      <c r="M4124">
        <v>0</v>
      </c>
    </row>
    <row r="4125" spans="11:13" x14ac:dyDescent="0.2">
      <c r="K4125" t="s">
        <v>41</v>
      </c>
      <c r="L4125" t="s">
        <v>37</v>
      </c>
      <c r="M4125">
        <v>0</v>
      </c>
    </row>
    <row r="4126" spans="11:13" x14ac:dyDescent="0.2">
      <c r="K4126" t="s">
        <v>41</v>
      </c>
      <c r="L4126" t="s">
        <v>37</v>
      </c>
      <c r="M4126">
        <v>0</v>
      </c>
    </row>
    <row r="4127" spans="11:13" x14ac:dyDescent="0.2">
      <c r="K4127" t="s">
        <v>42</v>
      </c>
      <c r="L4127" t="s">
        <v>38</v>
      </c>
      <c r="M4127">
        <v>0</v>
      </c>
    </row>
    <row r="4128" spans="11:13" x14ac:dyDescent="0.2">
      <c r="K4128" t="s">
        <v>41</v>
      </c>
      <c r="L4128" t="s">
        <v>37</v>
      </c>
      <c r="M4128">
        <v>0</v>
      </c>
    </row>
    <row r="4129" spans="11:13" x14ac:dyDescent="0.2">
      <c r="K4129" t="s">
        <v>41</v>
      </c>
      <c r="L4129" t="s">
        <v>37</v>
      </c>
      <c r="M4129">
        <v>0</v>
      </c>
    </row>
    <row r="4130" spans="11:13" x14ac:dyDescent="0.2">
      <c r="K4130" t="s">
        <v>42</v>
      </c>
      <c r="L4130" t="s">
        <v>38</v>
      </c>
      <c r="M4130">
        <v>0</v>
      </c>
    </row>
    <row r="4131" spans="11:13" x14ac:dyDescent="0.2">
      <c r="K4131" t="s">
        <v>41</v>
      </c>
      <c r="L4131" t="s">
        <v>37</v>
      </c>
      <c r="M4131">
        <v>0</v>
      </c>
    </row>
    <row r="4132" spans="11:13" x14ac:dyDescent="0.2">
      <c r="K4132" t="s">
        <v>42</v>
      </c>
      <c r="L4132" t="s">
        <v>38</v>
      </c>
      <c r="M4132">
        <v>0</v>
      </c>
    </row>
    <row r="4133" spans="11:13" x14ac:dyDescent="0.2">
      <c r="K4133" t="s">
        <v>41</v>
      </c>
      <c r="L4133" t="s">
        <v>37</v>
      </c>
      <c r="M4133">
        <v>0</v>
      </c>
    </row>
    <row r="4134" spans="11:13" x14ac:dyDescent="0.2">
      <c r="K4134" t="s">
        <v>42</v>
      </c>
      <c r="L4134" t="s">
        <v>38</v>
      </c>
      <c r="M4134">
        <v>0</v>
      </c>
    </row>
    <row r="4135" spans="11:13" x14ac:dyDescent="0.2">
      <c r="K4135" t="s">
        <v>41</v>
      </c>
      <c r="L4135" t="s">
        <v>37</v>
      </c>
      <c r="M4135">
        <v>0</v>
      </c>
    </row>
    <row r="4136" spans="11:13" x14ac:dyDescent="0.2">
      <c r="K4136" t="s">
        <v>42</v>
      </c>
      <c r="L4136" t="s">
        <v>38</v>
      </c>
      <c r="M4136">
        <v>1</v>
      </c>
    </row>
    <row r="4137" spans="11:13" x14ac:dyDescent="0.2">
      <c r="K4137" t="s">
        <v>41</v>
      </c>
      <c r="L4137" t="s">
        <v>37</v>
      </c>
      <c r="M4137">
        <v>0</v>
      </c>
    </row>
    <row r="4138" spans="11:13" x14ac:dyDescent="0.2">
      <c r="K4138" t="s">
        <v>42</v>
      </c>
      <c r="L4138" t="s">
        <v>38</v>
      </c>
      <c r="M4138">
        <v>0</v>
      </c>
    </row>
    <row r="4139" spans="11:13" x14ac:dyDescent="0.2">
      <c r="K4139" t="s">
        <v>41</v>
      </c>
      <c r="L4139" t="s">
        <v>37</v>
      </c>
      <c r="M4139">
        <v>0</v>
      </c>
    </row>
    <row r="4140" spans="11:13" x14ac:dyDescent="0.2">
      <c r="K4140" t="s">
        <v>41</v>
      </c>
      <c r="L4140" t="s">
        <v>37</v>
      </c>
      <c r="M4140">
        <v>0</v>
      </c>
    </row>
    <row r="4141" spans="11:13" x14ac:dyDescent="0.2">
      <c r="K4141" t="s">
        <v>42</v>
      </c>
      <c r="L4141" t="s">
        <v>38</v>
      </c>
      <c r="M4141">
        <v>0</v>
      </c>
    </row>
    <row r="4142" spans="11:13" x14ac:dyDescent="0.2">
      <c r="K4142" t="s">
        <v>41</v>
      </c>
      <c r="L4142" t="s">
        <v>37</v>
      </c>
      <c r="M4142">
        <v>0</v>
      </c>
    </row>
    <row r="4143" spans="11:13" x14ac:dyDescent="0.2">
      <c r="K4143" t="s">
        <v>42</v>
      </c>
      <c r="L4143" t="s">
        <v>38</v>
      </c>
      <c r="M4143">
        <v>0</v>
      </c>
    </row>
    <row r="4144" spans="11:13" x14ac:dyDescent="0.2">
      <c r="K4144" t="s">
        <v>41</v>
      </c>
      <c r="L4144" t="s">
        <v>37</v>
      </c>
      <c r="M4144">
        <v>0</v>
      </c>
    </row>
    <row r="4145" spans="11:13" x14ac:dyDescent="0.2">
      <c r="K4145" t="s">
        <v>41</v>
      </c>
      <c r="L4145" t="s">
        <v>37</v>
      </c>
      <c r="M4145">
        <v>0</v>
      </c>
    </row>
    <row r="4146" spans="11:13" x14ac:dyDescent="0.2">
      <c r="K4146" t="s">
        <v>41</v>
      </c>
      <c r="L4146" t="s">
        <v>37</v>
      </c>
      <c r="M4146">
        <v>0</v>
      </c>
    </row>
    <row r="4147" spans="11:13" x14ac:dyDescent="0.2">
      <c r="K4147" t="s">
        <v>41</v>
      </c>
      <c r="L4147" t="s">
        <v>37</v>
      </c>
      <c r="M4147">
        <v>0</v>
      </c>
    </row>
    <row r="4148" spans="11:13" x14ac:dyDescent="0.2">
      <c r="K4148" t="s">
        <v>41</v>
      </c>
      <c r="L4148" t="s">
        <v>37</v>
      </c>
      <c r="M4148">
        <v>0</v>
      </c>
    </row>
    <row r="4149" spans="11:13" x14ac:dyDescent="0.2">
      <c r="K4149" t="s">
        <v>42</v>
      </c>
      <c r="L4149" t="s">
        <v>38</v>
      </c>
      <c r="M4149">
        <v>0</v>
      </c>
    </row>
    <row r="4150" spans="11:13" x14ac:dyDescent="0.2">
      <c r="K4150" t="s">
        <v>42</v>
      </c>
      <c r="L4150" t="s">
        <v>38</v>
      </c>
      <c r="M4150">
        <v>0</v>
      </c>
    </row>
    <row r="4151" spans="11:13" x14ac:dyDescent="0.2">
      <c r="K4151" t="s">
        <v>41</v>
      </c>
      <c r="L4151" t="s">
        <v>37</v>
      </c>
      <c r="M4151">
        <v>0</v>
      </c>
    </row>
    <row r="4152" spans="11:13" x14ac:dyDescent="0.2">
      <c r="K4152" t="s">
        <v>42</v>
      </c>
      <c r="L4152" t="s">
        <v>38</v>
      </c>
      <c r="M4152">
        <v>0</v>
      </c>
    </row>
    <row r="4153" spans="11:13" x14ac:dyDescent="0.2">
      <c r="K4153" t="s">
        <v>41</v>
      </c>
      <c r="L4153" t="s">
        <v>37</v>
      </c>
      <c r="M4153">
        <v>0</v>
      </c>
    </row>
    <row r="4154" spans="11:13" x14ac:dyDescent="0.2">
      <c r="K4154" t="s">
        <v>42</v>
      </c>
      <c r="L4154" t="s">
        <v>38</v>
      </c>
      <c r="M4154">
        <v>0</v>
      </c>
    </row>
    <row r="4155" spans="11:13" x14ac:dyDescent="0.2">
      <c r="K4155" t="s">
        <v>41</v>
      </c>
      <c r="L4155" t="s">
        <v>37</v>
      </c>
      <c r="M4155">
        <v>0</v>
      </c>
    </row>
    <row r="4156" spans="11:13" x14ac:dyDescent="0.2">
      <c r="K4156" t="s">
        <v>41</v>
      </c>
      <c r="L4156" t="s">
        <v>37</v>
      </c>
      <c r="M4156">
        <v>1</v>
      </c>
    </row>
    <row r="4157" spans="11:13" x14ac:dyDescent="0.2">
      <c r="K4157" t="s">
        <v>42</v>
      </c>
      <c r="L4157" t="s">
        <v>38</v>
      </c>
      <c r="M4157">
        <v>0</v>
      </c>
    </row>
    <row r="4158" spans="11:13" x14ac:dyDescent="0.2">
      <c r="K4158" t="s">
        <v>42</v>
      </c>
      <c r="L4158" t="s">
        <v>38</v>
      </c>
      <c r="M4158">
        <v>0</v>
      </c>
    </row>
    <row r="4159" spans="11:13" x14ac:dyDescent="0.2">
      <c r="K4159" t="s">
        <v>41</v>
      </c>
      <c r="L4159" t="s">
        <v>37</v>
      </c>
      <c r="M4159">
        <v>0</v>
      </c>
    </row>
    <row r="4160" spans="11:13" x14ac:dyDescent="0.2">
      <c r="K4160" t="s">
        <v>42</v>
      </c>
      <c r="L4160" t="s">
        <v>38</v>
      </c>
      <c r="M4160">
        <v>0</v>
      </c>
    </row>
    <row r="4161" spans="11:13" x14ac:dyDescent="0.2">
      <c r="K4161" t="s">
        <v>41</v>
      </c>
      <c r="L4161" t="s">
        <v>37</v>
      </c>
      <c r="M4161">
        <v>0</v>
      </c>
    </row>
    <row r="4162" spans="11:13" x14ac:dyDescent="0.2">
      <c r="K4162" t="s">
        <v>41</v>
      </c>
      <c r="L4162" t="s">
        <v>37</v>
      </c>
      <c r="M4162">
        <v>0</v>
      </c>
    </row>
    <row r="4163" spans="11:13" x14ac:dyDescent="0.2">
      <c r="K4163" t="s">
        <v>41</v>
      </c>
      <c r="L4163" t="s">
        <v>37</v>
      </c>
      <c r="M4163">
        <v>0</v>
      </c>
    </row>
    <row r="4164" spans="11:13" x14ac:dyDescent="0.2">
      <c r="K4164" t="s">
        <v>42</v>
      </c>
      <c r="L4164" t="s">
        <v>38</v>
      </c>
      <c r="M4164">
        <v>0</v>
      </c>
    </row>
    <row r="4165" spans="11:13" x14ac:dyDescent="0.2">
      <c r="K4165" t="s">
        <v>42</v>
      </c>
      <c r="L4165" t="s">
        <v>38</v>
      </c>
      <c r="M4165">
        <v>0</v>
      </c>
    </row>
    <row r="4166" spans="11:13" x14ac:dyDescent="0.2">
      <c r="K4166" t="s">
        <v>42</v>
      </c>
      <c r="L4166" t="s">
        <v>38</v>
      </c>
      <c r="M4166">
        <v>0</v>
      </c>
    </row>
    <row r="4167" spans="11:13" x14ac:dyDescent="0.2">
      <c r="K4167" t="s">
        <v>42</v>
      </c>
      <c r="L4167" t="s">
        <v>38</v>
      </c>
      <c r="M4167">
        <v>0</v>
      </c>
    </row>
    <row r="4168" spans="11:13" x14ac:dyDescent="0.2">
      <c r="K4168" t="s">
        <v>41</v>
      </c>
      <c r="L4168" t="s">
        <v>37</v>
      </c>
      <c r="M4168">
        <v>0</v>
      </c>
    </row>
    <row r="4169" spans="11:13" x14ac:dyDescent="0.2">
      <c r="K4169" t="s">
        <v>41</v>
      </c>
      <c r="L4169" t="s">
        <v>37</v>
      </c>
      <c r="M4169">
        <v>0</v>
      </c>
    </row>
    <row r="4170" spans="11:13" x14ac:dyDescent="0.2">
      <c r="K4170" t="s">
        <v>42</v>
      </c>
      <c r="L4170" t="s">
        <v>38</v>
      </c>
      <c r="M4170">
        <v>0</v>
      </c>
    </row>
    <row r="4171" spans="11:13" x14ac:dyDescent="0.2">
      <c r="K4171" t="s">
        <v>42</v>
      </c>
      <c r="L4171" t="s">
        <v>38</v>
      </c>
      <c r="M4171">
        <v>0</v>
      </c>
    </row>
    <row r="4172" spans="11:13" x14ac:dyDescent="0.2">
      <c r="K4172" t="s">
        <v>42</v>
      </c>
      <c r="L4172" t="s">
        <v>38</v>
      </c>
      <c r="M4172">
        <v>0</v>
      </c>
    </row>
    <row r="4173" spans="11:13" x14ac:dyDescent="0.2">
      <c r="K4173" t="s">
        <v>42</v>
      </c>
      <c r="L4173" t="s">
        <v>38</v>
      </c>
      <c r="M4173">
        <v>0</v>
      </c>
    </row>
    <row r="4174" spans="11:13" x14ac:dyDescent="0.2">
      <c r="K4174" t="s">
        <v>42</v>
      </c>
      <c r="L4174" t="s">
        <v>38</v>
      </c>
      <c r="M4174">
        <v>0</v>
      </c>
    </row>
    <row r="4175" spans="11:13" x14ac:dyDescent="0.2">
      <c r="K4175" t="s">
        <v>42</v>
      </c>
      <c r="L4175" t="s">
        <v>38</v>
      </c>
      <c r="M4175">
        <v>0</v>
      </c>
    </row>
    <row r="4176" spans="11:13" x14ac:dyDescent="0.2">
      <c r="K4176" t="s">
        <v>42</v>
      </c>
      <c r="L4176" t="s">
        <v>38</v>
      </c>
      <c r="M4176">
        <v>0</v>
      </c>
    </row>
    <row r="4177" spans="11:13" x14ac:dyDescent="0.2">
      <c r="K4177" t="s">
        <v>42</v>
      </c>
      <c r="L4177" t="s">
        <v>38</v>
      </c>
      <c r="M4177">
        <v>0</v>
      </c>
    </row>
    <row r="4178" spans="11:13" x14ac:dyDescent="0.2">
      <c r="K4178" t="s">
        <v>42</v>
      </c>
      <c r="L4178" t="s">
        <v>38</v>
      </c>
      <c r="M4178">
        <v>0</v>
      </c>
    </row>
    <row r="4179" spans="11:13" x14ac:dyDescent="0.2">
      <c r="K4179" t="s">
        <v>42</v>
      </c>
      <c r="L4179" t="s">
        <v>38</v>
      </c>
      <c r="M4179">
        <v>0</v>
      </c>
    </row>
    <row r="4180" spans="11:13" x14ac:dyDescent="0.2">
      <c r="K4180" t="s">
        <v>41</v>
      </c>
      <c r="L4180" t="s">
        <v>37</v>
      </c>
      <c r="M4180">
        <v>0</v>
      </c>
    </row>
    <row r="4181" spans="11:13" x14ac:dyDescent="0.2">
      <c r="K4181" t="s">
        <v>42</v>
      </c>
      <c r="L4181" t="s">
        <v>38</v>
      </c>
      <c r="M4181">
        <v>0</v>
      </c>
    </row>
    <row r="4182" spans="11:13" x14ac:dyDescent="0.2">
      <c r="K4182" t="s">
        <v>42</v>
      </c>
      <c r="L4182" t="s">
        <v>38</v>
      </c>
      <c r="M4182">
        <v>0</v>
      </c>
    </row>
    <row r="4183" spans="11:13" x14ac:dyDescent="0.2">
      <c r="K4183" t="s">
        <v>41</v>
      </c>
      <c r="L4183" t="s">
        <v>37</v>
      </c>
      <c r="M4183">
        <v>0</v>
      </c>
    </row>
    <row r="4184" spans="11:13" x14ac:dyDescent="0.2">
      <c r="K4184" t="s">
        <v>42</v>
      </c>
      <c r="L4184" t="s">
        <v>38</v>
      </c>
      <c r="M4184">
        <v>0</v>
      </c>
    </row>
    <row r="4185" spans="11:13" x14ac:dyDescent="0.2">
      <c r="K4185" t="s">
        <v>41</v>
      </c>
      <c r="L4185" t="s">
        <v>37</v>
      </c>
      <c r="M4185">
        <v>0</v>
      </c>
    </row>
    <row r="4186" spans="11:13" x14ac:dyDescent="0.2">
      <c r="K4186" t="s">
        <v>42</v>
      </c>
      <c r="L4186" t="s">
        <v>38</v>
      </c>
      <c r="M4186">
        <v>0</v>
      </c>
    </row>
    <row r="4187" spans="11:13" x14ac:dyDescent="0.2">
      <c r="K4187" t="s">
        <v>41</v>
      </c>
      <c r="L4187" t="s">
        <v>37</v>
      </c>
      <c r="M4187">
        <v>0</v>
      </c>
    </row>
    <row r="4188" spans="11:13" x14ac:dyDescent="0.2">
      <c r="K4188" t="s">
        <v>41</v>
      </c>
      <c r="L4188" t="s">
        <v>37</v>
      </c>
      <c r="M4188">
        <v>0</v>
      </c>
    </row>
    <row r="4189" spans="11:13" x14ac:dyDescent="0.2">
      <c r="K4189" t="s">
        <v>42</v>
      </c>
      <c r="L4189" t="s">
        <v>38</v>
      </c>
      <c r="M4189">
        <v>0</v>
      </c>
    </row>
    <row r="4190" spans="11:13" x14ac:dyDescent="0.2">
      <c r="K4190" t="s">
        <v>41</v>
      </c>
      <c r="L4190" t="s">
        <v>37</v>
      </c>
      <c r="M4190">
        <v>0</v>
      </c>
    </row>
    <row r="4191" spans="11:13" x14ac:dyDescent="0.2">
      <c r="K4191" t="s">
        <v>41</v>
      </c>
      <c r="L4191" t="s">
        <v>37</v>
      </c>
      <c r="M4191">
        <v>0</v>
      </c>
    </row>
    <row r="4192" spans="11:13" x14ac:dyDescent="0.2">
      <c r="K4192" t="s">
        <v>41</v>
      </c>
      <c r="L4192" t="s">
        <v>37</v>
      </c>
      <c r="M4192">
        <v>0</v>
      </c>
    </row>
    <row r="4193" spans="11:13" x14ac:dyDescent="0.2">
      <c r="K4193" t="s">
        <v>42</v>
      </c>
      <c r="L4193" t="s">
        <v>38</v>
      </c>
      <c r="M4193">
        <v>0</v>
      </c>
    </row>
    <row r="4194" spans="11:13" x14ac:dyDescent="0.2">
      <c r="K4194" t="s">
        <v>42</v>
      </c>
      <c r="L4194" t="s">
        <v>38</v>
      </c>
      <c r="M4194">
        <v>0</v>
      </c>
    </row>
    <row r="4195" spans="11:13" x14ac:dyDescent="0.2">
      <c r="K4195" t="s">
        <v>41</v>
      </c>
      <c r="L4195" t="s">
        <v>37</v>
      </c>
      <c r="M4195">
        <v>0</v>
      </c>
    </row>
    <row r="4196" spans="11:13" x14ac:dyDescent="0.2">
      <c r="K4196" t="s">
        <v>41</v>
      </c>
      <c r="L4196" t="s">
        <v>37</v>
      </c>
      <c r="M4196">
        <v>0</v>
      </c>
    </row>
    <row r="4197" spans="11:13" x14ac:dyDescent="0.2">
      <c r="K4197" t="s">
        <v>41</v>
      </c>
      <c r="L4197" t="s">
        <v>37</v>
      </c>
      <c r="M4197">
        <v>0</v>
      </c>
    </row>
    <row r="4198" spans="11:13" x14ac:dyDescent="0.2">
      <c r="K4198" t="s">
        <v>42</v>
      </c>
      <c r="L4198" t="s">
        <v>38</v>
      </c>
      <c r="M4198">
        <v>0</v>
      </c>
    </row>
    <row r="4199" spans="11:13" x14ac:dyDescent="0.2">
      <c r="K4199" t="s">
        <v>42</v>
      </c>
      <c r="L4199" t="s">
        <v>38</v>
      </c>
      <c r="M4199">
        <v>1</v>
      </c>
    </row>
    <row r="4200" spans="11:13" x14ac:dyDescent="0.2">
      <c r="K4200" t="s">
        <v>42</v>
      </c>
      <c r="L4200" t="s">
        <v>38</v>
      </c>
      <c r="M4200">
        <v>0</v>
      </c>
    </row>
    <row r="4201" spans="11:13" x14ac:dyDescent="0.2">
      <c r="K4201" t="s">
        <v>41</v>
      </c>
      <c r="L4201" t="s">
        <v>37</v>
      </c>
      <c r="M4201">
        <v>0</v>
      </c>
    </row>
    <row r="4202" spans="11:13" x14ac:dyDescent="0.2">
      <c r="K4202" t="s">
        <v>41</v>
      </c>
      <c r="L4202" t="s">
        <v>37</v>
      </c>
      <c r="M4202">
        <v>0</v>
      </c>
    </row>
    <row r="4203" spans="11:13" x14ac:dyDescent="0.2">
      <c r="K4203" t="s">
        <v>42</v>
      </c>
      <c r="L4203" t="s">
        <v>38</v>
      </c>
      <c r="M4203">
        <v>0</v>
      </c>
    </row>
    <row r="4204" spans="11:13" x14ac:dyDescent="0.2">
      <c r="K4204" t="s">
        <v>42</v>
      </c>
      <c r="L4204" t="s">
        <v>38</v>
      </c>
      <c r="M4204">
        <v>0</v>
      </c>
    </row>
    <row r="4205" spans="11:13" x14ac:dyDescent="0.2">
      <c r="K4205" t="s">
        <v>41</v>
      </c>
      <c r="L4205" t="s">
        <v>37</v>
      </c>
      <c r="M4205">
        <v>0</v>
      </c>
    </row>
    <row r="4206" spans="11:13" x14ac:dyDescent="0.2">
      <c r="K4206" t="s">
        <v>42</v>
      </c>
      <c r="L4206" t="s">
        <v>38</v>
      </c>
      <c r="M4206">
        <v>0</v>
      </c>
    </row>
    <row r="4207" spans="11:13" x14ac:dyDescent="0.2">
      <c r="K4207" t="s">
        <v>41</v>
      </c>
      <c r="L4207" t="s">
        <v>37</v>
      </c>
      <c r="M4207">
        <v>0</v>
      </c>
    </row>
    <row r="4208" spans="11:13" x14ac:dyDescent="0.2">
      <c r="K4208" t="s">
        <v>42</v>
      </c>
      <c r="L4208" t="s">
        <v>38</v>
      </c>
      <c r="M4208">
        <v>0</v>
      </c>
    </row>
    <row r="4209" spans="11:13" x14ac:dyDescent="0.2">
      <c r="K4209" t="s">
        <v>42</v>
      </c>
      <c r="L4209" t="s">
        <v>38</v>
      </c>
      <c r="M4209">
        <v>0</v>
      </c>
    </row>
    <row r="4210" spans="11:13" x14ac:dyDescent="0.2">
      <c r="K4210" t="s">
        <v>41</v>
      </c>
      <c r="L4210" t="s">
        <v>37</v>
      </c>
      <c r="M4210">
        <v>0</v>
      </c>
    </row>
    <row r="4211" spans="11:13" x14ac:dyDescent="0.2">
      <c r="K4211" t="s">
        <v>42</v>
      </c>
      <c r="L4211" t="s">
        <v>38</v>
      </c>
      <c r="M4211">
        <v>0</v>
      </c>
    </row>
    <row r="4212" spans="11:13" x14ac:dyDescent="0.2">
      <c r="K4212" t="s">
        <v>41</v>
      </c>
      <c r="L4212" t="s">
        <v>37</v>
      </c>
      <c r="M4212">
        <v>1</v>
      </c>
    </row>
    <row r="4213" spans="11:13" x14ac:dyDescent="0.2">
      <c r="K4213" t="s">
        <v>41</v>
      </c>
      <c r="L4213" t="s">
        <v>37</v>
      </c>
      <c r="M4213">
        <v>0</v>
      </c>
    </row>
    <row r="4214" spans="11:13" x14ac:dyDescent="0.2">
      <c r="K4214" t="s">
        <v>42</v>
      </c>
      <c r="L4214" t="s">
        <v>38</v>
      </c>
      <c r="M4214">
        <v>0</v>
      </c>
    </row>
    <row r="4215" spans="11:13" x14ac:dyDescent="0.2">
      <c r="K4215" t="s">
        <v>41</v>
      </c>
      <c r="L4215" t="s">
        <v>37</v>
      </c>
      <c r="M4215">
        <v>0</v>
      </c>
    </row>
    <row r="4216" spans="11:13" x14ac:dyDescent="0.2">
      <c r="K4216" t="s">
        <v>41</v>
      </c>
      <c r="L4216" t="s">
        <v>37</v>
      </c>
      <c r="M4216">
        <v>0</v>
      </c>
    </row>
    <row r="4217" spans="11:13" x14ac:dyDescent="0.2">
      <c r="K4217" t="s">
        <v>41</v>
      </c>
      <c r="L4217" t="s">
        <v>37</v>
      </c>
      <c r="M4217">
        <v>0</v>
      </c>
    </row>
    <row r="4218" spans="11:13" x14ac:dyDescent="0.2">
      <c r="K4218" t="s">
        <v>42</v>
      </c>
      <c r="L4218" t="s">
        <v>38</v>
      </c>
      <c r="M4218">
        <v>0</v>
      </c>
    </row>
    <row r="4219" spans="11:13" x14ac:dyDescent="0.2">
      <c r="K4219" t="s">
        <v>42</v>
      </c>
      <c r="L4219" t="s">
        <v>38</v>
      </c>
      <c r="M4219">
        <v>0</v>
      </c>
    </row>
    <row r="4220" spans="11:13" x14ac:dyDescent="0.2">
      <c r="K4220" t="s">
        <v>41</v>
      </c>
      <c r="L4220" t="s">
        <v>37</v>
      </c>
      <c r="M4220">
        <v>0</v>
      </c>
    </row>
    <row r="4221" spans="11:13" x14ac:dyDescent="0.2">
      <c r="K4221" t="s">
        <v>42</v>
      </c>
      <c r="L4221" t="s">
        <v>38</v>
      </c>
      <c r="M4221">
        <v>0</v>
      </c>
    </row>
    <row r="4222" spans="11:13" x14ac:dyDescent="0.2">
      <c r="K4222" t="s">
        <v>42</v>
      </c>
      <c r="L4222" t="s">
        <v>38</v>
      </c>
      <c r="M4222">
        <v>0</v>
      </c>
    </row>
    <row r="4223" spans="11:13" x14ac:dyDescent="0.2">
      <c r="K4223" t="s">
        <v>42</v>
      </c>
      <c r="L4223" t="s">
        <v>38</v>
      </c>
      <c r="M4223">
        <v>0</v>
      </c>
    </row>
    <row r="4224" spans="11:13" x14ac:dyDescent="0.2">
      <c r="K4224" t="s">
        <v>41</v>
      </c>
      <c r="L4224" t="s">
        <v>37</v>
      </c>
      <c r="M4224">
        <v>0</v>
      </c>
    </row>
    <row r="4225" spans="11:13" x14ac:dyDescent="0.2">
      <c r="K4225" t="s">
        <v>42</v>
      </c>
      <c r="L4225" t="s">
        <v>38</v>
      </c>
      <c r="M4225">
        <v>0</v>
      </c>
    </row>
    <row r="4226" spans="11:13" x14ac:dyDescent="0.2">
      <c r="K4226" t="s">
        <v>41</v>
      </c>
      <c r="L4226" t="s">
        <v>37</v>
      </c>
      <c r="M4226">
        <v>0</v>
      </c>
    </row>
    <row r="4227" spans="11:13" x14ac:dyDescent="0.2">
      <c r="K4227" t="s">
        <v>41</v>
      </c>
      <c r="L4227" t="s">
        <v>37</v>
      </c>
      <c r="M4227">
        <v>0</v>
      </c>
    </row>
    <row r="4228" spans="11:13" x14ac:dyDescent="0.2">
      <c r="K4228" t="s">
        <v>42</v>
      </c>
      <c r="L4228" t="s">
        <v>38</v>
      </c>
      <c r="M4228">
        <v>0</v>
      </c>
    </row>
    <row r="4229" spans="11:13" x14ac:dyDescent="0.2">
      <c r="K4229" t="s">
        <v>41</v>
      </c>
      <c r="L4229" t="s">
        <v>37</v>
      </c>
      <c r="M4229">
        <v>0</v>
      </c>
    </row>
    <row r="4230" spans="11:13" x14ac:dyDescent="0.2">
      <c r="K4230" t="s">
        <v>42</v>
      </c>
      <c r="L4230" t="s">
        <v>38</v>
      </c>
      <c r="M4230">
        <v>0</v>
      </c>
    </row>
    <row r="4231" spans="11:13" x14ac:dyDescent="0.2">
      <c r="K4231" t="s">
        <v>41</v>
      </c>
      <c r="L4231" t="s">
        <v>37</v>
      </c>
      <c r="M4231">
        <v>0</v>
      </c>
    </row>
    <row r="4232" spans="11:13" x14ac:dyDescent="0.2">
      <c r="K4232" t="s">
        <v>41</v>
      </c>
      <c r="L4232" t="s">
        <v>37</v>
      </c>
      <c r="M4232">
        <v>0</v>
      </c>
    </row>
    <row r="4233" spans="11:13" x14ac:dyDescent="0.2">
      <c r="K4233" t="s">
        <v>41</v>
      </c>
      <c r="L4233" t="s">
        <v>37</v>
      </c>
      <c r="M4233">
        <v>0</v>
      </c>
    </row>
    <row r="4234" spans="11:13" x14ac:dyDescent="0.2">
      <c r="K4234" t="s">
        <v>42</v>
      </c>
      <c r="L4234" t="s">
        <v>38</v>
      </c>
      <c r="M4234">
        <v>0</v>
      </c>
    </row>
    <row r="4235" spans="11:13" x14ac:dyDescent="0.2">
      <c r="K4235" t="s">
        <v>41</v>
      </c>
      <c r="L4235" t="s">
        <v>37</v>
      </c>
      <c r="M4235">
        <v>0</v>
      </c>
    </row>
    <row r="4236" spans="11:13" x14ac:dyDescent="0.2">
      <c r="K4236" t="s">
        <v>42</v>
      </c>
      <c r="L4236" t="s">
        <v>38</v>
      </c>
      <c r="M4236">
        <v>0</v>
      </c>
    </row>
    <row r="4237" spans="11:13" x14ac:dyDescent="0.2">
      <c r="K4237" t="s">
        <v>42</v>
      </c>
      <c r="L4237" t="s">
        <v>38</v>
      </c>
      <c r="M4237">
        <v>0</v>
      </c>
    </row>
    <row r="4238" spans="11:13" x14ac:dyDescent="0.2">
      <c r="K4238" t="s">
        <v>41</v>
      </c>
      <c r="L4238" t="s">
        <v>37</v>
      </c>
      <c r="M4238">
        <v>0</v>
      </c>
    </row>
    <row r="4239" spans="11:13" x14ac:dyDescent="0.2">
      <c r="K4239" t="s">
        <v>42</v>
      </c>
      <c r="L4239" t="s">
        <v>38</v>
      </c>
      <c r="M4239">
        <v>0</v>
      </c>
    </row>
    <row r="4240" spans="11:13" x14ac:dyDescent="0.2">
      <c r="K4240" t="s">
        <v>42</v>
      </c>
      <c r="L4240" t="s">
        <v>38</v>
      </c>
      <c r="M4240">
        <v>0</v>
      </c>
    </row>
    <row r="4241" spans="11:13" x14ac:dyDescent="0.2">
      <c r="K4241" t="s">
        <v>42</v>
      </c>
      <c r="L4241" t="s">
        <v>38</v>
      </c>
      <c r="M4241">
        <v>0</v>
      </c>
    </row>
    <row r="4242" spans="11:13" x14ac:dyDescent="0.2">
      <c r="K4242" t="s">
        <v>42</v>
      </c>
      <c r="L4242" t="s">
        <v>38</v>
      </c>
      <c r="M4242">
        <v>0</v>
      </c>
    </row>
    <row r="4243" spans="11:13" x14ac:dyDescent="0.2">
      <c r="K4243" t="s">
        <v>42</v>
      </c>
      <c r="L4243" t="s">
        <v>38</v>
      </c>
      <c r="M4243">
        <v>0</v>
      </c>
    </row>
    <row r="4244" spans="11:13" x14ac:dyDescent="0.2">
      <c r="K4244" t="s">
        <v>41</v>
      </c>
      <c r="L4244" t="s">
        <v>37</v>
      </c>
      <c r="M4244">
        <v>0</v>
      </c>
    </row>
    <row r="4245" spans="11:13" x14ac:dyDescent="0.2">
      <c r="K4245" t="s">
        <v>41</v>
      </c>
      <c r="L4245" t="s">
        <v>37</v>
      </c>
      <c r="M4245">
        <v>0</v>
      </c>
    </row>
    <row r="4246" spans="11:13" x14ac:dyDescent="0.2">
      <c r="K4246" t="s">
        <v>42</v>
      </c>
      <c r="L4246" t="s">
        <v>38</v>
      </c>
      <c r="M4246">
        <v>0</v>
      </c>
    </row>
    <row r="4247" spans="11:13" x14ac:dyDescent="0.2">
      <c r="K4247" t="s">
        <v>42</v>
      </c>
      <c r="L4247" t="s">
        <v>38</v>
      </c>
      <c r="M4247">
        <v>0</v>
      </c>
    </row>
    <row r="4248" spans="11:13" x14ac:dyDescent="0.2">
      <c r="K4248" t="s">
        <v>42</v>
      </c>
      <c r="L4248" t="s">
        <v>38</v>
      </c>
      <c r="M4248">
        <v>0</v>
      </c>
    </row>
    <row r="4249" spans="11:13" x14ac:dyDescent="0.2">
      <c r="K4249" t="s">
        <v>42</v>
      </c>
      <c r="L4249" t="s">
        <v>38</v>
      </c>
      <c r="M4249">
        <v>0</v>
      </c>
    </row>
    <row r="4250" spans="11:13" x14ac:dyDescent="0.2">
      <c r="K4250" t="s">
        <v>42</v>
      </c>
      <c r="L4250" t="s">
        <v>38</v>
      </c>
      <c r="M4250">
        <v>0</v>
      </c>
    </row>
    <row r="4251" spans="11:13" x14ac:dyDescent="0.2">
      <c r="K4251" t="s">
        <v>42</v>
      </c>
      <c r="L4251" t="s">
        <v>38</v>
      </c>
      <c r="M4251">
        <v>0</v>
      </c>
    </row>
    <row r="4252" spans="11:13" x14ac:dyDescent="0.2">
      <c r="K4252" t="s">
        <v>42</v>
      </c>
      <c r="L4252" t="s">
        <v>38</v>
      </c>
      <c r="M4252">
        <v>0</v>
      </c>
    </row>
    <row r="4253" spans="11:13" x14ac:dyDescent="0.2">
      <c r="K4253" t="s">
        <v>41</v>
      </c>
      <c r="L4253" t="s">
        <v>37</v>
      </c>
      <c r="M4253">
        <v>0</v>
      </c>
    </row>
    <row r="4254" spans="11:13" x14ac:dyDescent="0.2">
      <c r="K4254" t="s">
        <v>41</v>
      </c>
      <c r="L4254" t="s">
        <v>37</v>
      </c>
      <c r="M4254">
        <v>0</v>
      </c>
    </row>
    <row r="4255" spans="11:13" x14ac:dyDescent="0.2">
      <c r="K4255" t="s">
        <v>42</v>
      </c>
      <c r="L4255" t="s">
        <v>38</v>
      </c>
      <c r="M4255">
        <v>0</v>
      </c>
    </row>
    <row r="4256" spans="11:13" x14ac:dyDescent="0.2">
      <c r="K4256" t="s">
        <v>41</v>
      </c>
      <c r="L4256" t="s">
        <v>37</v>
      </c>
      <c r="M4256">
        <v>0</v>
      </c>
    </row>
    <row r="4257" spans="11:13" x14ac:dyDescent="0.2">
      <c r="K4257" t="s">
        <v>41</v>
      </c>
      <c r="L4257" t="s">
        <v>37</v>
      </c>
      <c r="M4257">
        <v>0</v>
      </c>
    </row>
    <row r="4258" spans="11:13" x14ac:dyDescent="0.2">
      <c r="K4258" t="s">
        <v>42</v>
      </c>
      <c r="L4258" t="s">
        <v>38</v>
      </c>
      <c r="M4258">
        <v>0</v>
      </c>
    </row>
    <row r="4259" spans="11:13" x14ac:dyDescent="0.2">
      <c r="K4259" t="s">
        <v>41</v>
      </c>
      <c r="L4259" t="s">
        <v>37</v>
      </c>
      <c r="M4259">
        <v>0</v>
      </c>
    </row>
    <row r="4260" spans="11:13" x14ac:dyDescent="0.2">
      <c r="K4260" t="s">
        <v>41</v>
      </c>
      <c r="L4260" t="s">
        <v>37</v>
      </c>
      <c r="M4260">
        <v>0</v>
      </c>
    </row>
    <row r="4261" spans="11:13" x14ac:dyDescent="0.2">
      <c r="K4261" t="s">
        <v>41</v>
      </c>
      <c r="L4261" t="s">
        <v>37</v>
      </c>
      <c r="M4261">
        <v>0</v>
      </c>
    </row>
    <row r="4262" spans="11:13" x14ac:dyDescent="0.2">
      <c r="K4262" t="s">
        <v>42</v>
      </c>
      <c r="L4262" t="s">
        <v>38</v>
      </c>
      <c r="M4262">
        <v>0</v>
      </c>
    </row>
    <row r="4263" spans="11:13" x14ac:dyDescent="0.2">
      <c r="K4263" t="s">
        <v>42</v>
      </c>
      <c r="L4263" t="s">
        <v>38</v>
      </c>
      <c r="M4263">
        <v>0</v>
      </c>
    </row>
    <row r="4264" spans="11:13" x14ac:dyDescent="0.2">
      <c r="K4264" t="s">
        <v>42</v>
      </c>
      <c r="L4264" t="s">
        <v>38</v>
      </c>
      <c r="M4264">
        <v>0</v>
      </c>
    </row>
    <row r="4265" spans="11:13" x14ac:dyDescent="0.2">
      <c r="K4265" t="s">
        <v>42</v>
      </c>
      <c r="L4265" t="s">
        <v>38</v>
      </c>
      <c r="M4265">
        <v>0</v>
      </c>
    </row>
    <row r="4266" spans="11:13" x14ac:dyDescent="0.2">
      <c r="K4266" t="s">
        <v>42</v>
      </c>
      <c r="L4266" t="s">
        <v>38</v>
      </c>
      <c r="M4266">
        <v>0</v>
      </c>
    </row>
    <row r="4267" spans="11:13" x14ac:dyDescent="0.2">
      <c r="K4267" t="s">
        <v>42</v>
      </c>
      <c r="L4267" t="s">
        <v>38</v>
      </c>
      <c r="M4267">
        <v>1</v>
      </c>
    </row>
    <row r="4268" spans="11:13" x14ac:dyDescent="0.2">
      <c r="K4268" t="s">
        <v>41</v>
      </c>
      <c r="L4268" t="s">
        <v>37</v>
      </c>
      <c r="M4268">
        <v>0</v>
      </c>
    </row>
    <row r="4269" spans="11:13" x14ac:dyDescent="0.2">
      <c r="K4269" t="s">
        <v>41</v>
      </c>
      <c r="L4269" t="s">
        <v>37</v>
      </c>
      <c r="M4269">
        <v>0</v>
      </c>
    </row>
    <row r="4270" spans="11:13" x14ac:dyDescent="0.2">
      <c r="K4270" t="s">
        <v>41</v>
      </c>
      <c r="L4270" t="s">
        <v>37</v>
      </c>
      <c r="M4270">
        <v>0</v>
      </c>
    </row>
    <row r="4271" spans="11:13" x14ac:dyDescent="0.2">
      <c r="K4271" t="s">
        <v>41</v>
      </c>
      <c r="L4271" t="s">
        <v>37</v>
      </c>
      <c r="M4271">
        <v>0</v>
      </c>
    </row>
    <row r="4272" spans="11:13" x14ac:dyDescent="0.2">
      <c r="K4272" t="s">
        <v>42</v>
      </c>
      <c r="L4272" t="s">
        <v>38</v>
      </c>
      <c r="M4272">
        <v>0</v>
      </c>
    </row>
    <row r="4273" spans="11:13" x14ac:dyDescent="0.2">
      <c r="K4273" t="s">
        <v>42</v>
      </c>
      <c r="L4273" t="s">
        <v>38</v>
      </c>
      <c r="M4273">
        <v>0</v>
      </c>
    </row>
    <row r="4274" spans="11:13" x14ac:dyDescent="0.2">
      <c r="K4274" t="s">
        <v>42</v>
      </c>
      <c r="L4274" t="s">
        <v>38</v>
      </c>
      <c r="M4274">
        <v>0</v>
      </c>
    </row>
    <row r="4275" spans="11:13" x14ac:dyDescent="0.2">
      <c r="K4275" t="s">
        <v>42</v>
      </c>
      <c r="L4275" t="s">
        <v>38</v>
      </c>
      <c r="M4275">
        <v>0</v>
      </c>
    </row>
    <row r="4276" spans="11:13" x14ac:dyDescent="0.2">
      <c r="K4276" t="s">
        <v>42</v>
      </c>
      <c r="L4276" t="s">
        <v>38</v>
      </c>
      <c r="M4276">
        <v>0</v>
      </c>
    </row>
    <row r="4277" spans="11:13" x14ac:dyDescent="0.2">
      <c r="K4277" t="s">
        <v>42</v>
      </c>
      <c r="L4277" t="s">
        <v>38</v>
      </c>
      <c r="M4277">
        <v>0</v>
      </c>
    </row>
    <row r="4278" spans="11:13" x14ac:dyDescent="0.2">
      <c r="K4278" t="s">
        <v>41</v>
      </c>
      <c r="L4278" t="s">
        <v>37</v>
      </c>
      <c r="M4278">
        <v>1</v>
      </c>
    </row>
    <row r="4279" spans="11:13" x14ac:dyDescent="0.2">
      <c r="K4279" t="s">
        <v>42</v>
      </c>
      <c r="L4279" t="s">
        <v>38</v>
      </c>
      <c r="M4279">
        <v>0</v>
      </c>
    </row>
    <row r="4280" spans="11:13" x14ac:dyDescent="0.2">
      <c r="K4280" t="s">
        <v>41</v>
      </c>
      <c r="L4280" t="s">
        <v>37</v>
      </c>
      <c r="M4280">
        <v>0</v>
      </c>
    </row>
    <row r="4281" spans="11:13" x14ac:dyDescent="0.2">
      <c r="K4281" t="s">
        <v>42</v>
      </c>
      <c r="L4281" t="s">
        <v>38</v>
      </c>
      <c r="M4281">
        <v>0</v>
      </c>
    </row>
    <row r="4282" spans="11:13" x14ac:dyDescent="0.2">
      <c r="K4282" t="s">
        <v>42</v>
      </c>
      <c r="L4282" t="s">
        <v>38</v>
      </c>
      <c r="M4282">
        <v>0</v>
      </c>
    </row>
    <row r="4283" spans="11:13" x14ac:dyDescent="0.2">
      <c r="K4283" t="s">
        <v>41</v>
      </c>
      <c r="L4283" t="s">
        <v>37</v>
      </c>
      <c r="M4283">
        <v>0</v>
      </c>
    </row>
    <row r="4284" spans="11:13" x14ac:dyDescent="0.2">
      <c r="K4284" t="s">
        <v>42</v>
      </c>
      <c r="L4284" t="s">
        <v>38</v>
      </c>
      <c r="M4284">
        <v>0</v>
      </c>
    </row>
    <row r="4285" spans="11:13" x14ac:dyDescent="0.2">
      <c r="K4285" t="s">
        <v>42</v>
      </c>
      <c r="L4285" t="s">
        <v>38</v>
      </c>
      <c r="M4285">
        <v>0</v>
      </c>
    </row>
    <row r="4286" spans="11:13" x14ac:dyDescent="0.2">
      <c r="K4286" t="s">
        <v>42</v>
      </c>
      <c r="L4286" t="s">
        <v>38</v>
      </c>
      <c r="M4286">
        <v>1</v>
      </c>
    </row>
    <row r="4287" spans="11:13" x14ac:dyDescent="0.2">
      <c r="K4287" t="s">
        <v>42</v>
      </c>
      <c r="L4287" t="s">
        <v>38</v>
      </c>
      <c r="M4287">
        <v>0</v>
      </c>
    </row>
    <row r="4288" spans="11:13" x14ac:dyDescent="0.2">
      <c r="K4288" t="s">
        <v>42</v>
      </c>
      <c r="L4288" t="s">
        <v>38</v>
      </c>
      <c r="M4288">
        <v>0</v>
      </c>
    </row>
    <row r="4289" spans="11:13" x14ac:dyDescent="0.2">
      <c r="K4289" t="s">
        <v>42</v>
      </c>
      <c r="L4289" t="s">
        <v>38</v>
      </c>
      <c r="M4289">
        <v>0</v>
      </c>
    </row>
    <row r="4290" spans="11:13" x14ac:dyDescent="0.2">
      <c r="K4290" t="s">
        <v>41</v>
      </c>
      <c r="L4290" t="s">
        <v>37</v>
      </c>
      <c r="M4290">
        <v>0</v>
      </c>
    </row>
    <row r="4291" spans="11:13" x14ac:dyDescent="0.2">
      <c r="K4291" t="s">
        <v>42</v>
      </c>
      <c r="L4291" t="s">
        <v>38</v>
      </c>
      <c r="M4291">
        <v>0</v>
      </c>
    </row>
    <row r="4292" spans="11:13" x14ac:dyDescent="0.2">
      <c r="K4292" t="s">
        <v>42</v>
      </c>
      <c r="L4292" t="s">
        <v>38</v>
      </c>
      <c r="M4292">
        <v>0</v>
      </c>
    </row>
    <row r="4293" spans="11:13" x14ac:dyDescent="0.2">
      <c r="K4293" t="s">
        <v>41</v>
      </c>
      <c r="L4293" t="s">
        <v>37</v>
      </c>
      <c r="M4293">
        <v>0</v>
      </c>
    </row>
    <row r="4294" spans="11:13" x14ac:dyDescent="0.2">
      <c r="K4294" t="s">
        <v>42</v>
      </c>
      <c r="L4294" t="s">
        <v>38</v>
      </c>
      <c r="M4294">
        <v>0</v>
      </c>
    </row>
    <row r="4295" spans="11:13" x14ac:dyDescent="0.2">
      <c r="K4295" t="s">
        <v>41</v>
      </c>
      <c r="L4295" t="s">
        <v>37</v>
      </c>
      <c r="M4295">
        <v>0</v>
      </c>
    </row>
    <row r="4296" spans="11:13" x14ac:dyDescent="0.2">
      <c r="K4296" t="s">
        <v>42</v>
      </c>
      <c r="L4296" t="s">
        <v>38</v>
      </c>
      <c r="M4296">
        <v>0</v>
      </c>
    </row>
    <row r="4297" spans="11:13" x14ac:dyDescent="0.2">
      <c r="K4297" t="s">
        <v>41</v>
      </c>
      <c r="L4297" t="s">
        <v>37</v>
      </c>
      <c r="M4297">
        <v>0</v>
      </c>
    </row>
    <row r="4298" spans="11:13" x14ac:dyDescent="0.2">
      <c r="K4298" t="s">
        <v>41</v>
      </c>
      <c r="L4298" t="s">
        <v>37</v>
      </c>
      <c r="M4298">
        <v>0</v>
      </c>
    </row>
    <row r="4299" spans="11:13" x14ac:dyDescent="0.2">
      <c r="K4299" t="s">
        <v>42</v>
      </c>
      <c r="L4299" t="s">
        <v>38</v>
      </c>
      <c r="M4299">
        <v>0</v>
      </c>
    </row>
    <row r="4300" spans="11:13" x14ac:dyDescent="0.2">
      <c r="K4300" t="s">
        <v>41</v>
      </c>
      <c r="L4300" t="s">
        <v>37</v>
      </c>
      <c r="M4300">
        <v>0</v>
      </c>
    </row>
    <row r="4301" spans="11:13" x14ac:dyDescent="0.2">
      <c r="K4301" t="s">
        <v>42</v>
      </c>
      <c r="L4301" t="s">
        <v>38</v>
      </c>
      <c r="M4301">
        <v>0</v>
      </c>
    </row>
    <row r="4302" spans="11:13" x14ac:dyDescent="0.2">
      <c r="K4302" t="s">
        <v>42</v>
      </c>
      <c r="L4302" t="s">
        <v>38</v>
      </c>
      <c r="M4302">
        <v>0</v>
      </c>
    </row>
    <row r="4303" spans="11:13" x14ac:dyDescent="0.2">
      <c r="K4303" t="s">
        <v>42</v>
      </c>
      <c r="L4303" t="s">
        <v>38</v>
      </c>
      <c r="M4303">
        <v>0</v>
      </c>
    </row>
    <row r="4304" spans="11:13" x14ac:dyDescent="0.2">
      <c r="K4304" t="s">
        <v>42</v>
      </c>
      <c r="L4304" t="s">
        <v>38</v>
      </c>
      <c r="M4304">
        <v>0</v>
      </c>
    </row>
    <row r="4305" spans="11:13" x14ac:dyDescent="0.2">
      <c r="K4305" t="s">
        <v>42</v>
      </c>
      <c r="L4305" t="s">
        <v>38</v>
      </c>
      <c r="M4305">
        <v>0</v>
      </c>
    </row>
    <row r="4306" spans="11:13" x14ac:dyDescent="0.2">
      <c r="K4306" t="s">
        <v>42</v>
      </c>
      <c r="L4306" t="s">
        <v>38</v>
      </c>
      <c r="M4306">
        <v>0</v>
      </c>
    </row>
    <row r="4307" spans="11:13" x14ac:dyDescent="0.2">
      <c r="K4307" t="s">
        <v>42</v>
      </c>
      <c r="L4307" t="s">
        <v>38</v>
      </c>
      <c r="M4307">
        <v>0</v>
      </c>
    </row>
    <row r="4308" spans="11:13" x14ac:dyDescent="0.2">
      <c r="K4308" t="s">
        <v>42</v>
      </c>
      <c r="L4308" t="s">
        <v>38</v>
      </c>
      <c r="M4308">
        <v>0</v>
      </c>
    </row>
    <row r="4309" spans="11:13" x14ac:dyDescent="0.2">
      <c r="K4309" t="s">
        <v>42</v>
      </c>
      <c r="L4309" t="s">
        <v>38</v>
      </c>
      <c r="M4309">
        <v>0</v>
      </c>
    </row>
    <row r="4310" spans="11:13" x14ac:dyDescent="0.2">
      <c r="K4310" t="s">
        <v>42</v>
      </c>
      <c r="L4310" t="s">
        <v>38</v>
      </c>
      <c r="M4310">
        <v>0</v>
      </c>
    </row>
    <row r="4311" spans="11:13" x14ac:dyDescent="0.2">
      <c r="K4311" t="s">
        <v>41</v>
      </c>
      <c r="L4311" t="s">
        <v>37</v>
      </c>
      <c r="M4311">
        <v>0</v>
      </c>
    </row>
    <row r="4312" spans="11:13" x14ac:dyDescent="0.2">
      <c r="K4312" t="s">
        <v>42</v>
      </c>
      <c r="L4312" t="s">
        <v>38</v>
      </c>
      <c r="M4312">
        <v>0</v>
      </c>
    </row>
    <row r="4313" spans="11:13" x14ac:dyDescent="0.2">
      <c r="K4313" t="s">
        <v>42</v>
      </c>
      <c r="L4313" t="s">
        <v>38</v>
      </c>
      <c r="M4313">
        <v>0</v>
      </c>
    </row>
    <row r="4314" spans="11:13" x14ac:dyDescent="0.2">
      <c r="K4314" t="s">
        <v>41</v>
      </c>
      <c r="L4314" t="s">
        <v>37</v>
      </c>
      <c r="M4314">
        <v>0</v>
      </c>
    </row>
    <row r="4315" spans="11:13" x14ac:dyDescent="0.2">
      <c r="K4315" t="s">
        <v>41</v>
      </c>
      <c r="L4315" t="s">
        <v>37</v>
      </c>
      <c r="M4315">
        <v>0</v>
      </c>
    </row>
    <row r="4316" spans="11:13" x14ac:dyDescent="0.2">
      <c r="K4316" t="s">
        <v>42</v>
      </c>
      <c r="L4316" t="s">
        <v>38</v>
      </c>
      <c r="M4316">
        <v>0</v>
      </c>
    </row>
    <row r="4317" spans="11:13" x14ac:dyDescent="0.2">
      <c r="K4317" t="s">
        <v>41</v>
      </c>
      <c r="L4317" t="s">
        <v>37</v>
      </c>
      <c r="M4317">
        <v>0</v>
      </c>
    </row>
    <row r="4318" spans="11:13" x14ac:dyDescent="0.2">
      <c r="K4318" t="s">
        <v>42</v>
      </c>
      <c r="L4318" t="s">
        <v>38</v>
      </c>
      <c r="M4318">
        <v>0</v>
      </c>
    </row>
    <row r="4319" spans="11:13" x14ac:dyDescent="0.2">
      <c r="K4319" t="s">
        <v>41</v>
      </c>
      <c r="L4319" t="s">
        <v>37</v>
      </c>
      <c r="M4319">
        <v>0</v>
      </c>
    </row>
    <row r="4320" spans="11:13" x14ac:dyDescent="0.2">
      <c r="K4320" t="s">
        <v>41</v>
      </c>
      <c r="L4320" t="s">
        <v>37</v>
      </c>
      <c r="M4320">
        <v>0</v>
      </c>
    </row>
    <row r="4321" spans="11:13" x14ac:dyDescent="0.2">
      <c r="K4321" t="s">
        <v>42</v>
      </c>
      <c r="L4321" t="s">
        <v>38</v>
      </c>
      <c r="M4321">
        <v>0</v>
      </c>
    </row>
    <row r="4322" spans="11:13" x14ac:dyDescent="0.2">
      <c r="K4322" t="s">
        <v>41</v>
      </c>
      <c r="L4322" t="s">
        <v>37</v>
      </c>
      <c r="M4322">
        <v>0</v>
      </c>
    </row>
    <row r="4323" spans="11:13" x14ac:dyDescent="0.2">
      <c r="K4323" t="s">
        <v>41</v>
      </c>
      <c r="L4323" t="s">
        <v>37</v>
      </c>
      <c r="M4323">
        <v>0</v>
      </c>
    </row>
    <row r="4324" spans="11:13" x14ac:dyDescent="0.2">
      <c r="K4324" t="s">
        <v>41</v>
      </c>
      <c r="L4324" t="s">
        <v>37</v>
      </c>
      <c r="M4324">
        <v>0</v>
      </c>
    </row>
    <row r="4325" spans="11:13" x14ac:dyDescent="0.2">
      <c r="K4325" t="s">
        <v>41</v>
      </c>
      <c r="L4325" t="s">
        <v>37</v>
      </c>
      <c r="M4325">
        <v>0</v>
      </c>
    </row>
    <row r="4326" spans="11:13" x14ac:dyDescent="0.2">
      <c r="K4326" t="s">
        <v>42</v>
      </c>
      <c r="L4326" t="s">
        <v>38</v>
      </c>
      <c r="M4326">
        <v>0</v>
      </c>
    </row>
    <row r="4327" spans="11:13" x14ac:dyDescent="0.2">
      <c r="K4327" t="s">
        <v>41</v>
      </c>
      <c r="L4327" t="s">
        <v>37</v>
      </c>
      <c r="M4327">
        <v>0</v>
      </c>
    </row>
    <row r="4328" spans="11:13" x14ac:dyDescent="0.2">
      <c r="K4328" t="s">
        <v>41</v>
      </c>
      <c r="L4328" t="s">
        <v>37</v>
      </c>
      <c r="M4328">
        <v>1</v>
      </c>
    </row>
    <row r="4329" spans="11:13" x14ac:dyDescent="0.2">
      <c r="K4329" t="s">
        <v>41</v>
      </c>
      <c r="L4329" t="s">
        <v>37</v>
      </c>
      <c r="M4329">
        <v>0</v>
      </c>
    </row>
    <row r="4330" spans="11:13" x14ac:dyDescent="0.2">
      <c r="K4330" t="s">
        <v>41</v>
      </c>
      <c r="L4330" t="s">
        <v>37</v>
      </c>
      <c r="M4330">
        <v>0</v>
      </c>
    </row>
    <row r="4331" spans="11:13" x14ac:dyDescent="0.2">
      <c r="K4331" t="s">
        <v>41</v>
      </c>
      <c r="L4331" t="s">
        <v>37</v>
      </c>
      <c r="M4331">
        <v>0</v>
      </c>
    </row>
    <row r="4332" spans="11:13" x14ac:dyDescent="0.2">
      <c r="K4332" t="s">
        <v>42</v>
      </c>
      <c r="L4332" t="s">
        <v>38</v>
      </c>
      <c r="M4332">
        <v>0</v>
      </c>
    </row>
    <row r="4333" spans="11:13" x14ac:dyDescent="0.2">
      <c r="K4333" t="s">
        <v>41</v>
      </c>
      <c r="L4333" t="s">
        <v>37</v>
      </c>
      <c r="M4333">
        <v>0</v>
      </c>
    </row>
    <row r="4334" spans="11:13" x14ac:dyDescent="0.2">
      <c r="K4334" t="s">
        <v>41</v>
      </c>
      <c r="L4334" t="s">
        <v>37</v>
      </c>
      <c r="M4334">
        <v>0</v>
      </c>
    </row>
    <row r="4335" spans="11:13" x14ac:dyDescent="0.2">
      <c r="K4335" t="s">
        <v>42</v>
      </c>
      <c r="L4335" t="s">
        <v>38</v>
      </c>
      <c r="M4335">
        <v>0</v>
      </c>
    </row>
    <row r="4336" spans="11:13" x14ac:dyDescent="0.2">
      <c r="K4336" t="s">
        <v>42</v>
      </c>
      <c r="L4336" t="s">
        <v>38</v>
      </c>
      <c r="M4336">
        <v>0</v>
      </c>
    </row>
    <row r="4337" spans="11:13" x14ac:dyDescent="0.2">
      <c r="K4337" t="s">
        <v>42</v>
      </c>
      <c r="L4337" t="s">
        <v>38</v>
      </c>
      <c r="M4337">
        <v>1</v>
      </c>
    </row>
    <row r="4338" spans="11:13" x14ac:dyDescent="0.2">
      <c r="K4338" t="s">
        <v>42</v>
      </c>
      <c r="L4338" t="s">
        <v>38</v>
      </c>
      <c r="M4338">
        <v>0</v>
      </c>
    </row>
    <row r="4339" spans="11:13" x14ac:dyDescent="0.2">
      <c r="K4339" t="s">
        <v>42</v>
      </c>
      <c r="L4339" t="s">
        <v>38</v>
      </c>
      <c r="M4339">
        <v>0</v>
      </c>
    </row>
    <row r="4340" spans="11:13" x14ac:dyDescent="0.2">
      <c r="K4340" t="s">
        <v>41</v>
      </c>
      <c r="L4340" t="s">
        <v>37</v>
      </c>
      <c r="M4340">
        <v>1</v>
      </c>
    </row>
    <row r="4341" spans="11:13" x14ac:dyDescent="0.2">
      <c r="K4341" t="s">
        <v>42</v>
      </c>
      <c r="L4341" t="s">
        <v>38</v>
      </c>
      <c r="M4341">
        <v>0</v>
      </c>
    </row>
    <row r="4342" spans="11:13" x14ac:dyDescent="0.2">
      <c r="K4342" t="s">
        <v>42</v>
      </c>
      <c r="L4342" t="s">
        <v>38</v>
      </c>
      <c r="M4342">
        <v>0</v>
      </c>
    </row>
    <row r="4343" spans="11:13" x14ac:dyDescent="0.2">
      <c r="K4343" t="s">
        <v>41</v>
      </c>
      <c r="L4343" t="s">
        <v>37</v>
      </c>
      <c r="M4343">
        <v>0</v>
      </c>
    </row>
    <row r="4344" spans="11:13" x14ac:dyDescent="0.2">
      <c r="K4344" t="s">
        <v>42</v>
      </c>
      <c r="L4344" t="s">
        <v>38</v>
      </c>
      <c r="M4344">
        <v>0</v>
      </c>
    </row>
    <row r="4345" spans="11:13" x14ac:dyDescent="0.2">
      <c r="K4345" t="s">
        <v>41</v>
      </c>
      <c r="L4345" t="s">
        <v>37</v>
      </c>
      <c r="M4345">
        <v>0</v>
      </c>
    </row>
    <row r="4346" spans="11:13" x14ac:dyDescent="0.2">
      <c r="K4346" t="s">
        <v>42</v>
      </c>
      <c r="L4346" t="s">
        <v>38</v>
      </c>
      <c r="M4346">
        <v>0</v>
      </c>
    </row>
    <row r="4347" spans="11:13" x14ac:dyDescent="0.2">
      <c r="K4347" t="s">
        <v>42</v>
      </c>
      <c r="L4347" t="s">
        <v>38</v>
      </c>
      <c r="M4347">
        <v>0</v>
      </c>
    </row>
    <row r="4348" spans="11:13" x14ac:dyDescent="0.2">
      <c r="K4348" t="s">
        <v>41</v>
      </c>
      <c r="L4348" t="s">
        <v>37</v>
      </c>
      <c r="M4348">
        <v>0</v>
      </c>
    </row>
    <row r="4349" spans="11:13" x14ac:dyDescent="0.2">
      <c r="K4349" t="s">
        <v>41</v>
      </c>
      <c r="L4349" t="s">
        <v>37</v>
      </c>
      <c r="M4349">
        <v>0</v>
      </c>
    </row>
    <row r="4350" spans="11:13" x14ac:dyDescent="0.2">
      <c r="K4350" t="s">
        <v>41</v>
      </c>
      <c r="L4350" t="s">
        <v>37</v>
      </c>
      <c r="M4350">
        <v>0</v>
      </c>
    </row>
    <row r="4351" spans="11:13" x14ac:dyDescent="0.2">
      <c r="K4351" t="s">
        <v>41</v>
      </c>
      <c r="L4351" t="s">
        <v>37</v>
      </c>
      <c r="M4351">
        <v>0</v>
      </c>
    </row>
    <row r="4352" spans="11:13" x14ac:dyDescent="0.2">
      <c r="K4352" t="s">
        <v>42</v>
      </c>
      <c r="L4352" t="s">
        <v>38</v>
      </c>
      <c r="M4352">
        <v>0</v>
      </c>
    </row>
    <row r="4353" spans="11:13" x14ac:dyDescent="0.2">
      <c r="K4353" t="s">
        <v>42</v>
      </c>
      <c r="L4353" t="s">
        <v>38</v>
      </c>
      <c r="M4353">
        <v>1</v>
      </c>
    </row>
    <row r="4354" spans="11:13" x14ac:dyDescent="0.2">
      <c r="K4354" t="s">
        <v>42</v>
      </c>
      <c r="L4354" t="s">
        <v>38</v>
      </c>
      <c r="M4354">
        <v>0</v>
      </c>
    </row>
    <row r="4355" spans="11:13" x14ac:dyDescent="0.2">
      <c r="K4355" t="s">
        <v>41</v>
      </c>
      <c r="L4355" t="s">
        <v>37</v>
      </c>
      <c r="M4355">
        <v>0</v>
      </c>
    </row>
    <row r="4356" spans="11:13" x14ac:dyDescent="0.2">
      <c r="K4356" t="s">
        <v>42</v>
      </c>
      <c r="L4356" t="s">
        <v>38</v>
      </c>
      <c r="M4356">
        <v>0</v>
      </c>
    </row>
    <row r="4357" spans="11:13" x14ac:dyDescent="0.2">
      <c r="K4357" t="s">
        <v>41</v>
      </c>
      <c r="L4357" t="s">
        <v>37</v>
      </c>
      <c r="M4357">
        <v>0</v>
      </c>
    </row>
    <row r="4358" spans="11:13" x14ac:dyDescent="0.2">
      <c r="K4358" t="s">
        <v>41</v>
      </c>
      <c r="L4358" t="s">
        <v>37</v>
      </c>
      <c r="M4358">
        <v>0</v>
      </c>
    </row>
    <row r="4359" spans="11:13" x14ac:dyDescent="0.2">
      <c r="K4359" t="s">
        <v>42</v>
      </c>
      <c r="L4359" t="s">
        <v>38</v>
      </c>
      <c r="M4359">
        <v>0</v>
      </c>
    </row>
    <row r="4360" spans="11:13" x14ac:dyDescent="0.2">
      <c r="K4360" t="s">
        <v>41</v>
      </c>
      <c r="L4360" t="s">
        <v>37</v>
      </c>
      <c r="M4360">
        <v>0</v>
      </c>
    </row>
    <row r="4361" spans="11:13" x14ac:dyDescent="0.2">
      <c r="K4361" t="s">
        <v>42</v>
      </c>
      <c r="L4361" t="s">
        <v>38</v>
      </c>
      <c r="M4361">
        <v>0</v>
      </c>
    </row>
    <row r="4362" spans="11:13" x14ac:dyDescent="0.2">
      <c r="K4362" t="s">
        <v>41</v>
      </c>
      <c r="L4362" t="s">
        <v>37</v>
      </c>
      <c r="M4362">
        <v>0</v>
      </c>
    </row>
    <row r="4363" spans="11:13" x14ac:dyDescent="0.2">
      <c r="K4363" t="s">
        <v>42</v>
      </c>
      <c r="L4363" t="s">
        <v>38</v>
      </c>
      <c r="M4363">
        <v>0</v>
      </c>
    </row>
    <row r="4364" spans="11:13" x14ac:dyDescent="0.2">
      <c r="K4364" t="s">
        <v>42</v>
      </c>
      <c r="L4364" t="s">
        <v>38</v>
      </c>
      <c r="M4364">
        <v>0</v>
      </c>
    </row>
    <row r="4365" spans="11:13" x14ac:dyDescent="0.2">
      <c r="K4365" t="s">
        <v>41</v>
      </c>
      <c r="L4365" t="s">
        <v>37</v>
      </c>
      <c r="M4365">
        <v>0</v>
      </c>
    </row>
    <row r="4366" spans="11:13" x14ac:dyDescent="0.2">
      <c r="K4366" t="s">
        <v>41</v>
      </c>
      <c r="L4366" t="s">
        <v>37</v>
      </c>
      <c r="M4366">
        <v>0</v>
      </c>
    </row>
    <row r="4367" spans="11:13" x14ac:dyDescent="0.2">
      <c r="K4367" t="s">
        <v>41</v>
      </c>
      <c r="L4367" t="s">
        <v>37</v>
      </c>
      <c r="M4367">
        <v>0</v>
      </c>
    </row>
    <row r="4368" spans="11:13" x14ac:dyDescent="0.2">
      <c r="K4368" t="s">
        <v>41</v>
      </c>
      <c r="L4368" t="s">
        <v>37</v>
      </c>
      <c r="M4368">
        <v>0</v>
      </c>
    </row>
    <row r="4369" spans="11:13" x14ac:dyDescent="0.2">
      <c r="K4369" t="s">
        <v>42</v>
      </c>
      <c r="L4369" t="s">
        <v>38</v>
      </c>
      <c r="M4369">
        <v>0</v>
      </c>
    </row>
    <row r="4370" spans="11:13" x14ac:dyDescent="0.2">
      <c r="K4370" t="s">
        <v>42</v>
      </c>
      <c r="L4370" t="s">
        <v>38</v>
      </c>
      <c r="M4370">
        <v>0</v>
      </c>
    </row>
    <row r="4371" spans="11:13" x14ac:dyDescent="0.2">
      <c r="K4371" t="s">
        <v>42</v>
      </c>
      <c r="L4371" t="s">
        <v>38</v>
      </c>
      <c r="M4371">
        <v>0</v>
      </c>
    </row>
    <row r="4372" spans="11:13" x14ac:dyDescent="0.2">
      <c r="K4372" t="s">
        <v>42</v>
      </c>
      <c r="L4372" t="s">
        <v>38</v>
      </c>
      <c r="M4372">
        <v>0</v>
      </c>
    </row>
    <row r="4373" spans="11:13" x14ac:dyDescent="0.2">
      <c r="K4373" t="s">
        <v>41</v>
      </c>
      <c r="L4373" t="s">
        <v>37</v>
      </c>
      <c r="M4373">
        <v>0</v>
      </c>
    </row>
    <row r="4374" spans="11:13" x14ac:dyDescent="0.2">
      <c r="K4374" t="s">
        <v>42</v>
      </c>
      <c r="L4374" t="s">
        <v>38</v>
      </c>
      <c r="M4374">
        <v>0</v>
      </c>
    </row>
    <row r="4375" spans="11:13" x14ac:dyDescent="0.2">
      <c r="K4375" t="s">
        <v>42</v>
      </c>
      <c r="L4375" t="s">
        <v>38</v>
      </c>
      <c r="M4375">
        <v>0</v>
      </c>
    </row>
    <row r="4376" spans="11:13" x14ac:dyDescent="0.2">
      <c r="K4376" t="s">
        <v>42</v>
      </c>
      <c r="L4376" t="s">
        <v>38</v>
      </c>
      <c r="M4376">
        <v>0</v>
      </c>
    </row>
    <row r="4377" spans="11:13" x14ac:dyDescent="0.2">
      <c r="K4377" t="s">
        <v>42</v>
      </c>
      <c r="L4377" t="s">
        <v>38</v>
      </c>
      <c r="M4377">
        <v>0</v>
      </c>
    </row>
    <row r="4378" spans="11:13" x14ac:dyDescent="0.2">
      <c r="K4378" t="s">
        <v>41</v>
      </c>
      <c r="L4378" t="s">
        <v>37</v>
      </c>
      <c r="M4378">
        <v>0</v>
      </c>
    </row>
    <row r="4379" spans="11:13" x14ac:dyDescent="0.2">
      <c r="K4379" t="s">
        <v>41</v>
      </c>
      <c r="L4379" t="s">
        <v>37</v>
      </c>
      <c r="M4379">
        <v>0</v>
      </c>
    </row>
    <row r="4380" spans="11:13" x14ac:dyDescent="0.2">
      <c r="K4380" t="s">
        <v>42</v>
      </c>
      <c r="L4380" t="s">
        <v>38</v>
      </c>
      <c r="M4380">
        <v>0</v>
      </c>
    </row>
    <row r="4381" spans="11:13" x14ac:dyDescent="0.2">
      <c r="K4381" t="s">
        <v>42</v>
      </c>
      <c r="L4381" t="s">
        <v>38</v>
      </c>
      <c r="M4381">
        <v>0</v>
      </c>
    </row>
    <row r="4382" spans="11:13" x14ac:dyDescent="0.2">
      <c r="K4382" t="s">
        <v>42</v>
      </c>
      <c r="L4382" t="s">
        <v>38</v>
      </c>
      <c r="M4382">
        <v>0</v>
      </c>
    </row>
    <row r="4383" spans="11:13" x14ac:dyDescent="0.2">
      <c r="K4383" t="s">
        <v>41</v>
      </c>
      <c r="L4383" t="s">
        <v>37</v>
      </c>
      <c r="M4383">
        <v>0</v>
      </c>
    </row>
    <row r="4384" spans="11:13" x14ac:dyDescent="0.2">
      <c r="K4384" t="s">
        <v>41</v>
      </c>
      <c r="L4384" t="s">
        <v>37</v>
      </c>
      <c r="M4384">
        <v>0</v>
      </c>
    </row>
    <row r="4385" spans="11:13" x14ac:dyDescent="0.2">
      <c r="K4385" t="s">
        <v>42</v>
      </c>
      <c r="L4385" t="s">
        <v>38</v>
      </c>
      <c r="M4385">
        <v>0</v>
      </c>
    </row>
    <row r="4386" spans="11:13" x14ac:dyDescent="0.2">
      <c r="K4386" t="s">
        <v>41</v>
      </c>
      <c r="L4386" t="s">
        <v>37</v>
      </c>
      <c r="M4386">
        <v>0</v>
      </c>
    </row>
    <row r="4387" spans="11:13" x14ac:dyDescent="0.2">
      <c r="K4387" t="s">
        <v>42</v>
      </c>
      <c r="L4387" t="s">
        <v>38</v>
      </c>
      <c r="M4387">
        <v>0</v>
      </c>
    </row>
    <row r="4388" spans="11:13" x14ac:dyDescent="0.2">
      <c r="K4388" t="s">
        <v>41</v>
      </c>
      <c r="L4388" t="s">
        <v>37</v>
      </c>
      <c r="M4388">
        <v>0</v>
      </c>
    </row>
    <row r="4389" spans="11:13" x14ac:dyDescent="0.2">
      <c r="K4389" t="s">
        <v>42</v>
      </c>
      <c r="L4389" t="s">
        <v>38</v>
      </c>
      <c r="M4389">
        <v>0</v>
      </c>
    </row>
    <row r="4390" spans="11:13" x14ac:dyDescent="0.2">
      <c r="K4390" t="s">
        <v>42</v>
      </c>
      <c r="L4390" t="s">
        <v>38</v>
      </c>
      <c r="M4390">
        <v>1</v>
      </c>
    </row>
    <row r="4391" spans="11:13" x14ac:dyDescent="0.2">
      <c r="K4391" t="s">
        <v>41</v>
      </c>
      <c r="L4391" t="s">
        <v>37</v>
      </c>
      <c r="M4391">
        <v>0</v>
      </c>
    </row>
    <row r="4392" spans="11:13" x14ac:dyDescent="0.2">
      <c r="K4392" t="s">
        <v>42</v>
      </c>
      <c r="L4392" t="s">
        <v>38</v>
      </c>
      <c r="M4392">
        <v>1</v>
      </c>
    </row>
    <row r="4393" spans="11:13" x14ac:dyDescent="0.2">
      <c r="K4393" t="s">
        <v>42</v>
      </c>
      <c r="L4393" t="s">
        <v>38</v>
      </c>
      <c r="M4393">
        <v>0</v>
      </c>
    </row>
    <row r="4394" spans="11:13" x14ac:dyDescent="0.2">
      <c r="K4394" t="s">
        <v>42</v>
      </c>
      <c r="L4394" t="s">
        <v>38</v>
      </c>
      <c r="M4394">
        <v>0</v>
      </c>
    </row>
    <row r="4395" spans="11:13" x14ac:dyDescent="0.2">
      <c r="K4395" t="s">
        <v>42</v>
      </c>
      <c r="L4395" t="s">
        <v>38</v>
      </c>
      <c r="M4395">
        <v>1</v>
      </c>
    </row>
    <row r="4396" spans="11:13" x14ac:dyDescent="0.2">
      <c r="K4396" t="s">
        <v>41</v>
      </c>
      <c r="L4396" t="s">
        <v>37</v>
      </c>
      <c r="M4396">
        <v>0</v>
      </c>
    </row>
    <row r="4397" spans="11:13" x14ac:dyDescent="0.2">
      <c r="K4397" t="s">
        <v>41</v>
      </c>
      <c r="L4397" t="s">
        <v>37</v>
      </c>
      <c r="M4397">
        <v>0</v>
      </c>
    </row>
    <row r="4398" spans="11:13" x14ac:dyDescent="0.2">
      <c r="K4398" t="s">
        <v>42</v>
      </c>
      <c r="L4398" t="s">
        <v>38</v>
      </c>
      <c r="M4398">
        <v>0</v>
      </c>
    </row>
    <row r="4399" spans="11:13" x14ac:dyDescent="0.2">
      <c r="K4399" t="s">
        <v>42</v>
      </c>
      <c r="L4399" t="s">
        <v>38</v>
      </c>
      <c r="M4399">
        <v>0</v>
      </c>
    </row>
    <row r="4400" spans="11:13" x14ac:dyDescent="0.2">
      <c r="K4400" t="s">
        <v>41</v>
      </c>
      <c r="L4400" t="s">
        <v>37</v>
      </c>
      <c r="M4400">
        <v>0</v>
      </c>
    </row>
    <row r="4401" spans="11:13" x14ac:dyDescent="0.2">
      <c r="K4401" t="s">
        <v>41</v>
      </c>
      <c r="L4401" t="s">
        <v>37</v>
      </c>
      <c r="M4401">
        <v>0</v>
      </c>
    </row>
    <row r="4402" spans="11:13" x14ac:dyDescent="0.2">
      <c r="K4402" t="s">
        <v>42</v>
      </c>
      <c r="L4402" t="s">
        <v>38</v>
      </c>
      <c r="M4402">
        <v>0</v>
      </c>
    </row>
    <row r="4403" spans="11:13" x14ac:dyDescent="0.2">
      <c r="K4403" t="s">
        <v>42</v>
      </c>
      <c r="L4403" t="s">
        <v>38</v>
      </c>
      <c r="M4403">
        <v>0</v>
      </c>
    </row>
    <row r="4404" spans="11:13" x14ac:dyDescent="0.2">
      <c r="K4404" t="s">
        <v>42</v>
      </c>
      <c r="L4404" t="s">
        <v>38</v>
      </c>
      <c r="M4404">
        <v>0</v>
      </c>
    </row>
    <row r="4405" spans="11:13" x14ac:dyDescent="0.2">
      <c r="K4405" t="s">
        <v>42</v>
      </c>
      <c r="L4405" t="s">
        <v>38</v>
      </c>
      <c r="M4405">
        <v>0</v>
      </c>
    </row>
    <row r="4406" spans="11:13" x14ac:dyDescent="0.2">
      <c r="K4406" t="s">
        <v>41</v>
      </c>
      <c r="L4406" t="s">
        <v>37</v>
      </c>
      <c r="M4406">
        <v>0</v>
      </c>
    </row>
    <row r="4407" spans="11:13" x14ac:dyDescent="0.2">
      <c r="K4407" t="s">
        <v>41</v>
      </c>
      <c r="L4407" t="s">
        <v>37</v>
      </c>
      <c r="M4407">
        <v>0</v>
      </c>
    </row>
    <row r="4408" spans="11:13" x14ac:dyDescent="0.2">
      <c r="K4408" t="s">
        <v>42</v>
      </c>
      <c r="L4408" t="s">
        <v>38</v>
      </c>
      <c r="M4408">
        <v>1</v>
      </c>
    </row>
    <row r="4409" spans="11:13" x14ac:dyDescent="0.2">
      <c r="K4409" t="s">
        <v>41</v>
      </c>
      <c r="L4409" t="s">
        <v>37</v>
      </c>
      <c r="M4409">
        <v>0</v>
      </c>
    </row>
    <row r="4410" spans="11:13" x14ac:dyDescent="0.2">
      <c r="K4410" t="s">
        <v>41</v>
      </c>
      <c r="L4410" t="s">
        <v>37</v>
      </c>
      <c r="M4410">
        <v>0</v>
      </c>
    </row>
    <row r="4411" spans="11:13" x14ac:dyDescent="0.2">
      <c r="K4411" t="s">
        <v>41</v>
      </c>
      <c r="L4411" t="s">
        <v>37</v>
      </c>
      <c r="M4411">
        <v>0</v>
      </c>
    </row>
    <row r="4412" spans="11:13" x14ac:dyDescent="0.2">
      <c r="K4412" t="s">
        <v>42</v>
      </c>
      <c r="L4412" t="s">
        <v>38</v>
      </c>
      <c r="M4412">
        <v>0</v>
      </c>
    </row>
    <row r="4413" spans="11:13" x14ac:dyDescent="0.2">
      <c r="K4413" t="s">
        <v>42</v>
      </c>
      <c r="L4413" t="s">
        <v>38</v>
      </c>
      <c r="M4413">
        <v>0</v>
      </c>
    </row>
    <row r="4414" spans="11:13" x14ac:dyDescent="0.2">
      <c r="K4414" t="s">
        <v>42</v>
      </c>
      <c r="L4414" t="s">
        <v>38</v>
      </c>
      <c r="M4414">
        <v>0</v>
      </c>
    </row>
    <row r="4415" spans="11:13" x14ac:dyDescent="0.2">
      <c r="K4415" t="s">
        <v>41</v>
      </c>
      <c r="L4415" t="s">
        <v>37</v>
      </c>
      <c r="M4415">
        <v>0</v>
      </c>
    </row>
    <row r="4416" spans="11:13" x14ac:dyDescent="0.2">
      <c r="K4416" t="s">
        <v>42</v>
      </c>
      <c r="L4416" t="s">
        <v>38</v>
      </c>
      <c r="M4416">
        <v>0</v>
      </c>
    </row>
    <row r="4417" spans="11:13" x14ac:dyDescent="0.2">
      <c r="K4417" t="s">
        <v>42</v>
      </c>
      <c r="L4417" t="s">
        <v>38</v>
      </c>
      <c r="M4417">
        <v>0</v>
      </c>
    </row>
    <row r="4418" spans="11:13" x14ac:dyDescent="0.2">
      <c r="K4418" t="s">
        <v>41</v>
      </c>
      <c r="L4418" t="s">
        <v>37</v>
      </c>
      <c r="M4418">
        <v>0</v>
      </c>
    </row>
    <row r="4419" spans="11:13" x14ac:dyDescent="0.2">
      <c r="K4419" t="s">
        <v>42</v>
      </c>
      <c r="L4419" t="s">
        <v>38</v>
      </c>
      <c r="M4419">
        <v>0</v>
      </c>
    </row>
    <row r="4420" spans="11:13" x14ac:dyDescent="0.2">
      <c r="K4420" t="s">
        <v>42</v>
      </c>
      <c r="L4420" t="s">
        <v>38</v>
      </c>
      <c r="M4420">
        <v>0</v>
      </c>
    </row>
    <row r="4421" spans="11:13" x14ac:dyDescent="0.2">
      <c r="K4421" t="s">
        <v>42</v>
      </c>
      <c r="L4421" t="s">
        <v>38</v>
      </c>
      <c r="M4421">
        <v>0</v>
      </c>
    </row>
    <row r="4422" spans="11:13" x14ac:dyDescent="0.2">
      <c r="K4422" t="s">
        <v>42</v>
      </c>
      <c r="L4422" t="s">
        <v>38</v>
      </c>
      <c r="M4422">
        <v>0</v>
      </c>
    </row>
    <row r="4423" spans="11:13" x14ac:dyDescent="0.2">
      <c r="K4423" t="s">
        <v>42</v>
      </c>
      <c r="L4423" t="s">
        <v>38</v>
      </c>
      <c r="M4423">
        <v>0</v>
      </c>
    </row>
    <row r="4424" spans="11:13" x14ac:dyDescent="0.2">
      <c r="K4424" t="s">
        <v>41</v>
      </c>
      <c r="L4424" t="s">
        <v>37</v>
      </c>
      <c r="M4424">
        <v>0</v>
      </c>
    </row>
    <row r="4425" spans="11:13" x14ac:dyDescent="0.2">
      <c r="K4425" t="s">
        <v>42</v>
      </c>
      <c r="L4425" t="s">
        <v>38</v>
      </c>
      <c r="M4425">
        <v>0</v>
      </c>
    </row>
    <row r="4426" spans="11:13" x14ac:dyDescent="0.2">
      <c r="K4426" t="s">
        <v>41</v>
      </c>
      <c r="L4426" t="s">
        <v>37</v>
      </c>
      <c r="M4426">
        <v>0</v>
      </c>
    </row>
    <row r="4427" spans="11:13" x14ac:dyDescent="0.2">
      <c r="K4427" t="s">
        <v>42</v>
      </c>
      <c r="L4427" t="s">
        <v>38</v>
      </c>
      <c r="M4427">
        <v>0</v>
      </c>
    </row>
    <row r="4428" spans="11:13" x14ac:dyDescent="0.2">
      <c r="K4428" t="s">
        <v>42</v>
      </c>
      <c r="L4428" t="s">
        <v>38</v>
      </c>
      <c r="M4428">
        <v>0</v>
      </c>
    </row>
    <row r="4429" spans="11:13" x14ac:dyDescent="0.2">
      <c r="K4429" t="s">
        <v>41</v>
      </c>
      <c r="L4429" t="s">
        <v>37</v>
      </c>
      <c r="M4429">
        <v>0</v>
      </c>
    </row>
    <row r="4430" spans="11:13" x14ac:dyDescent="0.2">
      <c r="K4430" t="s">
        <v>42</v>
      </c>
      <c r="L4430" t="s">
        <v>38</v>
      </c>
      <c r="M4430">
        <v>0</v>
      </c>
    </row>
    <row r="4431" spans="11:13" x14ac:dyDescent="0.2">
      <c r="K4431" t="s">
        <v>41</v>
      </c>
      <c r="L4431" t="s">
        <v>37</v>
      </c>
      <c r="M4431">
        <v>0</v>
      </c>
    </row>
    <row r="4432" spans="11:13" x14ac:dyDescent="0.2">
      <c r="K4432" t="s">
        <v>42</v>
      </c>
      <c r="L4432" t="s">
        <v>38</v>
      </c>
      <c r="M4432">
        <v>0</v>
      </c>
    </row>
    <row r="4433" spans="11:13" x14ac:dyDescent="0.2">
      <c r="K4433" t="s">
        <v>42</v>
      </c>
      <c r="L4433" t="s">
        <v>38</v>
      </c>
      <c r="M4433">
        <v>0</v>
      </c>
    </row>
    <row r="4434" spans="11:13" x14ac:dyDescent="0.2">
      <c r="K4434" t="s">
        <v>41</v>
      </c>
      <c r="L4434" t="s">
        <v>37</v>
      </c>
      <c r="M4434">
        <v>0</v>
      </c>
    </row>
    <row r="4435" spans="11:13" x14ac:dyDescent="0.2">
      <c r="K4435" t="s">
        <v>42</v>
      </c>
      <c r="L4435" t="s">
        <v>38</v>
      </c>
      <c r="M4435">
        <v>0</v>
      </c>
    </row>
    <row r="4436" spans="11:13" x14ac:dyDescent="0.2">
      <c r="K4436" t="s">
        <v>42</v>
      </c>
      <c r="L4436" t="s">
        <v>38</v>
      </c>
      <c r="M4436">
        <v>0</v>
      </c>
    </row>
    <row r="4437" spans="11:13" x14ac:dyDescent="0.2">
      <c r="K4437" t="s">
        <v>41</v>
      </c>
      <c r="L4437" t="s">
        <v>37</v>
      </c>
      <c r="M4437">
        <v>0</v>
      </c>
    </row>
    <row r="4438" spans="11:13" x14ac:dyDescent="0.2">
      <c r="K4438" t="s">
        <v>41</v>
      </c>
      <c r="L4438" t="s">
        <v>37</v>
      </c>
      <c r="M4438">
        <v>0</v>
      </c>
    </row>
    <row r="4439" spans="11:13" x14ac:dyDescent="0.2">
      <c r="K4439" t="s">
        <v>41</v>
      </c>
      <c r="L4439" t="s">
        <v>37</v>
      </c>
      <c r="M4439">
        <v>0</v>
      </c>
    </row>
    <row r="4440" spans="11:13" x14ac:dyDescent="0.2">
      <c r="K4440" t="s">
        <v>42</v>
      </c>
      <c r="L4440" t="s">
        <v>38</v>
      </c>
      <c r="M4440">
        <v>0</v>
      </c>
    </row>
    <row r="4441" spans="11:13" x14ac:dyDescent="0.2">
      <c r="K4441" t="s">
        <v>41</v>
      </c>
      <c r="L4441" t="s">
        <v>37</v>
      </c>
      <c r="M4441">
        <v>0</v>
      </c>
    </row>
    <row r="4442" spans="11:13" x14ac:dyDescent="0.2">
      <c r="K4442" t="s">
        <v>42</v>
      </c>
      <c r="L4442" t="s">
        <v>38</v>
      </c>
      <c r="M4442">
        <v>0</v>
      </c>
    </row>
    <row r="4443" spans="11:13" x14ac:dyDescent="0.2">
      <c r="K4443" t="s">
        <v>41</v>
      </c>
      <c r="L4443" t="s">
        <v>37</v>
      </c>
      <c r="M4443">
        <v>0</v>
      </c>
    </row>
    <row r="4444" spans="11:13" x14ac:dyDescent="0.2">
      <c r="K4444" t="s">
        <v>42</v>
      </c>
      <c r="L4444" t="s">
        <v>38</v>
      </c>
      <c r="M4444">
        <v>0</v>
      </c>
    </row>
    <row r="4445" spans="11:13" x14ac:dyDescent="0.2">
      <c r="K4445" t="s">
        <v>41</v>
      </c>
      <c r="L4445" t="s">
        <v>37</v>
      </c>
      <c r="M4445">
        <v>0</v>
      </c>
    </row>
    <row r="4446" spans="11:13" x14ac:dyDescent="0.2">
      <c r="K4446" t="s">
        <v>42</v>
      </c>
      <c r="L4446" t="s">
        <v>38</v>
      </c>
      <c r="M4446">
        <v>0</v>
      </c>
    </row>
    <row r="4447" spans="11:13" x14ac:dyDescent="0.2">
      <c r="K4447" t="s">
        <v>41</v>
      </c>
      <c r="L4447" t="s">
        <v>37</v>
      </c>
      <c r="M4447">
        <v>0</v>
      </c>
    </row>
    <row r="4448" spans="11:13" x14ac:dyDescent="0.2">
      <c r="K4448" t="s">
        <v>42</v>
      </c>
      <c r="L4448" t="s">
        <v>38</v>
      </c>
      <c r="M4448">
        <v>0</v>
      </c>
    </row>
    <row r="4449" spans="11:13" x14ac:dyDescent="0.2">
      <c r="K4449" t="s">
        <v>41</v>
      </c>
      <c r="L4449" t="s">
        <v>37</v>
      </c>
      <c r="M4449">
        <v>0</v>
      </c>
    </row>
    <row r="4450" spans="11:13" x14ac:dyDescent="0.2">
      <c r="K4450" t="s">
        <v>41</v>
      </c>
      <c r="L4450" t="s">
        <v>37</v>
      </c>
      <c r="M4450">
        <v>0</v>
      </c>
    </row>
    <row r="4451" spans="11:13" x14ac:dyDescent="0.2">
      <c r="K4451" t="s">
        <v>41</v>
      </c>
      <c r="L4451" t="s">
        <v>37</v>
      </c>
      <c r="M4451">
        <v>0</v>
      </c>
    </row>
    <row r="4452" spans="11:13" x14ac:dyDescent="0.2">
      <c r="K4452" t="s">
        <v>42</v>
      </c>
      <c r="L4452" t="s">
        <v>38</v>
      </c>
      <c r="M4452">
        <v>0</v>
      </c>
    </row>
    <row r="4453" spans="11:13" x14ac:dyDescent="0.2">
      <c r="K4453" t="s">
        <v>42</v>
      </c>
      <c r="L4453" t="s">
        <v>38</v>
      </c>
      <c r="M4453">
        <v>0</v>
      </c>
    </row>
    <row r="4454" spans="11:13" x14ac:dyDescent="0.2">
      <c r="K4454" t="s">
        <v>42</v>
      </c>
      <c r="L4454" t="s">
        <v>38</v>
      </c>
      <c r="M4454">
        <v>0</v>
      </c>
    </row>
    <row r="4455" spans="11:13" x14ac:dyDescent="0.2">
      <c r="K4455" t="s">
        <v>41</v>
      </c>
      <c r="L4455" t="s">
        <v>37</v>
      </c>
      <c r="M4455">
        <v>0</v>
      </c>
    </row>
    <row r="4456" spans="11:13" x14ac:dyDescent="0.2">
      <c r="K4456" t="s">
        <v>42</v>
      </c>
      <c r="L4456" t="s">
        <v>38</v>
      </c>
      <c r="M4456">
        <v>0</v>
      </c>
    </row>
    <row r="4457" spans="11:13" x14ac:dyDescent="0.2">
      <c r="K4457" t="s">
        <v>42</v>
      </c>
      <c r="L4457" t="s">
        <v>38</v>
      </c>
      <c r="M4457">
        <v>0</v>
      </c>
    </row>
    <row r="4458" spans="11:13" x14ac:dyDescent="0.2">
      <c r="K4458" t="s">
        <v>42</v>
      </c>
      <c r="L4458" t="s">
        <v>38</v>
      </c>
      <c r="M4458">
        <v>0</v>
      </c>
    </row>
    <row r="4459" spans="11:13" x14ac:dyDescent="0.2">
      <c r="K4459" t="s">
        <v>41</v>
      </c>
      <c r="L4459" t="s">
        <v>37</v>
      </c>
      <c r="M4459">
        <v>0</v>
      </c>
    </row>
    <row r="4460" spans="11:13" x14ac:dyDescent="0.2">
      <c r="K4460" t="s">
        <v>42</v>
      </c>
      <c r="L4460" t="s">
        <v>38</v>
      </c>
      <c r="M4460">
        <v>0</v>
      </c>
    </row>
    <row r="4461" spans="11:13" x14ac:dyDescent="0.2">
      <c r="K4461" t="s">
        <v>41</v>
      </c>
      <c r="L4461" t="s">
        <v>37</v>
      </c>
      <c r="M4461">
        <v>0</v>
      </c>
    </row>
    <row r="4462" spans="11:13" x14ac:dyDescent="0.2">
      <c r="K4462" t="s">
        <v>42</v>
      </c>
      <c r="L4462" t="s">
        <v>38</v>
      </c>
      <c r="M4462">
        <v>0</v>
      </c>
    </row>
    <row r="4463" spans="11:13" x14ac:dyDescent="0.2">
      <c r="K4463" t="s">
        <v>41</v>
      </c>
      <c r="L4463" t="s">
        <v>37</v>
      </c>
      <c r="M4463">
        <v>0</v>
      </c>
    </row>
    <row r="4464" spans="11:13" x14ac:dyDescent="0.2">
      <c r="K4464" t="s">
        <v>41</v>
      </c>
      <c r="L4464" t="s">
        <v>37</v>
      </c>
      <c r="M4464">
        <v>0</v>
      </c>
    </row>
    <row r="4465" spans="11:13" x14ac:dyDescent="0.2">
      <c r="K4465" t="s">
        <v>41</v>
      </c>
      <c r="L4465" t="s">
        <v>37</v>
      </c>
      <c r="M4465">
        <v>0</v>
      </c>
    </row>
    <row r="4466" spans="11:13" x14ac:dyDescent="0.2">
      <c r="K4466" t="s">
        <v>41</v>
      </c>
      <c r="L4466" t="s">
        <v>37</v>
      </c>
      <c r="M4466">
        <v>0</v>
      </c>
    </row>
    <row r="4467" spans="11:13" x14ac:dyDescent="0.2">
      <c r="K4467" t="s">
        <v>41</v>
      </c>
      <c r="L4467" t="s">
        <v>37</v>
      </c>
      <c r="M4467">
        <v>1</v>
      </c>
    </row>
    <row r="4468" spans="11:13" x14ac:dyDescent="0.2">
      <c r="K4468" t="s">
        <v>42</v>
      </c>
      <c r="L4468" t="s">
        <v>38</v>
      </c>
      <c r="M4468">
        <v>0</v>
      </c>
    </row>
    <row r="4469" spans="11:13" x14ac:dyDescent="0.2">
      <c r="K4469" t="s">
        <v>42</v>
      </c>
      <c r="L4469" t="s">
        <v>38</v>
      </c>
      <c r="M4469">
        <v>0</v>
      </c>
    </row>
    <row r="4470" spans="11:13" x14ac:dyDescent="0.2">
      <c r="K4470" t="s">
        <v>41</v>
      </c>
      <c r="L4470" t="s">
        <v>37</v>
      </c>
      <c r="M4470">
        <v>0</v>
      </c>
    </row>
    <row r="4471" spans="11:13" x14ac:dyDescent="0.2">
      <c r="K4471" t="s">
        <v>42</v>
      </c>
      <c r="L4471" t="s">
        <v>38</v>
      </c>
      <c r="M4471">
        <v>0</v>
      </c>
    </row>
    <row r="4472" spans="11:13" x14ac:dyDescent="0.2">
      <c r="K4472" t="s">
        <v>42</v>
      </c>
      <c r="L4472" t="s">
        <v>38</v>
      </c>
      <c r="M4472">
        <v>0</v>
      </c>
    </row>
    <row r="4473" spans="11:13" x14ac:dyDescent="0.2">
      <c r="K4473" t="s">
        <v>42</v>
      </c>
      <c r="L4473" t="s">
        <v>38</v>
      </c>
      <c r="M4473">
        <v>0</v>
      </c>
    </row>
    <row r="4474" spans="11:13" x14ac:dyDescent="0.2">
      <c r="K4474" t="s">
        <v>41</v>
      </c>
      <c r="L4474" t="s">
        <v>37</v>
      </c>
      <c r="M4474">
        <v>0</v>
      </c>
    </row>
    <row r="4475" spans="11:13" x14ac:dyDescent="0.2">
      <c r="K4475" t="s">
        <v>42</v>
      </c>
      <c r="L4475" t="s">
        <v>38</v>
      </c>
      <c r="M4475">
        <v>0</v>
      </c>
    </row>
    <row r="4476" spans="11:13" x14ac:dyDescent="0.2">
      <c r="K4476" t="s">
        <v>42</v>
      </c>
      <c r="L4476" t="s">
        <v>38</v>
      </c>
      <c r="M4476">
        <v>0</v>
      </c>
    </row>
    <row r="4477" spans="11:13" x14ac:dyDescent="0.2">
      <c r="K4477" t="s">
        <v>42</v>
      </c>
      <c r="L4477" t="s">
        <v>38</v>
      </c>
      <c r="M4477">
        <v>0</v>
      </c>
    </row>
    <row r="4478" spans="11:13" x14ac:dyDescent="0.2">
      <c r="K4478" t="s">
        <v>42</v>
      </c>
      <c r="L4478" t="s">
        <v>38</v>
      </c>
      <c r="M4478">
        <v>0</v>
      </c>
    </row>
    <row r="4479" spans="11:13" x14ac:dyDescent="0.2">
      <c r="K4479" t="s">
        <v>42</v>
      </c>
      <c r="L4479" t="s">
        <v>38</v>
      </c>
      <c r="M4479">
        <v>0</v>
      </c>
    </row>
    <row r="4480" spans="11:13" x14ac:dyDescent="0.2">
      <c r="K4480" t="s">
        <v>41</v>
      </c>
      <c r="L4480" t="s">
        <v>37</v>
      </c>
      <c r="M4480">
        <v>0</v>
      </c>
    </row>
    <row r="4481" spans="11:13" x14ac:dyDescent="0.2">
      <c r="K4481" t="s">
        <v>41</v>
      </c>
      <c r="L4481" t="s">
        <v>37</v>
      </c>
      <c r="M4481">
        <v>0</v>
      </c>
    </row>
    <row r="4482" spans="11:13" x14ac:dyDescent="0.2">
      <c r="K4482" t="s">
        <v>41</v>
      </c>
      <c r="L4482" t="s">
        <v>37</v>
      </c>
      <c r="M4482">
        <v>0</v>
      </c>
    </row>
    <row r="4483" spans="11:13" x14ac:dyDescent="0.2">
      <c r="K4483" t="s">
        <v>41</v>
      </c>
      <c r="L4483" t="s">
        <v>37</v>
      </c>
      <c r="M4483">
        <v>0</v>
      </c>
    </row>
    <row r="4484" spans="11:13" x14ac:dyDescent="0.2">
      <c r="K4484" t="s">
        <v>42</v>
      </c>
      <c r="L4484" t="s">
        <v>38</v>
      </c>
      <c r="M4484">
        <v>0</v>
      </c>
    </row>
    <row r="4485" spans="11:13" x14ac:dyDescent="0.2">
      <c r="K4485" t="s">
        <v>41</v>
      </c>
      <c r="L4485" t="s">
        <v>37</v>
      </c>
      <c r="M4485">
        <v>0</v>
      </c>
    </row>
    <row r="4486" spans="11:13" x14ac:dyDescent="0.2">
      <c r="K4486" t="s">
        <v>41</v>
      </c>
      <c r="L4486" t="s">
        <v>37</v>
      </c>
      <c r="M4486">
        <v>0</v>
      </c>
    </row>
    <row r="4487" spans="11:13" x14ac:dyDescent="0.2">
      <c r="K4487" t="s">
        <v>41</v>
      </c>
      <c r="L4487" t="s">
        <v>37</v>
      </c>
      <c r="M4487">
        <v>0</v>
      </c>
    </row>
    <row r="4488" spans="11:13" x14ac:dyDescent="0.2">
      <c r="K4488" t="s">
        <v>42</v>
      </c>
      <c r="L4488" t="s">
        <v>38</v>
      </c>
      <c r="M4488">
        <v>0</v>
      </c>
    </row>
    <row r="4489" spans="11:13" x14ac:dyDescent="0.2">
      <c r="K4489" t="s">
        <v>42</v>
      </c>
      <c r="L4489" t="s">
        <v>38</v>
      </c>
      <c r="M4489">
        <v>0</v>
      </c>
    </row>
    <row r="4490" spans="11:13" x14ac:dyDescent="0.2">
      <c r="K4490" t="s">
        <v>42</v>
      </c>
      <c r="L4490" t="s">
        <v>38</v>
      </c>
      <c r="M4490">
        <v>0</v>
      </c>
    </row>
    <row r="4491" spans="11:13" x14ac:dyDescent="0.2">
      <c r="K4491" t="s">
        <v>42</v>
      </c>
      <c r="L4491" t="s">
        <v>38</v>
      </c>
      <c r="M4491">
        <v>0</v>
      </c>
    </row>
    <row r="4492" spans="11:13" x14ac:dyDescent="0.2">
      <c r="K4492" t="s">
        <v>42</v>
      </c>
      <c r="L4492" t="s">
        <v>38</v>
      </c>
      <c r="M4492">
        <v>0</v>
      </c>
    </row>
    <row r="4493" spans="11:13" x14ac:dyDescent="0.2">
      <c r="K4493" t="s">
        <v>42</v>
      </c>
      <c r="L4493" t="s">
        <v>38</v>
      </c>
      <c r="M4493">
        <v>0</v>
      </c>
    </row>
    <row r="4494" spans="11:13" x14ac:dyDescent="0.2">
      <c r="K4494" t="s">
        <v>42</v>
      </c>
      <c r="L4494" t="s">
        <v>38</v>
      </c>
      <c r="M4494">
        <v>0</v>
      </c>
    </row>
    <row r="4495" spans="11:13" x14ac:dyDescent="0.2">
      <c r="K4495" t="s">
        <v>42</v>
      </c>
      <c r="L4495" t="s">
        <v>38</v>
      </c>
      <c r="M4495">
        <v>0</v>
      </c>
    </row>
    <row r="4496" spans="11:13" x14ac:dyDescent="0.2">
      <c r="K4496" t="s">
        <v>42</v>
      </c>
      <c r="L4496" t="s">
        <v>38</v>
      </c>
      <c r="M4496">
        <v>0</v>
      </c>
    </row>
    <row r="4497" spans="11:13" x14ac:dyDescent="0.2">
      <c r="K4497" t="s">
        <v>41</v>
      </c>
      <c r="L4497" t="s">
        <v>37</v>
      </c>
      <c r="M4497">
        <v>0</v>
      </c>
    </row>
    <row r="4498" spans="11:13" x14ac:dyDescent="0.2">
      <c r="K4498" t="s">
        <v>42</v>
      </c>
      <c r="L4498" t="s">
        <v>38</v>
      </c>
      <c r="M4498">
        <v>0</v>
      </c>
    </row>
    <row r="4499" spans="11:13" x14ac:dyDescent="0.2">
      <c r="K4499" t="s">
        <v>41</v>
      </c>
      <c r="L4499" t="s">
        <v>37</v>
      </c>
      <c r="M4499">
        <v>0</v>
      </c>
    </row>
    <row r="4500" spans="11:13" x14ac:dyDescent="0.2">
      <c r="K4500" t="s">
        <v>42</v>
      </c>
      <c r="L4500" t="s">
        <v>38</v>
      </c>
      <c r="M4500">
        <v>0</v>
      </c>
    </row>
    <row r="4501" spans="11:13" x14ac:dyDescent="0.2">
      <c r="K4501" t="s">
        <v>42</v>
      </c>
      <c r="L4501" t="s">
        <v>38</v>
      </c>
      <c r="M4501">
        <v>0</v>
      </c>
    </row>
    <row r="4502" spans="11:13" x14ac:dyDescent="0.2">
      <c r="K4502" t="s">
        <v>41</v>
      </c>
      <c r="L4502" t="s">
        <v>37</v>
      </c>
      <c r="M4502">
        <v>0</v>
      </c>
    </row>
    <row r="4503" spans="11:13" x14ac:dyDescent="0.2">
      <c r="K4503" t="s">
        <v>42</v>
      </c>
      <c r="L4503" t="s">
        <v>38</v>
      </c>
      <c r="M4503">
        <v>0</v>
      </c>
    </row>
    <row r="4504" spans="11:13" x14ac:dyDescent="0.2">
      <c r="K4504" t="s">
        <v>42</v>
      </c>
      <c r="L4504" t="s">
        <v>38</v>
      </c>
      <c r="M4504">
        <v>0</v>
      </c>
    </row>
    <row r="4505" spans="11:13" x14ac:dyDescent="0.2">
      <c r="K4505" t="s">
        <v>42</v>
      </c>
      <c r="L4505" t="s">
        <v>38</v>
      </c>
      <c r="M4505">
        <v>1</v>
      </c>
    </row>
    <row r="4506" spans="11:13" x14ac:dyDescent="0.2">
      <c r="K4506" t="s">
        <v>41</v>
      </c>
      <c r="L4506" t="s">
        <v>37</v>
      </c>
      <c r="M4506">
        <v>0</v>
      </c>
    </row>
    <row r="4507" spans="11:13" x14ac:dyDescent="0.2">
      <c r="K4507" t="s">
        <v>42</v>
      </c>
      <c r="L4507" t="s">
        <v>38</v>
      </c>
      <c r="M4507">
        <v>0</v>
      </c>
    </row>
    <row r="4508" spans="11:13" x14ac:dyDescent="0.2">
      <c r="K4508" t="s">
        <v>42</v>
      </c>
      <c r="L4508" t="s">
        <v>38</v>
      </c>
      <c r="M4508">
        <v>0</v>
      </c>
    </row>
    <row r="4509" spans="11:13" x14ac:dyDescent="0.2">
      <c r="K4509" t="s">
        <v>41</v>
      </c>
      <c r="L4509" t="s">
        <v>37</v>
      </c>
      <c r="M4509">
        <v>0</v>
      </c>
    </row>
    <row r="4510" spans="11:13" x14ac:dyDescent="0.2">
      <c r="K4510" t="s">
        <v>42</v>
      </c>
      <c r="L4510" t="s">
        <v>38</v>
      </c>
      <c r="M4510">
        <v>0</v>
      </c>
    </row>
    <row r="4511" spans="11:13" x14ac:dyDescent="0.2">
      <c r="K4511" t="s">
        <v>41</v>
      </c>
      <c r="L4511" t="s">
        <v>37</v>
      </c>
      <c r="M4511">
        <v>0</v>
      </c>
    </row>
    <row r="4512" spans="11:13" x14ac:dyDescent="0.2">
      <c r="K4512" t="s">
        <v>42</v>
      </c>
      <c r="L4512" t="s">
        <v>38</v>
      </c>
      <c r="M4512">
        <v>0</v>
      </c>
    </row>
    <row r="4513" spans="11:13" x14ac:dyDescent="0.2">
      <c r="K4513" t="s">
        <v>41</v>
      </c>
      <c r="L4513" t="s">
        <v>37</v>
      </c>
      <c r="M4513">
        <v>0</v>
      </c>
    </row>
    <row r="4514" spans="11:13" x14ac:dyDescent="0.2">
      <c r="K4514" t="s">
        <v>42</v>
      </c>
      <c r="L4514" t="s">
        <v>38</v>
      </c>
      <c r="M4514">
        <v>0</v>
      </c>
    </row>
    <row r="4515" spans="11:13" x14ac:dyDescent="0.2">
      <c r="K4515" t="s">
        <v>42</v>
      </c>
      <c r="L4515" t="s">
        <v>38</v>
      </c>
      <c r="M4515">
        <v>0</v>
      </c>
    </row>
    <row r="4516" spans="11:13" x14ac:dyDescent="0.2">
      <c r="K4516" t="s">
        <v>42</v>
      </c>
      <c r="L4516" t="s">
        <v>38</v>
      </c>
      <c r="M4516">
        <v>0</v>
      </c>
    </row>
    <row r="4517" spans="11:13" x14ac:dyDescent="0.2">
      <c r="K4517" t="s">
        <v>42</v>
      </c>
      <c r="L4517" t="s">
        <v>38</v>
      </c>
      <c r="M4517">
        <v>0</v>
      </c>
    </row>
    <row r="4518" spans="11:13" x14ac:dyDescent="0.2">
      <c r="K4518" t="s">
        <v>41</v>
      </c>
      <c r="L4518" t="s">
        <v>37</v>
      </c>
      <c r="M4518">
        <v>0</v>
      </c>
    </row>
    <row r="4519" spans="11:13" x14ac:dyDescent="0.2">
      <c r="K4519" t="s">
        <v>41</v>
      </c>
      <c r="L4519" t="s">
        <v>37</v>
      </c>
      <c r="M4519">
        <v>0</v>
      </c>
    </row>
    <row r="4520" spans="11:13" x14ac:dyDescent="0.2">
      <c r="K4520" t="s">
        <v>41</v>
      </c>
      <c r="L4520" t="s">
        <v>37</v>
      </c>
      <c r="M4520">
        <v>0</v>
      </c>
    </row>
    <row r="4521" spans="11:13" x14ac:dyDescent="0.2">
      <c r="K4521" t="s">
        <v>41</v>
      </c>
      <c r="L4521" t="s">
        <v>37</v>
      </c>
      <c r="M4521">
        <v>1</v>
      </c>
    </row>
    <row r="4522" spans="11:13" x14ac:dyDescent="0.2">
      <c r="K4522" t="s">
        <v>41</v>
      </c>
      <c r="L4522" t="s">
        <v>37</v>
      </c>
      <c r="M4522">
        <v>0</v>
      </c>
    </row>
    <row r="4523" spans="11:13" x14ac:dyDescent="0.2">
      <c r="K4523" t="s">
        <v>42</v>
      </c>
      <c r="L4523" t="s">
        <v>38</v>
      </c>
      <c r="M4523">
        <v>0</v>
      </c>
    </row>
    <row r="4524" spans="11:13" x14ac:dyDescent="0.2">
      <c r="K4524" t="s">
        <v>42</v>
      </c>
      <c r="L4524" t="s">
        <v>38</v>
      </c>
      <c r="M4524">
        <v>0</v>
      </c>
    </row>
    <row r="4525" spans="11:13" x14ac:dyDescent="0.2">
      <c r="K4525" t="s">
        <v>41</v>
      </c>
      <c r="L4525" t="s">
        <v>37</v>
      </c>
      <c r="M4525">
        <v>1</v>
      </c>
    </row>
    <row r="4526" spans="11:13" x14ac:dyDescent="0.2">
      <c r="K4526" t="s">
        <v>41</v>
      </c>
      <c r="L4526" t="s">
        <v>37</v>
      </c>
      <c r="M4526">
        <v>0</v>
      </c>
    </row>
    <row r="4527" spans="11:13" x14ac:dyDescent="0.2">
      <c r="K4527" t="s">
        <v>41</v>
      </c>
      <c r="L4527" t="s">
        <v>37</v>
      </c>
      <c r="M4527">
        <v>0</v>
      </c>
    </row>
    <row r="4528" spans="11:13" x14ac:dyDescent="0.2">
      <c r="K4528" t="s">
        <v>41</v>
      </c>
      <c r="L4528" t="s">
        <v>37</v>
      </c>
      <c r="M4528">
        <v>0</v>
      </c>
    </row>
    <row r="4529" spans="11:13" x14ac:dyDescent="0.2">
      <c r="K4529" t="s">
        <v>41</v>
      </c>
      <c r="L4529" t="s">
        <v>37</v>
      </c>
      <c r="M4529">
        <v>0</v>
      </c>
    </row>
    <row r="4530" spans="11:13" x14ac:dyDescent="0.2">
      <c r="K4530" t="s">
        <v>42</v>
      </c>
      <c r="L4530" t="s">
        <v>38</v>
      </c>
      <c r="M4530">
        <v>0</v>
      </c>
    </row>
    <row r="4531" spans="11:13" x14ac:dyDescent="0.2">
      <c r="K4531" t="s">
        <v>41</v>
      </c>
      <c r="L4531" t="s">
        <v>37</v>
      </c>
      <c r="M4531">
        <v>0</v>
      </c>
    </row>
    <row r="4532" spans="11:13" x14ac:dyDescent="0.2">
      <c r="K4532" t="s">
        <v>42</v>
      </c>
      <c r="L4532" t="s">
        <v>38</v>
      </c>
      <c r="M4532">
        <v>0</v>
      </c>
    </row>
    <row r="4533" spans="11:13" x14ac:dyDescent="0.2">
      <c r="K4533" t="s">
        <v>41</v>
      </c>
      <c r="L4533" t="s">
        <v>37</v>
      </c>
      <c r="M4533">
        <v>0</v>
      </c>
    </row>
    <row r="4534" spans="11:13" x14ac:dyDescent="0.2">
      <c r="K4534" t="s">
        <v>42</v>
      </c>
      <c r="L4534" t="s">
        <v>38</v>
      </c>
      <c r="M4534">
        <v>0</v>
      </c>
    </row>
    <row r="4535" spans="11:13" x14ac:dyDescent="0.2">
      <c r="K4535" t="s">
        <v>41</v>
      </c>
      <c r="L4535" t="s">
        <v>37</v>
      </c>
      <c r="M4535">
        <v>1</v>
      </c>
    </row>
    <row r="4536" spans="11:13" x14ac:dyDescent="0.2">
      <c r="K4536" t="s">
        <v>41</v>
      </c>
      <c r="L4536" t="s">
        <v>37</v>
      </c>
      <c r="M4536">
        <v>0</v>
      </c>
    </row>
    <row r="4537" spans="11:13" x14ac:dyDescent="0.2">
      <c r="K4537" t="s">
        <v>42</v>
      </c>
      <c r="L4537" t="s">
        <v>38</v>
      </c>
      <c r="M4537">
        <v>0</v>
      </c>
    </row>
    <row r="4538" spans="11:13" x14ac:dyDescent="0.2">
      <c r="K4538" t="s">
        <v>42</v>
      </c>
      <c r="L4538" t="s">
        <v>38</v>
      </c>
      <c r="M4538">
        <v>0</v>
      </c>
    </row>
    <row r="4539" spans="11:13" x14ac:dyDescent="0.2">
      <c r="K4539" t="s">
        <v>41</v>
      </c>
      <c r="L4539" t="s">
        <v>37</v>
      </c>
      <c r="M4539">
        <v>0</v>
      </c>
    </row>
    <row r="4540" spans="11:13" x14ac:dyDescent="0.2">
      <c r="K4540" t="s">
        <v>42</v>
      </c>
      <c r="L4540" t="s">
        <v>38</v>
      </c>
      <c r="M4540">
        <v>0</v>
      </c>
    </row>
    <row r="4541" spans="11:13" x14ac:dyDescent="0.2">
      <c r="K4541" t="s">
        <v>41</v>
      </c>
      <c r="L4541" t="s">
        <v>37</v>
      </c>
      <c r="M4541">
        <v>0</v>
      </c>
    </row>
    <row r="4542" spans="11:13" x14ac:dyDescent="0.2">
      <c r="K4542" t="s">
        <v>42</v>
      </c>
      <c r="L4542" t="s">
        <v>38</v>
      </c>
      <c r="M4542">
        <v>0</v>
      </c>
    </row>
    <row r="4543" spans="11:13" x14ac:dyDescent="0.2">
      <c r="K4543" t="s">
        <v>42</v>
      </c>
      <c r="L4543" t="s">
        <v>38</v>
      </c>
      <c r="M4543">
        <v>0</v>
      </c>
    </row>
    <row r="4544" spans="11:13" x14ac:dyDescent="0.2">
      <c r="K4544" t="s">
        <v>41</v>
      </c>
      <c r="L4544" t="s">
        <v>37</v>
      </c>
      <c r="M4544">
        <v>0</v>
      </c>
    </row>
    <row r="4545" spans="11:13" x14ac:dyDescent="0.2">
      <c r="K4545" t="s">
        <v>41</v>
      </c>
      <c r="L4545" t="s">
        <v>37</v>
      </c>
      <c r="M4545">
        <v>0</v>
      </c>
    </row>
    <row r="4546" spans="11:13" x14ac:dyDescent="0.2">
      <c r="K4546" t="s">
        <v>42</v>
      </c>
      <c r="L4546" t="s">
        <v>38</v>
      </c>
      <c r="M4546">
        <v>0</v>
      </c>
    </row>
    <row r="4547" spans="11:13" x14ac:dyDescent="0.2">
      <c r="K4547" t="s">
        <v>42</v>
      </c>
      <c r="L4547" t="s">
        <v>38</v>
      </c>
      <c r="M4547">
        <v>0</v>
      </c>
    </row>
    <row r="4548" spans="11:13" x14ac:dyDescent="0.2">
      <c r="K4548" t="s">
        <v>42</v>
      </c>
      <c r="L4548" t="s">
        <v>38</v>
      </c>
      <c r="M4548">
        <v>0</v>
      </c>
    </row>
    <row r="4549" spans="11:13" x14ac:dyDescent="0.2">
      <c r="K4549" t="s">
        <v>42</v>
      </c>
      <c r="L4549" t="s">
        <v>38</v>
      </c>
      <c r="M4549">
        <v>0</v>
      </c>
    </row>
    <row r="4550" spans="11:13" x14ac:dyDescent="0.2">
      <c r="K4550" t="s">
        <v>41</v>
      </c>
      <c r="L4550" t="s">
        <v>37</v>
      </c>
      <c r="M4550">
        <v>0</v>
      </c>
    </row>
    <row r="4551" spans="11:13" x14ac:dyDescent="0.2">
      <c r="K4551" t="s">
        <v>41</v>
      </c>
      <c r="L4551" t="s">
        <v>37</v>
      </c>
      <c r="M4551">
        <v>0</v>
      </c>
    </row>
    <row r="4552" spans="11:13" x14ac:dyDescent="0.2">
      <c r="K4552" t="s">
        <v>41</v>
      </c>
      <c r="L4552" t="s">
        <v>37</v>
      </c>
      <c r="M4552">
        <v>0</v>
      </c>
    </row>
    <row r="4553" spans="11:13" x14ac:dyDescent="0.2">
      <c r="K4553" t="s">
        <v>41</v>
      </c>
      <c r="L4553" t="s">
        <v>37</v>
      </c>
      <c r="M4553">
        <v>0</v>
      </c>
    </row>
    <row r="4554" spans="11:13" x14ac:dyDescent="0.2">
      <c r="K4554" t="s">
        <v>41</v>
      </c>
      <c r="L4554" t="s">
        <v>37</v>
      </c>
      <c r="M4554">
        <v>0</v>
      </c>
    </row>
    <row r="4555" spans="11:13" x14ac:dyDescent="0.2">
      <c r="K4555" t="s">
        <v>42</v>
      </c>
      <c r="L4555" t="s">
        <v>38</v>
      </c>
      <c r="M4555">
        <v>1</v>
      </c>
    </row>
    <row r="4556" spans="11:13" x14ac:dyDescent="0.2">
      <c r="K4556" t="s">
        <v>41</v>
      </c>
      <c r="L4556" t="s">
        <v>37</v>
      </c>
      <c r="M4556">
        <v>0</v>
      </c>
    </row>
    <row r="4557" spans="11:13" x14ac:dyDescent="0.2">
      <c r="K4557" t="s">
        <v>42</v>
      </c>
      <c r="L4557" t="s">
        <v>38</v>
      </c>
      <c r="M4557">
        <v>0</v>
      </c>
    </row>
    <row r="4558" spans="11:13" x14ac:dyDescent="0.2">
      <c r="K4558" t="s">
        <v>42</v>
      </c>
      <c r="L4558" t="s">
        <v>38</v>
      </c>
      <c r="M4558">
        <v>0</v>
      </c>
    </row>
    <row r="4559" spans="11:13" x14ac:dyDescent="0.2">
      <c r="K4559" t="s">
        <v>42</v>
      </c>
      <c r="L4559" t="s">
        <v>38</v>
      </c>
      <c r="M4559">
        <v>0</v>
      </c>
    </row>
    <row r="4560" spans="11:13" x14ac:dyDescent="0.2">
      <c r="K4560" t="s">
        <v>41</v>
      </c>
      <c r="L4560" t="s">
        <v>37</v>
      </c>
      <c r="M4560">
        <v>0</v>
      </c>
    </row>
    <row r="4561" spans="11:13" x14ac:dyDescent="0.2">
      <c r="K4561" t="s">
        <v>41</v>
      </c>
      <c r="L4561" t="s">
        <v>37</v>
      </c>
      <c r="M4561">
        <v>0</v>
      </c>
    </row>
    <row r="4562" spans="11:13" x14ac:dyDescent="0.2">
      <c r="K4562" t="s">
        <v>41</v>
      </c>
      <c r="L4562" t="s">
        <v>37</v>
      </c>
      <c r="M4562">
        <v>0</v>
      </c>
    </row>
    <row r="4563" spans="11:13" x14ac:dyDescent="0.2">
      <c r="K4563" t="s">
        <v>42</v>
      </c>
      <c r="L4563" t="s">
        <v>38</v>
      </c>
      <c r="M4563">
        <v>0</v>
      </c>
    </row>
    <row r="4564" spans="11:13" x14ac:dyDescent="0.2">
      <c r="K4564" t="s">
        <v>42</v>
      </c>
      <c r="L4564" t="s">
        <v>38</v>
      </c>
      <c r="M4564">
        <v>0</v>
      </c>
    </row>
    <row r="4565" spans="11:13" x14ac:dyDescent="0.2">
      <c r="K4565" t="s">
        <v>41</v>
      </c>
      <c r="L4565" t="s">
        <v>37</v>
      </c>
      <c r="M4565">
        <v>0</v>
      </c>
    </row>
    <row r="4566" spans="11:13" x14ac:dyDescent="0.2">
      <c r="K4566" t="s">
        <v>41</v>
      </c>
      <c r="L4566" t="s">
        <v>37</v>
      </c>
      <c r="M4566">
        <v>0</v>
      </c>
    </row>
    <row r="4567" spans="11:13" x14ac:dyDescent="0.2">
      <c r="K4567" t="s">
        <v>41</v>
      </c>
      <c r="L4567" t="s">
        <v>37</v>
      </c>
      <c r="M4567">
        <v>0</v>
      </c>
    </row>
    <row r="4568" spans="11:13" x14ac:dyDescent="0.2">
      <c r="K4568" t="s">
        <v>42</v>
      </c>
      <c r="L4568" t="s">
        <v>38</v>
      </c>
      <c r="M4568">
        <v>0</v>
      </c>
    </row>
    <row r="4569" spans="11:13" x14ac:dyDescent="0.2">
      <c r="K4569" t="s">
        <v>41</v>
      </c>
      <c r="L4569" t="s">
        <v>37</v>
      </c>
      <c r="M4569">
        <v>0</v>
      </c>
    </row>
    <row r="4570" spans="11:13" x14ac:dyDescent="0.2">
      <c r="K4570" t="s">
        <v>42</v>
      </c>
      <c r="L4570" t="s">
        <v>38</v>
      </c>
      <c r="M4570">
        <v>0</v>
      </c>
    </row>
    <row r="4571" spans="11:13" x14ac:dyDescent="0.2">
      <c r="K4571" t="s">
        <v>41</v>
      </c>
      <c r="L4571" t="s">
        <v>37</v>
      </c>
      <c r="M4571">
        <v>0</v>
      </c>
    </row>
    <row r="4572" spans="11:13" x14ac:dyDescent="0.2">
      <c r="K4572" t="s">
        <v>41</v>
      </c>
      <c r="L4572" t="s">
        <v>37</v>
      </c>
      <c r="M4572">
        <v>0</v>
      </c>
    </row>
    <row r="4573" spans="11:13" x14ac:dyDescent="0.2">
      <c r="K4573" t="s">
        <v>42</v>
      </c>
      <c r="L4573" t="s">
        <v>38</v>
      </c>
      <c r="M4573">
        <v>0</v>
      </c>
    </row>
    <row r="4574" spans="11:13" x14ac:dyDescent="0.2">
      <c r="K4574" t="s">
        <v>42</v>
      </c>
      <c r="L4574" t="s">
        <v>38</v>
      </c>
      <c r="M4574">
        <v>0</v>
      </c>
    </row>
    <row r="4575" spans="11:13" x14ac:dyDescent="0.2">
      <c r="K4575" t="s">
        <v>42</v>
      </c>
      <c r="L4575" t="s">
        <v>38</v>
      </c>
      <c r="M4575">
        <v>0</v>
      </c>
    </row>
    <row r="4576" spans="11:13" x14ac:dyDescent="0.2">
      <c r="K4576" t="s">
        <v>42</v>
      </c>
      <c r="L4576" t="s">
        <v>38</v>
      </c>
      <c r="M4576">
        <v>0</v>
      </c>
    </row>
    <row r="4577" spans="11:13" x14ac:dyDescent="0.2">
      <c r="K4577" t="s">
        <v>42</v>
      </c>
      <c r="L4577" t="s">
        <v>38</v>
      </c>
      <c r="M4577">
        <v>0</v>
      </c>
    </row>
    <row r="4578" spans="11:13" x14ac:dyDescent="0.2">
      <c r="K4578" t="s">
        <v>41</v>
      </c>
      <c r="L4578" t="s">
        <v>37</v>
      </c>
      <c r="M4578">
        <v>0</v>
      </c>
    </row>
    <row r="4579" spans="11:13" x14ac:dyDescent="0.2">
      <c r="K4579" t="s">
        <v>41</v>
      </c>
      <c r="L4579" t="s">
        <v>37</v>
      </c>
      <c r="M4579">
        <v>0</v>
      </c>
    </row>
    <row r="4580" spans="11:13" x14ac:dyDescent="0.2">
      <c r="K4580" t="s">
        <v>42</v>
      </c>
      <c r="L4580" t="s">
        <v>38</v>
      </c>
      <c r="M4580">
        <v>0</v>
      </c>
    </row>
    <row r="4581" spans="11:13" x14ac:dyDescent="0.2">
      <c r="K4581" t="s">
        <v>42</v>
      </c>
      <c r="L4581" t="s">
        <v>38</v>
      </c>
      <c r="M4581">
        <v>0</v>
      </c>
    </row>
    <row r="4582" spans="11:13" x14ac:dyDescent="0.2">
      <c r="K4582" t="s">
        <v>42</v>
      </c>
      <c r="L4582" t="s">
        <v>38</v>
      </c>
      <c r="M4582">
        <v>0</v>
      </c>
    </row>
    <row r="4583" spans="11:13" x14ac:dyDescent="0.2">
      <c r="K4583" t="s">
        <v>41</v>
      </c>
      <c r="L4583" t="s">
        <v>37</v>
      </c>
      <c r="M4583">
        <v>0</v>
      </c>
    </row>
    <row r="4584" spans="11:13" x14ac:dyDescent="0.2">
      <c r="K4584" t="s">
        <v>41</v>
      </c>
      <c r="L4584" t="s">
        <v>37</v>
      </c>
      <c r="M4584">
        <v>0</v>
      </c>
    </row>
    <row r="4585" spans="11:13" x14ac:dyDescent="0.2">
      <c r="K4585" t="s">
        <v>41</v>
      </c>
      <c r="L4585" t="s">
        <v>37</v>
      </c>
      <c r="M4585">
        <v>0</v>
      </c>
    </row>
    <row r="4586" spans="11:13" x14ac:dyDescent="0.2">
      <c r="K4586" t="s">
        <v>41</v>
      </c>
      <c r="L4586" t="s">
        <v>37</v>
      </c>
      <c r="M4586">
        <v>0</v>
      </c>
    </row>
    <row r="4587" spans="11:13" x14ac:dyDescent="0.2">
      <c r="K4587" t="s">
        <v>42</v>
      </c>
      <c r="L4587" t="s">
        <v>38</v>
      </c>
      <c r="M4587">
        <v>0</v>
      </c>
    </row>
    <row r="4588" spans="11:13" x14ac:dyDescent="0.2">
      <c r="K4588" t="s">
        <v>41</v>
      </c>
      <c r="L4588" t="s">
        <v>37</v>
      </c>
      <c r="M4588">
        <v>0</v>
      </c>
    </row>
    <row r="4589" spans="11:13" x14ac:dyDescent="0.2">
      <c r="K4589" t="s">
        <v>42</v>
      </c>
      <c r="L4589" t="s">
        <v>38</v>
      </c>
      <c r="M4589">
        <v>0</v>
      </c>
    </row>
    <row r="4590" spans="11:13" x14ac:dyDescent="0.2">
      <c r="K4590" t="s">
        <v>42</v>
      </c>
      <c r="L4590" t="s">
        <v>38</v>
      </c>
      <c r="M4590">
        <v>0</v>
      </c>
    </row>
    <row r="4591" spans="11:13" x14ac:dyDescent="0.2">
      <c r="K4591" t="s">
        <v>41</v>
      </c>
      <c r="L4591" t="s">
        <v>37</v>
      </c>
      <c r="M4591">
        <v>0</v>
      </c>
    </row>
    <row r="4592" spans="11:13" x14ac:dyDescent="0.2">
      <c r="K4592" t="s">
        <v>41</v>
      </c>
      <c r="L4592" t="s">
        <v>37</v>
      </c>
      <c r="M4592">
        <v>0</v>
      </c>
    </row>
    <row r="4593" spans="11:13" x14ac:dyDescent="0.2">
      <c r="K4593" t="s">
        <v>41</v>
      </c>
      <c r="L4593" t="s">
        <v>37</v>
      </c>
      <c r="M4593">
        <v>0</v>
      </c>
    </row>
    <row r="4594" spans="11:13" x14ac:dyDescent="0.2">
      <c r="K4594" t="s">
        <v>41</v>
      </c>
      <c r="L4594" t="s">
        <v>37</v>
      </c>
      <c r="M4594">
        <v>0</v>
      </c>
    </row>
    <row r="4595" spans="11:13" x14ac:dyDescent="0.2">
      <c r="K4595" t="s">
        <v>41</v>
      </c>
      <c r="L4595" t="s">
        <v>37</v>
      </c>
      <c r="M4595">
        <v>1</v>
      </c>
    </row>
    <row r="4596" spans="11:13" x14ac:dyDescent="0.2">
      <c r="K4596" t="s">
        <v>42</v>
      </c>
      <c r="L4596" t="s">
        <v>38</v>
      </c>
      <c r="M4596">
        <v>1</v>
      </c>
    </row>
    <row r="4597" spans="11:13" x14ac:dyDescent="0.2">
      <c r="K4597" t="s">
        <v>41</v>
      </c>
      <c r="L4597" t="s">
        <v>37</v>
      </c>
      <c r="M4597">
        <v>0</v>
      </c>
    </row>
    <row r="4598" spans="11:13" x14ac:dyDescent="0.2">
      <c r="K4598" t="s">
        <v>41</v>
      </c>
      <c r="L4598" t="s">
        <v>37</v>
      </c>
      <c r="M4598">
        <v>0</v>
      </c>
    </row>
    <row r="4599" spans="11:13" x14ac:dyDescent="0.2">
      <c r="K4599" t="s">
        <v>42</v>
      </c>
      <c r="L4599" t="s">
        <v>38</v>
      </c>
      <c r="M4599">
        <v>0</v>
      </c>
    </row>
    <row r="4600" spans="11:13" x14ac:dyDescent="0.2">
      <c r="K4600" t="s">
        <v>42</v>
      </c>
      <c r="L4600" t="s">
        <v>38</v>
      </c>
      <c r="M4600">
        <v>0</v>
      </c>
    </row>
    <row r="4601" spans="11:13" x14ac:dyDescent="0.2">
      <c r="K4601" t="s">
        <v>41</v>
      </c>
      <c r="L4601" t="s">
        <v>37</v>
      </c>
      <c r="M4601">
        <v>0</v>
      </c>
    </row>
    <row r="4602" spans="11:13" x14ac:dyDescent="0.2">
      <c r="K4602" t="s">
        <v>42</v>
      </c>
      <c r="L4602" t="s">
        <v>38</v>
      </c>
      <c r="M4602">
        <v>0</v>
      </c>
    </row>
    <row r="4603" spans="11:13" x14ac:dyDescent="0.2">
      <c r="K4603" t="s">
        <v>41</v>
      </c>
      <c r="L4603" t="s">
        <v>37</v>
      </c>
      <c r="M4603">
        <v>0</v>
      </c>
    </row>
    <row r="4604" spans="11:13" x14ac:dyDescent="0.2">
      <c r="K4604" t="s">
        <v>42</v>
      </c>
      <c r="L4604" t="s">
        <v>38</v>
      </c>
      <c r="M4604">
        <v>0</v>
      </c>
    </row>
    <row r="4605" spans="11:13" x14ac:dyDescent="0.2">
      <c r="K4605" t="s">
        <v>42</v>
      </c>
      <c r="L4605" t="s">
        <v>38</v>
      </c>
      <c r="M4605">
        <v>0</v>
      </c>
    </row>
    <row r="4606" spans="11:13" x14ac:dyDescent="0.2">
      <c r="K4606" t="s">
        <v>41</v>
      </c>
      <c r="L4606" t="s">
        <v>37</v>
      </c>
      <c r="M4606">
        <v>0</v>
      </c>
    </row>
    <row r="4607" spans="11:13" x14ac:dyDescent="0.2">
      <c r="K4607" t="s">
        <v>42</v>
      </c>
      <c r="L4607" t="s">
        <v>38</v>
      </c>
      <c r="M4607">
        <v>0</v>
      </c>
    </row>
    <row r="4608" spans="11:13" x14ac:dyDescent="0.2">
      <c r="K4608" t="s">
        <v>42</v>
      </c>
      <c r="L4608" t="s">
        <v>38</v>
      </c>
      <c r="M4608">
        <v>0</v>
      </c>
    </row>
    <row r="4609" spans="11:13" x14ac:dyDescent="0.2">
      <c r="K4609" t="s">
        <v>42</v>
      </c>
      <c r="L4609" t="s">
        <v>38</v>
      </c>
      <c r="M4609">
        <v>0</v>
      </c>
    </row>
    <row r="4610" spans="11:13" x14ac:dyDescent="0.2">
      <c r="K4610" t="s">
        <v>42</v>
      </c>
      <c r="L4610" t="s">
        <v>38</v>
      </c>
      <c r="M4610">
        <v>0</v>
      </c>
    </row>
    <row r="4611" spans="11:13" x14ac:dyDescent="0.2">
      <c r="K4611" t="s">
        <v>41</v>
      </c>
      <c r="L4611" t="s">
        <v>37</v>
      </c>
      <c r="M4611">
        <v>0</v>
      </c>
    </row>
    <row r="4612" spans="11:13" x14ac:dyDescent="0.2">
      <c r="K4612" t="s">
        <v>42</v>
      </c>
      <c r="L4612" t="s">
        <v>38</v>
      </c>
      <c r="M4612">
        <v>0</v>
      </c>
    </row>
    <row r="4613" spans="11:13" x14ac:dyDescent="0.2">
      <c r="K4613" t="s">
        <v>42</v>
      </c>
      <c r="L4613" t="s">
        <v>38</v>
      </c>
      <c r="M4613">
        <v>0</v>
      </c>
    </row>
    <row r="4614" spans="11:13" x14ac:dyDescent="0.2">
      <c r="K4614" t="s">
        <v>41</v>
      </c>
      <c r="L4614" t="s">
        <v>37</v>
      </c>
      <c r="M4614">
        <v>0</v>
      </c>
    </row>
    <row r="4615" spans="11:13" x14ac:dyDescent="0.2">
      <c r="K4615" t="s">
        <v>41</v>
      </c>
      <c r="L4615" t="s">
        <v>37</v>
      </c>
      <c r="M4615">
        <v>0</v>
      </c>
    </row>
    <row r="4616" spans="11:13" x14ac:dyDescent="0.2">
      <c r="K4616" t="s">
        <v>41</v>
      </c>
      <c r="L4616" t="s">
        <v>37</v>
      </c>
      <c r="M4616">
        <v>0</v>
      </c>
    </row>
    <row r="4617" spans="11:13" x14ac:dyDescent="0.2">
      <c r="K4617" t="s">
        <v>42</v>
      </c>
      <c r="L4617" t="s">
        <v>38</v>
      </c>
      <c r="M4617">
        <v>0</v>
      </c>
    </row>
    <row r="4618" spans="11:13" x14ac:dyDescent="0.2">
      <c r="K4618" t="s">
        <v>41</v>
      </c>
      <c r="L4618" t="s">
        <v>37</v>
      </c>
      <c r="M4618">
        <v>0</v>
      </c>
    </row>
    <row r="4619" spans="11:13" x14ac:dyDescent="0.2">
      <c r="K4619" t="s">
        <v>42</v>
      </c>
      <c r="L4619" t="s">
        <v>38</v>
      </c>
      <c r="M4619">
        <v>0</v>
      </c>
    </row>
    <row r="4620" spans="11:13" x14ac:dyDescent="0.2">
      <c r="K4620" t="s">
        <v>42</v>
      </c>
      <c r="L4620" t="s">
        <v>38</v>
      </c>
      <c r="M4620">
        <v>1</v>
      </c>
    </row>
    <row r="4621" spans="11:13" x14ac:dyDescent="0.2">
      <c r="K4621" t="s">
        <v>42</v>
      </c>
      <c r="L4621" t="s">
        <v>38</v>
      </c>
      <c r="M4621">
        <v>0</v>
      </c>
    </row>
    <row r="4622" spans="11:13" x14ac:dyDescent="0.2">
      <c r="K4622" t="s">
        <v>41</v>
      </c>
      <c r="L4622" t="s">
        <v>37</v>
      </c>
      <c r="M4622">
        <v>0</v>
      </c>
    </row>
    <row r="4623" spans="11:13" x14ac:dyDescent="0.2">
      <c r="K4623" t="s">
        <v>42</v>
      </c>
      <c r="L4623" t="s">
        <v>38</v>
      </c>
      <c r="M4623">
        <v>0</v>
      </c>
    </row>
    <row r="4624" spans="11:13" x14ac:dyDescent="0.2">
      <c r="K4624" t="s">
        <v>42</v>
      </c>
      <c r="L4624" t="s">
        <v>38</v>
      </c>
      <c r="M4624">
        <v>0</v>
      </c>
    </row>
    <row r="4625" spans="11:13" x14ac:dyDescent="0.2">
      <c r="K4625" t="s">
        <v>42</v>
      </c>
      <c r="L4625" t="s">
        <v>38</v>
      </c>
      <c r="M4625">
        <v>0</v>
      </c>
    </row>
    <row r="4626" spans="11:13" x14ac:dyDescent="0.2">
      <c r="K4626" t="s">
        <v>42</v>
      </c>
      <c r="L4626" t="s">
        <v>38</v>
      </c>
      <c r="M4626">
        <v>0</v>
      </c>
    </row>
    <row r="4627" spans="11:13" x14ac:dyDescent="0.2">
      <c r="K4627" t="s">
        <v>41</v>
      </c>
      <c r="L4627" t="s">
        <v>37</v>
      </c>
      <c r="M4627">
        <v>0</v>
      </c>
    </row>
    <row r="4628" spans="11:13" x14ac:dyDescent="0.2">
      <c r="K4628" t="s">
        <v>42</v>
      </c>
      <c r="L4628" t="s">
        <v>38</v>
      </c>
      <c r="M4628">
        <v>0</v>
      </c>
    </row>
    <row r="4629" spans="11:13" x14ac:dyDescent="0.2">
      <c r="K4629" t="s">
        <v>41</v>
      </c>
      <c r="L4629" t="s">
        <v>37</v>
      </c>
      <c r="M4629">
        <v>0</v>
      </c>
    </row>
    <row r="4630" spans="11:13" x14ac:dyDescent="0.2">
      <c r="K4630" t="s">
        <v>41</v>
      </c>
      <c r="L4630" t="s">
        <v>37</v>
      </c>
      <c r="M4630">
        <v>0</v>
      </c>
    </row>
    <row r="4631" spans="11:13" x14ac:dyDescent="0.2">
      <c r="K4631" t="s">
        <v>42</v>
      </c>
      <c r="L4631" t="s">
        <v>38</v>
      </c>
      <c r="M4631">
        <v>0</v>
      </c>
    </row>
    <row r="4632" spans="11:13" x14ac:dyDescent="0.2">
      <c r="K4632" t="s">
        <v>41</v>
      </c>
      <c r="L4632" t="s">
        <v>37</v>
      </c>
      <c r="M4632">
        <v>0</v>
      </c>
    </row>
    <row r="4633" spans="11:13" x14ac:dyDescent="0.2">
      <c r="K4633" t="s">
        <v>41</v>
      </c>
      <c r="L4633" t="s">
        <v>37</v>
      </c>
      <c r="M4633">
        <v>0</v>
      </c>
    </row>
    <row r="4634" spans="11:13" x14ac:dyDescent="0.2">
      <c r="K4634" t="s">
        <v>42</v>
      </c>
      <c r="L4634" t="s">
        <v>38</v>
      </c>
      <c r="M4634">
        <v>0</v>
      </c>
    </row>
    <row r="4635" spans="11:13" x14ac:dyDescent="0.2">
      <c r="K4635" t="s">
        <v>41</v>
      </c>
      <c r="L4635" t="s">
        <v>37</v>
      </c>
      <c r="M4635">
        <v>0</v>
      </c>
    </row>
    <row r="4636" spans="11:13" x14ac:dyDescent="0.2">
      <c r="K4636" t="s">
        <v>42</v>
      </c>
      <c r="L4636" t="s">
        <v>38</v>
      </c>
      <c r="M4636">
        <v>0</v>
      </c>
    </row>
    <row r="4637" spans="11:13" x14ac:dyDescent="0.2">
      <c r="K4637" t="s">
        <v>41</v>
      </c>
      <c r="L4637" t="s">
        <v>37</v>
      </c>
      <c r="M4637">
        <v>0</v>
      </c>
    </row>
    <row r="4638" spans="11:13" x14ac:dyDescent="0.2">
      <c r="K4638" t="s">
        <v>42</v>
      </c>
      <c r="L4638" t="s">
        <v>38</v>
      </c>
      <c r="M4638">
        <v>0</v>
      </c>
    </row>
    <row r="4639" spans="11:13" x14ac:dyDescent="0.2">
      <c r="K4639" t="s">
        <v>41</v>
      </c>
      <c r="L4639" t="s">
        <v>37</v>
      </c>
      <c r="M4639">
        <v>0</v>
      </c>
    </row>
    <row r="4640" spans="11:13" x14ac:dyDescent="0.2">
      <c r="K4640" t="s">
        <v>42</v>
      </c>
      <c r="L4640" t="s">
        <v>38</v>
      </c>
      <c r="M4640">
        <v>0</v>
      </c>
    </row>
    <row r="4641" spans="11:13" x14ac:dyDescent="0.2">
      <c r="K4641" t="s">
        <v>41</v>
      </c>
      <c r="L4641" t="s">
        <v>37</v>
      </c>
      <c r="M4641">
        <v>0</v>
      </c>
    </row>
    <row r="4642" spans="11:13" x14ac:dyDescent="0.2">
      <c r="K4642" t="s">
        <v>41</v>
      </c>
      <c r="L4642" t="s">
        <v>37</v>
      </c>
      <c r="M4642">
        <v>0</v>
      </c>
    </row>
    <row r="4643" spans="11:13" x14ac:dyDescent="0.2">
      <c r="K4643" t="s">
        <v>41</v>
      </c>
      <c r="L4643" t="s">
        <v>37</v>
      </c>
      <c r="M4643">
        <v>0</v>
      </c>
    </row>
    <row r="4644" spans="11:13" x14ac:dyDescent="0.2">
      <c r="K4644" t="s">
        <v>42</v>
      </c>
      <c r="L4644" t="s">
        <v>38</v>
      </c>
      <c r="M4644">
        <v>0</v>
      </c>
    </row>
    <row r="4645" spans="11:13" x14ac:dyDescent="0.2">
      <c r="K4645" t="s">
        <v>42</v>
      </c>
      <c r="L4645" t="s">
        <v>38</v>
      </c>
      <c r="M4645">
        <v>0</v>
      </c>
    </row>
    <row r="4646" spans="11:13" x14ac:dyDescent="0.2">
      <c r="K4646" t="s">
        <v>42</v>
      </c>
      <c r="L4646" t="s">
        <v>38</v>
      </c>
      <c r="M4646">
        <v>0</v>
      </c>
    </row>
    <row r="4647" spans="11:13" x14ac:dyDescent="0.2">
      <c r="K4647" t="s">
        <v>41</v>
      </c>
      <c r="L4647" t="s">
        <v>37</v>
      </c>
      <c r="M4647">
        <v>0</v>
      </c>
    </row>
    <row r="4648" spans="11:13" x14ac:dyDescent="0.2">
      <c r="K4648" t="s">
        <v>42</v>
      </c>
      <c r="L4648" t="s">
        <v>38</v>
      </c>
      <c r="M4648">
        <v>0</v>
      </c>
    </row>
    <row r="4649" spans="11:13" x14ac:dyDescent="0.2">
      <c r="K4649" t="s">
        <v>42</v>
      </c>
      <c r="L4649" t="s">
        <v>38</v>
      </c>
      <c r="M4649">
        <v>0</v>
      </c>
    </row>
    <row r="4650" spans="11:13" x14ac:dyDescent="0.2">
      <c r="K4650" t="s">
        <v>41</v>
      </c>
      <c r="L4650" t="s">
        <v>37</v>
      </c>
      <c r="M4650">
        <v>1</v>
      </c>
    </row>
    <row r="4651" spans="11:13" x14ac:dyDescent="0.2">
      <c r="K4651" t="s">
        <v>42</v>
      </c>
      <c r="L4651" t="s">
        <v>38</v>
      </c>
      <c r="M4651">
        <v>0</v>
      </c>
    </row>
    <row r="4652" spans="11:13" x14ac:dyDescent="0.2">
      <c r="K4652" t="s">
        <v>42</v>
      </c>
      <c r="L4652" t="s">
        <v>38</v>
      </c>
      <c r="M4652">
        <v>0</v>
      </c>
    </row>
    <row r="4653" spans="11:13" x14ac:dyDescent="0.2">
      <c r="K4653" t="s">
        <v>42</v>
      </c>
      <c r="L4653" t="s">
        <v>38</v>
      </c>
      <c r="M4653">
        <v>0</v>
      </c>
    </row>
    <row r="4654" spans="11:13" x14ac:dyDescent="0.2">
      <c r="K4654" t="s">
        <v>41</v>
      </c>
      <c r="L4654" t="s">
        <v>37</v>
      </c>
      <c r="M4654">
        <v>0</v>
      </c>
    </row>
    <row r="4655" spans="11:13" x14ac:dyDescent="0.2">
      <c r="K4655" t="s">
        <v>41</v>
      </c>
      <c r="L4655" t="s">
        <v>37</v>
      </c>
      <c r="M4655">
        <v>0</v>
      </c>
    </row>
    <row r="4656" spans="11:13" x14ac:dyDescent="0.2">
      <c r="K4656" t="s">
        <v>41</v>
      </c>
      <c r="L4656" t="s">
        <v>37</v>
      </c>
      <c r="M4656">
        <v>0</v>
      </c>
    </row>
    <row r="4657" spans="11:13" x14ac:dyDescent="0.2">
      <c r="K4657" t="s">
        <v>41</v>
      </c>
      <c r="L4657" t="s">
        <v>37</v>
      </c>
      <c r="M4657">
        <v>0</v>
      </c>
    </row>
    <row r="4658" spans="11:13" x14ac:dyDescent="0.2">
      <c r="K4658" t="s">
        <v>41</v>
      </c>
      <c r="L4658" t="s">
        <v>37</v>
      </c>
      <c r="M4658">
        <v>0</v>
      </c>
    </row>
    <row r="4659" spans="11:13" x14ac:dyDescent="0.2">
      <c r="K4659" t="s">
        <v>42</v>
      </c>
      <c r="L4659" t="s">
        <v>38</v>
      </c>
      <c r="M4659">
        <v>0</v>
      </c>
    </row>
    <row r="4660" spans="11:13" x14ac:dyDescent="0.2">
      <c r="K4660" t="s">
        <v>41</v>
      </c>
      <c r="L4660" t="s">
        <v>37</v>
      </c>
      <c r="M4660">
        <v>0</v>
      </c>
    </row>
    <row r="4661" spans="11:13" x14ac:dyDescent="0.2">
      <c r="K4661" t="s">
        <v>41</v>
      </c>
      <c r="L4661" t="s">
        <v>37</v>
      </c>
      <c r="M4661">
        <v>0</v>
      </c>
    </row>
    <row r="4662" spans="11:13" x14ac:dyDescent="0.2">
      <c r="K4662" t="s">
        <v>41</v>
      </c>
      <c r="L4662" t="s">
        <v>37</v>
      </c>
      <c r="M4662">
        <v>0</v>
      </c>
    </row>
    <row r="4663" spans="11:13" x14ac:dyDescent="0.2">
      <c r="K4663" t="s">
        <v>41</v>
      </c>
      <c r="L4663" t="s">
        <v>37</v>
      </c>
      <c r="M4663">
        <v>0</v>
      </c>
    </row>
    <row r="4664" spans="11:13" x14ac:dyDescent="0.2">
      <c r="K4664" t="s">
        <v>42</v>
      </c>
      <c r="L4664" t="s">
        <v>38</v>
      </c>
      <c r="M4664">
        <v>0</v>
      </c>
    </row>
    <row r="4665" spans="11:13" x14ac:dyDescent="0.2">
      <c r="K4665" t="s">
        <v>41</v>
      </c>
      <c r="L4665" t="s">
        <v>37</v>
      </c>
      <c r="M4665">
        <v>0</v>
      </c>
    </row>
    <row r="4666" spans="11:13" x14ac:dyDescent="0.2">
      <c r="K4666" t="s">
        <v>42</v>
      </c>
      <c r="L4666" t="s">
        <v>38</v>
      </c>
      <c r="M4666">
        <v>0</v>
      </c>
    </row>
    <row r="4667" spans="11:13" x14ac:dyDescent="0.2">
      <c r="K4667" t="s">
        <v>41</v>
      </c>
      <c r="L4667" t="s">
        <v>37</v>
      </c>
      <c r="M4667">
        <v>0</v>
      </c>
    </row>
    <row r="4668" spans="11:13" x14ac:dyDescent="0.2">
      <c r="K4668" t="s">
        <v>41</v>
      </c>
      <c r="L4668" t="s">
        <v>37</v>
      </c>
      <c r="M4668">
        <v>0</v>
      </c>
    </row>
    <row r="4669" spans="11:13" x14ac:dyDescent="0.2">
      <c r="K4669" t="s">
        <v>42</v>
      </c>
      <c r="L4669" t="s">
        <v>38</v>
      </c>
      <c r="M4669">
        <v>0</v>
      </c>
    </row>
    <row r="4670" spans="11:13" x14ac:dyDescent="0.2">
      <c r="K4670" t="s">
        <v>42</v>
      </c>
      <c r="L4670" t="s">
        <v>38</v>
      </c>
      <c r="M4670">
        <v>0</v>
      </c>
    </row>
    <row r="4671" spans="11:13" x14ac:dyDescent="0.2">
      <c r="K4671" t="s">
        <v>41</v>
      </c>
      <c r="L4671" t="s">
        <v>37</v>
      </c>
      <c r="M4671">
        <v>0</v>
      </c>
    </row>
    <row r="4672" spans="11:13" x14ac:dyDescent="0.2">
      <c r="K4672" t="s">
        <v>42</v>
      </c>
      <c r="L4672" t="s">
        <v>38</v>
      </c>
      <c r="M4672">
        <v>0</v>
      </c>
    </row>
    <row r="4673" spans="11:13" x14ac:dyDescent="0.2">
      <c r="K4673" t="s">
        <v>41</v>
      </c>
      <c r="L4673" t="s">
        <v>37</v>
      </c>
      <c r="M4673">
        <v>0</v>
      </c>
    </row>
    <row r="4674" spans="11:13" x14ac:dyDescent="0.2">
      <c r="K4674" t="s">
        <v>41</v>
      </c>
      <c r="L4674" t="s">
        <v>37</v>
      </c>
      <c r="M4674">
        <v>0</v>
      </c>
    </row>
    <row r="4675" spans="11:13" x14ac:dyDescent="0.2">
      <c r="K4675" t="s">
        <v>42</v>
      </c>
      <c r="L4675" t="s">
        <v>38</v>
      </c>
      <c r="M4675">
        <v>0</v>
      </c>
    </row>
    <row r="4676" spans="11:13" x14ac:dyDescent="0.2">
      <c r="K4676" t="s">
        <v>41</v>
      </c>
      <c r="L4676" t="s">
        <v>37</v>
      </c>
      <c r="M4676">
        <v>0</v>
      </c>
    </row>
    <row r="4677" spans="11:13" x14ac:dyDescent="0.2">
      <c r="K4677" t="s">
        <v>42</v>
      </c>
      <c r="L4677" t="s">
        <v>38</v>
      </c>
      <c r="M4677">
        <v>0</v>
      </c>
    </row>
    <row r="4678" spans="11:13" x14ac:dyDescent="0.2">
      <c r="K4678" t="s">
        <v>41</v>
      </c>
      <c r="L4678" t="s">
        <v>37</v>
      </c>
      <c r="M4678">
        <v>0</v>
      </c>
    </row>
    <row r="4679" spans="11:13" x14ac:dyDescent="0.2">
      <c r="K4679" t="s">
        <v>41</v>
      </c>
      <c r="L4679" t="s">
        <v>37</v>
      </c>
      <c r="M4679">
        <v>0</v>
      </c>
    </row>
    <row r="4680" spans="11:13" x14ac:dyDescent="0.2">
      <c r="K4680" t="s">
        <v>42</v>
      </c>
      <c r="L4680" t="s">
        <v>38</v>
      </c>
      <c r="M4680">
        <v>0</v>
      </c>
    </row>
    <row r="4681" spans="11:13" x14ac:dyDescent="0.2">
      <c r="K4681" t="s">
        <v>41</v>
      </c>
      <c r="L4681" t="s">
        <v>37</v>
      </c>
      <c r="M4681">
        <v>0</v>
      </c>
    </row>
    <row r="4682" spans="11:13" x14ac:dyDescent="0.2">
      <c r="K4682" t="s">
        <v>41</v>
      </c>
      <c r="L4682" t="s">
        <v>37</v>
      </c>
      <c r="M4682">
        <v>0</v>
      </c>
    </row>
    <row r="4683" spans="11:13" x14ac:dyDescent="0.2">
      <c r="K4683" t="s">
        <v>41</v>
      </c>
      <c r="L4683" t="s">
        <v>37</v>
      </c>
      <c r="M4683">
        <v>0</v>
      </c>
    </row>
    <row r="4684" spans="11:13" x14ac:dyDescent="0.2">
      <c r="K4684" t="s">
        <v>41</v>
      </c>
      <c r="L4684" t="s">
        <v>37</v>
      </c>
      <c r="M4684">
        <v>0</v>
      </c>
    </row>
    <row r="4685" spans="11:13" x14ac:dyDescent="0.2">
      <c r="K4685" t="s">
        <v>42</v>
      </c>
      <c r="L4685" t="s">
        <v>38</v>
      </c>
      <c r="M4685">
        <v>0</v>
      </c>
    </row>
    <row r="4686" spans="11:13" x14ac:dyDescent="0.2">
      <c r="K4686" t="s">
        <v>41</v>
      </c>
      <c r="L4686" t="s">
        <v>37</v>
      </c>
      <c r="M4686">
        <v>0</v>
      </c>
    </row>
    <row r="4687" spans="11:13" x14ac:dyDescent="0.2">
      <c r="K4687" t="s">
        <v>42</v>
      </c>
      <c r="L4687" t="s">
        <v>38</v>
      </c>
      <c r="M4687">
        <v>0</v>
      </c>
    </row>
    <row r="4688" spans="11:13" x14ac:dyDescent="0.2">
      <c r="K4688" t="s">
        <v>42</v>
      </c>
      <c r="L4688" t="s">
        <v>38</v>
      </c>
      <c r="M4688">
        <v>0</v>
      </c>
    </row>
    <row r="4689" spans="11:13" x14ac:dyDescent="0.2">
      <c r="K4689" t="s">
        <v>42</v>
      </c>
      <c r="L4689" t="s">
        <v>38</v>
      </c>
      <c r="M4689">
        <v>0</v>
      </c>
    </row>
    <row r="4690" spans="11:13" x14ac:dyDescent="0.2">
      <c r="K4690" t="s">
        <v>42</v>
      </c>
      <c r="L4690" t="s">
        <v>38</v>
      </c>
      <c r="M4690">
        <v>0</v>
      </c>
    </row>
    <row r="4691" spans="11:13" x14ac:dyDescent="0.2">
      <c r="K4691" t="s">
        <v>41</v>
      </c>
      <c r="L4691" t="s">
        <v>37</v>
      </c>
      <c r="M4691">
        <v>0</v>
      </c>
    </row>
    <row r="4692" spans="11:13" x14ac:dyDescent="0.2">
      <c r="K4692" t="s">
        <v>42</v>
      </c>
      <c r="L4692" t="s">
        <v>38</v>
      </c>
      <c r="M4692">
        <v>0</v>
      </c>
    </row>
    <row r="4693" spans="11:13" x14ac:dyDescent="0.2">
      <c r="K4693" t="s">
        <v>42</v>
      </c>
      <c r="L4693" t="s">
        <v>38</v>
      </c>
      <c r="M4693">
        <v>0</v>
      </c>
    </row>
    <row r="4694" spans="11:13" x14ac:dyDescent="0.2">
      <c r="K4694" t="s">
        <v>42</v>
      </c>
      <c r="L4694" t="s">
        <v>38</v>
      </c>
      <c r="M4694">
        <v>0</v>
      </c>
    </row>
    <row r="4695" spans="11:13" x14ac:dyDescent="0.2">
      <c r="K4695" t="s">
        <v>41</v>
      </c>
      <c r="L4695" t="s">
        <v>37</v>
      </c>
      <c r="M4695">
        <v>0</v>
      </c>
    </row>
    <row r="4696" spans="11:13" x14ac:dyDescent="0.2">
      <c r="K4696" t="s">
        <v>41</v>
      </c>
      <c r="L4696" t="s">
        <v>37</v>
      </c>
      <c r="M4696">
        <v>0</v>
      </c>
    </row>
    <row r="4697" spans="11:13" x14ac:dyDescent="0.2">
      <c r="K4697" t="s">
        <v>42</v>
      </c>
      <c r="L4697" t="s">
        <v>38</v>
      </c>
      <c r="M4697">
        <v>0</v>
      </c>
    </row>
    <row r="4698" spans="11:13" x14ac:dyDescent="0.2">
      <c r="K4698" t="s">
        <v>41</v>
      </c>
      <c r="L4698" t="s">
        <v>37</v>
      </c>
      <c r="M4698">
        <v>0</v>
      </c>
    </row>
    <row r="4699" spans="11:13" x14ac:dyDescent="0.2">
      <c r="K4699" t="s">
        <v>42</v>
      </c>
      <c r="L4699" t="s">
        <v>38</v>
      </c>
      <c r="M4699">
        <v>0</v>
      </c>
    </row>
    <row r="4700" spans="11:13" x14ac:dyDescent="0.2">
      <c r="K4700" t="s">
        <v>42</v>
      </c>
      <c r="L4700" t="s">
        <v>38</v>
      </c>
      <c r="M4700">
        <v>0</v>
      </c>
    </row>
    <row r="4701" spans="11:13" x14ac:dyDescent="0.2">
      <c r="K4701" t="s">
        <v>42</v>
      </c>
      <c r="L4701" t="s">
        <v>38</v>
      </c>
      <c r="M4701">
        <v>0</v>
      </c>
    </row>
    <row r="4702" spans="11:13" x14ac:dyDescent="0.2">
      <c r="K4702" t="s">
        <v>41</v>
      </c>
      <c r="L4702" t="s">
        <v>37</v>
      </c>
      <c r="M4702">
        <v>0</v>
      </c>
    </row>
    <row r="4703" spans="11:13" x14ac:dyDescent="0.2">
      <c r="K4703" t="s">
        <v>41</v>
      </c>
      <c r="L4703" t="s">
        <v>37</v>
      </c>
      <c r="M4703">
        <v>0</v>
      </c>
    </row>
    <row r="4704" spans="11:13" x14ac:dyDescent="0.2">
      <c r="K4704" t="s">
        <v>42</v>
      </c>
      <c r="L4704" t="s">
        <v>38</v>
      </c>
      <c r="M4704">
        <v>0</v>
      </c>
    </row>
    <row r="4705" spans="11:13" x14ac:dyDescent="0.2">
      <c r="K4705" t="s">
        <v>41</v>
      </c>
      <c r="L4705" t="s">
        <v>37</v>
      </c>
      <c r="M4705">
        <v>0</v>
      </c>
    </row>
    <row r="4706" spans="11:13" x14ac:dyDescent="0.2">
      <c r="K4706" t="s">
        <v>42</v>
      </c>
      <c r="L4706" t="s">
        <v>38</v>
      </c>
      <c r="M4706">
        <v>0</v>
      </c>
    </row>
    <row r="4707" spans="11:13" x14ac:dyDescent="0.2">
      <c r="K4707" t="s">
        <v>41</v>
      </c>
      <c r="L4707" t="s">
        <v>37</v>
      </c>
      <c r="M4707">
        <v>0</v>
      </c>
    </row>
    <row r="4708" spans="11:13" x14ac:dyDescent="0.2">
      <c r="K4708" t="s">
        <v>41</v>
      </c>
      <c r="L4708" t="s">
        <v>37</v>
      </c>
      <c r="M4708">
        <v>0</v>
      </c>
    </row>
    <row r="4709" spans="11:13" x14ac:dyDescent="0.2">
      <c r="K4709" t="s">
        <v>42</v>
      </c>
      <c r="L4709" t="s">
        <v>38</v>
      </c>
      <c r="M4709">
        <v>0</v>
      </c>
    </row>
    <row r="4710" spans="11:13" x14ac:dyDescent="0.2">
      <c r="K4710" t="s">
        <v>41</v>
      </c>
      <c r="L4710" t="s">
        <v>37</v>
      </c>
      <c r="M4710">
        <v>0</v>
      </c>
    </row>
    <row r="4711" spans="11:13" x14ac:dyDescent="0.2">
      <c r="K4711" t="s">
        <v>42</v>
      </c>
      <c r="L4711" t="s">
        <v>38</v>
      </c>
      <c r="M4711">
        <v>0</v>
      </c>
    </row>
    <row r="4712" spans="11:13" x14ac:dyDescent="0.2">
      <c r="K4712" t="s">
        <v>41</v>
      </c>
      <c r="L4712" t="s">
        <v>37</v>
      </c>
      <c r="M4712">
        <v>0</v>
      </c>
    </row>
    <row r="4713" spans="11:13" x14ac:dyDescent="0.2">
      <c r="K4713" t="s">
        <v>42</v>
      </c>
      <c r="L4713" t="s">
        <v>38</v>
      </c>
      <c r="M4713">
        <v>0</v>
      </c>
    </row>
    <row r="4714" spans="11:13" x14ac:dyDescent="0.2">
      <c r="K4714" t="s">
        <v>42</v>
      </c>
      <c r="L4714" t="s">
        <v>38</v>
      </c>
      <c r="M4714">
        <v>0</v>
      </c>
    </row>
    <row r="4715" spans="11:13" x14ac:dyDescent="0.2">
      <c r="K4715" t="s">
        <v>41</v>
      </c>
      <c r="L4715" t="s">
        <v>37</v>
      </c>
      <c r="M4715">
        <v>0</v>
      </c>
    </row>
    <row r="4716" spans="11:13" x14ac:dyDescent="0.2">
      <c r="K4716" t="s">
        <v>41</v>
      </c>
      <c r="L4716" t="s">
        <v>37</v>
      </c>
      <c r="M4716">
        <v>1</v>
      </c>
    </row>
    <row r="4717" spans="11:13" x14ac:dyDescent="0.2">
      <c r="K4717" t="s">
        <v>41</v>
      </c>
      <c r="L4717" t="s">
        <v>37</v>
      </c>
      <c r="M4717">
        <v>0</v>
      </c>
    </row>
    <row r="4718" spans="11:13" x14ac:dyDescent="0.2">
      <c r="K4718" t="s">
        <v>42</v>
      </c>
      <c r="L4718" t="s">
        <v>38</v>
      </c>
      <c r="M4718">
        <v>0</v>
      </c>
    </row>
    <row r="4719" spans="11:13" x14ac:dyDescent="0.2">
      <c r="K4719" t="s">
        <v>42</v>
      </c>
      <c r="L4719" t="s">
        <v>38</v>
      </c>
      <c r="M4719">
        <v>0</v>
      </c>
    </row>
    <row r="4720" spans="11:13" x14ac:dyDescent="0.2">
      <c r="K4720" t="s">
        <v>42</v>
      </c>
      <c r="L4720" t="s">
        <v>38</v>
      </c>
      <c r="M4720">
        <v>0</v>
      </c>
    </row>
    <row r="4721" spans="11:13" x14ac:dyDescent="0.2">
      <c r="K4721" t="s">
        <v>42</v>
      </c>
      <c r="L4721" t="s">
        <v>38</v>
      </c>
      <c r="M4721">
        <v>0</v>
      </c>
    </row>
    <row r="4722" spans="11:13" x14ac:dyDescent="0.2">
      <c r="K4722" t="s">
        <v>42</v>
      </c>
      <c r="L4722" t="s">
        <v>38</v>
      </c>
      <c r="M4722">
        <v>0</v>
      </c>
    </row>
    <row r="4723" spans="11:13" x14ac:dyDescent="0.2">
      <c r="K4723" t="s">
        <v>42</v>
      </c>
      <c r="L4723" t="s">
        <v>38</v>
      </c>
      <c r="M4723">
        <v>1</v>
      </c>
    </row>
    <row r="4724" spans="11:13" x14ac:dyDescent="0.2">
      <c r="K4724" t="s">
        <v>42</v>
      </c>
      <c r="L4724" t="s">
        <v>38</v>
      </c>
      <c r="M4724">
        <v>0</v>
      </c>
    </row>
    <row r="4725" spans="11:13" x14ac:dyDescent="0.2">
      <c r="K4725" t="s">
        <v>41</v>
      </c>
      <c r="L4725" t="s">
        <v>37</v>
      </c>
      <c r="M4725">
        <v>0</v>
      </c>
    </row>
    <row r="4726" spans="11:13" x14ac:dyDescent="0.2">
      <c r="K4726" t="s">
        <v>42</v>
      </c>
      <c r="L4726" t="s">
        <v>38</v>
      </c>
      <c r="M4726">
        <v>0</v>
      </c>
    </row>
    <row r="4727" spans="11:13" x14ac:dyDescent="0.2">
      <c r="K4727" t="s">
        <v>42</v>
      </c>
      <c r="L4727" t="s">
        <v>38</v>
      </c>
      <c r="M4727">
        <v>0</v>
      </c>
    </row>
    <row r="4728" spans="11:13" x14ac:dyDescent="0.2">
      <c r="K4728" t="s">
        <v>42</v>
      </c>
      <c r="L4728" t="s">
        <v>38</v>
      </c>
      <c r="M4728">
        <v>0</v>
      </c>
    </row>
    <row r="4729" spans="11:13" x14ac:dyDescent="0.2">
      <c r="K4729" t="s">
        <v>41</v>
      </c>
      <c r="L4729" t="s">
        <v>37</v>
      </c>
      <c r="M4729">
        <v>0</v>
      </c>
    </row>
    <row r="4730" spans="11:13" x14ac:dyDescent="0.2">
      <c r="K4730" t="s">
        <v>41</v>
      </c>
      <c r="L4730" t="s">
        <v>37</v>
      </c>
      <c r="M4730">
        <v>0</v>
      </c>
    </row>
    <row r="4731" spans="11:13" x14ac:dyDescent="0.2">
      <c r="K4731" t="s">
        <v>42</v>
      </c>
      <c r="L4731" t="s">
        <v>38</v>
      </c>
      <c r="M4731">
        <v>0</v>
      </c>
    </row>
    <row r="4732" spans="11:13" x14ac:dyDescent="0.2">
      <c r="K4732" t="s">
        <v>42</v>
      </c>
      <c r="L4732" t="s">
        <v>38</v>
      </c>
      <c r="M4732">
        <v>0</v>
      </c>
    </row>
    <row r="4733" spans="11:13" x14ac:dyDescent="0.2">
      <c r="K4733" t="s">
        <v>42</v>
      </c>
      <c r="L4733" t="s">
        <v>38</v>
      </c>
      <c r="M4733">
        <v>0</v>
      </c>
    </row>
    <row r="4734" spans="11:13" x14ac:dyDescent="0.2">
      <c r="K4734" t="s">
        <v>41</v>
      </c>
      <c r="L4734" t="s">
        <v>37</v>
      </c>
      <c r="M4734">
        <v>0</v>
      </c>
    </row>
    <row r="4735" spans="11:13" x14ac:dyDescent="0.2">
      <c r="K4735" t="s">
        <v>41</v>
      </c>
      <c r="L4735" t="s">
        <v>37</v>
      </c>
      <c r="M4735">
        <v>0</v>
      </c>
    </row>
    <row r="4736" spans="11:13" x14ac:dyDescent="0.2">
      <c r="K4736" t="s">
        <v>41</v>
      </c>
      <c r="L4736" t="s">
        <v>37</v>
      </c>
      <c r="M4736">
        <v>0</v>
      </c>
    </row>
    <row r="4737" spans="11:13" x14ac:dyDescent="0.2">
      <c r="K4737" t="s">
        <v>42</v>
      </c>
      <c r="L4737" t="s">
        <v>38</v>
      </c>
      <c r="M4737">
        <v>0</v>
      </c>
    </row>
    <row r="4738" spans="11:13" x14ac:dyDescent="0.2">
      <c r="K4738" t="s">
        <v>42</v>
      </c>
      <c r="L4738" t="s">
        <v>38</v>
      </c>
      <c r="M4738">
        <v>0</v>
      </c>
    </row>
    <row r="4739" spans="11:13" x14ac:dyDescent="0.2">
      <c r="K4739" t="s">
        <v>41</v>
      </c>
      <c r="L4739" t="s">
        <v>37</v>
      </c>
      <c r="M4739">
        <v>0</v>
      </c>
    </row>
    <row r="4740" spans="11:13" x14ac:dyDescent="0.2">
      <c r="K4740" t="s">
        <v>42</v>
      </c>
      <c r="L4740" t="s">
        <v>38</v>
      </c>
      <c r="M4740">
        <v>0</v>
      </c>
    </row>
    <row r="4741" spans="11:13" x14ac:dyDescent="0.2">
      <c r="K4741" t="s">
        <v>42</v>
      </c>
      <c r="L4741" t="s">
        <v>38</v>
      </c>
      <c r="M4741">
        <v>0</v>
      </c>
    </row>
    <row r="4742" spans="11:13" x14ac:dyDescent="0.2">
      <c r="K4742" t="s">
        <v>41</v>
      </c>
      <c r="L4742" t="s">
        <v>37</v>
      </c>
      <c r="M4742">
        <v>0</v>
      </c>
    </row>
    <row r="4743" spans="11:13" x14ac:dyDescent="0.2">
      <c r="K4743" t="s">
        <v>41</v>
      </c>
      <c r="L4743" t="s">
        <v>37</v>
      </c>
      <c r="M4743">
        <v>0</v>
      </c>
    </row>
    <row r="4744" spans="11:13" x14ac:dyDescent="0.2">
      <c r="K4744" t="s">
        <v>42</v>
      </c>
      <c r="L4744" t="s">
        <v>38</v>
      </c>
      <c r="M4744">
        <v>0</v>
      </c>
    </row>
    <row r="4745" spans="11:13" x14ac:dyDescent="0.2">
      <c r="K4745" t="s">
        <v>41</v>
      </c>
      <c r="L4745" t="s">
        <v>37</v>
      </c>
      <c r="M4745">
        <v>0</v>
      </c>
    </row>
    <row r="4746" spans="11:13" x14ac:dyDescent="0.2">
      <c r="K4746" t="s">
        <v>41</v>
      </c>
      <c r="L4746" t="s">
        <v>37</v>
      </c>
      <c r="M4746">
        <v>0</v>
      </c>
    </row>
    <row r="4747" spans="11:13" x14ac:dyDescent="0.2">
      <c r="K4747" t="s">
        <v>42</v>
      </c>
      <c r="L4747" t="s">
        <v>38</v>
      </c>
      <c r="M4747">
        <v>0</v>
      </c>
    </row>
    <row r="4748" spans="11:13" x14ac:dyDescent="0.2">
      <c r="K4748" t="s">
        <v>42</v>
      </c>
      <c r="L4748" t="s">
        <v>38</v>
      </c>
      <c r="M4748">
        <v>0</v>
      </c>
    </row>
    <row r="4749" spans="11:13" x14ac:dyDescent="0.2">
      <c r="K4749" t="s">
        <v>41</v>
      </c>
      <c r="L4749" t="s">
        <v>37</v>
      </c>
      <c r="M4749">
        <v>0</v>
      </c>
    </row>
    <row r="4750" spans="11:13" x14ac:dyDescent="0.2">
      <c r="K4750" t="s">
        <v>42</v>
      </c>
      <c r="L4750" t="s">
        <v>38</v>
      </c>
      <c r="M4750">
        <v>0</v>
      </c>
    </row>
    <row r="4751" spans="11:13" x14ac:dyDescent="0.2">
      <c r="K4751" t="s">
        <v>42</v>
      </c>
      <c r="L4751" t="s">
        <v>38</v>
      </c>
      <c r="M4751">
        <v>0</v>
      </c>
    </row>
    <row r="4752" spans="11:13" x14ac:dyDescent="0.2">
      <c r="K4752" t="s">
        <v>41</v>
      </c>
      <c r="L4752" t="s">
        <v>37</v>
      </c>
      <c r="M4752">
        <v>0</v>
      </c>
    </row>
    <row r="4753" spans="11:13" x14ac:dyDescent="0.2">
      <c r="K4753" t="s">
        <v>42</v>
      </c>
      <c r="L4753" t="s">
        <v>38</v>
      </c>
      <c r="M4753">
        <v>0</v>
      </c>
    </row>
    <row r="4754" spans="11:13" x14ac:dyDescent="0.2">
      <c r="K4754" t="s">
        <v>42</v>
      </c>
      <c r="L4754" t="s">
        <v>38</v>
      </c>
      <c r="M4754">
        <v>0</v>
      </c>
    </row>
    <row r="4755" spans="11:13" x14ac:dyDescent="0.2">
      <c r="K4755" t="s">
        <v>42</v>
      </c>
      <c r="L4755" t="s">
        <v>38</v>
      </c>
      <c r="M4755">
        <v>0</v>
      </c>
    </row>
    <row r="4756" spans="11:13" x14ac:dyDescent="0.2">
      <c r="K4756" t="s">
        <v>42</v>
      </c>
      <c r="L4756" t="s">
        <v>38</v>
      </c>
      <c r="M4756">
        <v>0</v>
      </c>
    </row>
    <row r="4757" spans="11:13" x14ac:dyDescent="0.2">
      <c r="K4757" t="s">
        <v>42</v>
      </c>
      <c r="L4757" t="s">
        <v>38</v>
      </c>
      <c r="M4757">
        <v>0</v>
      </c>
    </row>
    <row r="4758" spans="11:13" x14ac:dyDescent="0.2">
      <c r="K4758" t="s">
        <v>41</v>
      </c>
      <c r="L4758" t="s">
        <v>37</v>
      </c>
      <c r="M4758">
        <v>0</v>
      </c>
    </row>
    <row r="4759" spans="11:13" x14ac:dyDescent="0.2">
      <c r="K4759" t="s">
        <v>42</v>
      </c>
      <c r="L4759" t="s">
        <v>38</v>
      </c>
      <c r="M4759">
        <v>0</v>
      </c>
    </row>
    <row r="4760" spans="11:13" x14ac:dyDescent="0.2">
      <c r="K4760" t="s">
        <v>41</v>
      </c>
      <c r="L4760" t="s">
        <v>37</v>
      </c>
      <c r="M4760">
        <v>0</v>
      </c>
    </row>
    <row r="4761" spans="11:13" x14ac:dyDescent="0.2">
      <c r="K4761" t="s">
        <v>42</v>
      </c>
      <c r="L4761" t="s">
        <v>38</v>
      </c>
      <c r="M4761">
        <v>0</v>
      </c>
    </row>
    <row r="4762" spans="11:13" x14ac:dyDescent="0.2">
      <c r="K4762" t="s">
        <v>41</v>
      </c>
      <c r="L4762" t="s">
        <v>37</v>
      </c>
      <c r="M4762">
        <v>0</v>
      </c>
    </row>
    <row r="4763" spans="11:13" x14ac:dyDescent="0.2">
      <c r="K4763" t="s">
        <v>41</v>
      </c>
      <c r="L4763" t="s">
        <v>37</v>
      </c>
      <c r="M4763">
        <v>0</v>
      </c>
    </row>
    <row r="4764" spans="11:13" x14ac:dyDescent="0.2">
      <c r="K4764" t="s">
        <v>41</v>
      </c>
      <c r="L4764" t="s">
        <v>37</v>
      </c>
      <c r="M4764">
        <v>0</v>
      </c>
    </row>
    <row r="4765" spans="11:13" x14ac:dyDescent="0.2">
      <c r="K4765" t="s">
        <v>41</v>
      </c>
      <c r="L4765" t="s">
        <v>37</v>
      </c>
      <c r="M4765">
        <v>0</v>
      </c>
    </row>
    <row r="4766" spans="11:13" x14ac:dyDescent="0.2">
      <c r="K4766" t="s">
        <v>42</v>
      </c>
      <c r="L4766" t="s">
        <v>38</v>
      </c>
      <c r="M4766">
        <v>0</v>
      </c>
    </row>
    <row r="4767" spans="11:13" x14ac:dyDescent="0.2">
      <c r="K4767" t="s">
        <v>42</v>
      </c>
      <c r="L4767" t="s">
        <v>38</v>
      </c>
      <c r="M4767">
        <v>0</v>
      </c>
    </row>
    <row r="4768" spans="11:13" x14ac:dyDescent="0.2">
      <c r="K4768" t="s">
        <v>42</v>
      </c>
      <c r="L4768" t="s">
        <v>38</v>
      </c>
      <c r="M4768">
        <v>0</v>
      </c>
    </row>
    <row r="4769" spans="11:13" x14ac:dyDescent="0.2">
      <c r="K4769" t="s">
        <v>41</v>
      </c>
      <c r="L4769" t="s">
        <v>37</v>
      </c>
      <c r="M4769">
        <v>0</v>
      </c>
    </row>
    <row r="4770" spans="11:13" x14ac:dyDescent="0.2">
      <c r="K4770" t="s">
        <v>42</v>
      </c>
      <c r="L4770" t="s">
        <v>38</v>
      </c>
      <c r="M4770">
        <v>0</v>
      </c>
    </row>
    <row r="4771" spans="11:13" x14ac:dyDescent="0.2">
      <c r="K4771" t="s">
        <v>42</v>
      </c>
      <c r="L4771" t="s">
        <v>38</v>
      </c>
      <c r="M4771">
        <v>0</v>
      </c>
    </row>
    <row r="4772" spans="11:13" x14ac:dyDescent="0.2">
      <c r="K4772" t="s">
        <v>42</v>
      </c>
      <c r="L4772" t="s">
        <v>38</v>
      </c>
      <c r="M4772">
        <v>0</v>
      </c>
    </row>
    <row r="4773" spans="11:13" x14ac:dyDescent="0.2">
      <c r="K4773" t="s">
        <v>42</v>
      </c>
      <c r="L4773" t="s">
        <v>38</v>
      </c>
      <c r="M4773">
        <v>0</v>
      </c>
    </row>
    <row r="4774" spans="11:13" x14ac:dyDescent="0.2">
      <c r="K4774" t="s">
        <v>42</v>
      </c>
      <c r="L4774" t="s">
        <v>38</v>
      </c>
      <c r="M4774">
        <v>0</v>
      </c>
    </row>
    <row r="4775" spans="11:13" x14ac:dyDescent="0.2">
      <c r="K4775" t="s">
        <v>41</v>
      </c>
      <c r="L4775" t="s">
        <v>37</v>
      </c>
      <c r="M4775">
        <v>0</v>
      </c>
    </row>
    <row r="4776" spans="11:13" x14ac:dyDescent="0.2">
      <c r="K4776" t="s">
        <v>41</v>
      </c>
      <c r="L4776" t="s">
        <v>37</v>
      </c>
      <c r="M4776">
        <v>0</v>
      </c>
    </row>
    <row r="4777" spans="11:13" x14ac:dyDescent="0.2">
      <c r="K4777" t="s">
        <v>41</v>
      </c>
      <c r="L4777" t="s">
        <v>37</v>
      </c>
      <c r="M4777">
        <v>0</v>
      </c>
    </row>
    <row r="4778" spans="11:13" x14ac:dyDescent="0.2">
      <c r="K4778" t="s">
        <v>41</v>
      </c>
      <c r="L4778" t="s">
        <v>37</v>
      </c>
      <c r="M4778">
        <v>0</v>
      </c>
    </row>
    <row r="4779" spans="11:13" x14ac:dyDescent="0.2">
      <c r="K4779" t="s">
        <v>42</v>
      </c>
      <c r="L4779" t="s">
        <v>38</v>
      </c>
      <c r="M4779">
        <v>0</v>
      </c>
    </row>
    <row r="4780" spans="11:13" x14ac:dyDescent="0.2">
      <c r="K4780" t="s">
        <v>42</v>
      </c>
      <c r="L4780" t="s">
        <v>38</v>
      </c>
      <c r="M4780">
        <v>0</v>
      </c>
    </row>
    <row r="4781" spans="11:13" x14ac:dyDescent="0.2">
      <c r="K4781" t="s">
        <v>42</v>
      </c>
      <c r="L4781" t="s">
        <v>38</v>
      </c>
      <c r="M4781">
        <v>1</v>
      </c>
    </row>
    <row r="4782" spans="11:13" x14ac:dyDescent="0.2">
      <c r="K4782" t="s">
        <v>41</v>
      </c>
      <c r="L4782" t="s">
        <v>37</v>
      </c>
      <c r="M4782">
        <v>0</v>
      </c>
    </row>
    <row r="4783" spans="11:13" x14ac:dyDescent="0.2">
      <c r="K4783" t="s">
        <v>42</v>
      </c>
      <c r="L4783" t="s">
        <v>38</v>
      </c>
      <c r="M4783">
        <v>0</v>
      </c>
    </row>
    <row r="4784" spans="11:13" x14ac:dyDescent="0.2">
      <c r="K4784" t="s">
        <v>41</v>
      </c>
      <c r="L4784" t="s">
        <v>37</v>
      </c>
      <c r="M4784">
        <v>0</v>
      </c>
    </row>
    <row r="4785" spans="11:13" x14ac:dyDescent="0.2">
      <c r="K4785" t="s">
        <v>42</v>
      </c>
      <c r="L4785" t="s">
        <v>38</v>
      </c>
      <c r="M4785">
        <v>0</v>
      </c>
    </row>
    <row r="4786" spans="11:13" x14ac:dyDescent="0.2">
      <c r="K4786" t="s">
        <v>41</v>
      </c>
      <c r="L4786" t="s">
        <v>37</v>
      </c>
      <c r="M4786">
        <v>0</v>
      </c>
    </row>
    <row r="4787" spans="11:13" x14ac:dyDescent="0.2">
      <c r="K4787" t="s">
        <v>42</v>
      </c>
      <c r="L4787" t="s">
        <v>38</v>
      </c>
      <c r="M4787">
        <v>0</v>
      </c>
    </row>
    <row r="4788" spans="11:13" x14ac:dyDescent="0.2">
      <c r="K4788" t="s">
        <v>41</v>
      </c>
      <c r="L4788" t="s">
        <v>37</v>
      </c>
      <c r="M4788">
        <v>0</v>
      </c>
    </row>
    <row r="4789" spans="11:13" x14ac:dyDescent="0.2">
      <c r="K4789" t="s">
        <v>42</v>
      </c>
      <c r="L4789" t="s">
        <v>38</v>
      </c>
      <c r="M4789">
        <v>0</v>
      </c>
    </row>
    <row r="4790" spans="11:13" x14ac:dyDescent="0.2">
      <c r="K4790" t="s">
        <v>42</v>
      </c>
      <c r="L4790" t="s">
        <v>38</v>
      </c>
      <c r="M4790">
        <v>0</v>
      </c>
    </row>
    <row r="4791" spans="11:13" x14ac:dyDescent="0.2">
      <c r="K4791" t="s">
        <v>41</v>
      </c>
      <c r="L4791" t="s">
        <v>37</v>
      </c>
      <c r="M4791">
        <v>0</v>
      </c>
    </row>
    <row r="4792" spans="11:13" x14ac:dyDescent="0.2">
      <c r="K4792" t="s">
        <v>42</v>
      </c>
      <c r="L4792" t="s">
        <v>38</v>
      </c>
      <c r="M4792">
        <v>0</v>
      </c>
    </row>
    <row r="4793" spans="11:13" x14ac:dyDescent="0.2">
      <c r="K4793" t="s">
        <v>41</v>
      </c>
      <c r="L4793" t="s">
        <v>37</v>
      </c>
      <c r="M4793">
        <v>0</v>
      </c>
    </row>
    <row r="4794" spans="11:13" x14ac:dyDescent="0.2">
      <c r="K4794" t="s">
        <v>41</v>
      </c>
      <c r="L4794" t="s">
        <v>37</v>
      </c>
      <c r="M4794">
        <v>0</v>
      </c>
    </row>
    <row r="4795" spans="11:13" x14ac:dyDescent="0.2">
      <c r="K4795" t="s">
        <v>41</v>
      </c>
      <c r="L4795" t="s">
        <v>37</v>
      </c>
      <c r="M4795">
        <v>0</v>
      </c>
    </row>
    <row r="4796" spans="11:13" x14ac:dyDescent="0.2">
      <c r="K4796" t="s">
        <v>42</v>
      </c>
      <c r="L4796" t="s">
        <v>38</v>
      </c>
      <c r="M4796">
        <v>0</v>
      </c>
    </row>
    <row r="4797" spans="11:13" x14ac:dyDescent="0.2">
      <c r="K4797" t="s">
        <v>41</v>
      </c>
      <c r="L4797" t="s">
        <v>37</v>
      </c>
      <c r="M4797">
        <v>0</v>
      </c>
    </row>
    <row r="4798" spans="11:13" x14ac:dyDescent="0.2">
      <c r="K4798" t="s">
        <v>42</v>
      </c>
      <c r="L4798" t="s">
        <v>38</v>
      </c>
      <c r="M4798">
        <v>0</v>
      </c>
    </row>
    <row r="4799" spans="11:13" x14ac:dyDescent="0.2">
      <c r="K4799" t="s">
        <v>42</v>
      </c>
      <c r="L4799" t="s">
        <v>38</v>
      </c>
      <c r="M4799">
        <v>0</v>
      </c>
    </row>
    <row r="4800" spans="11:13" x14ac:dyDescent="0.2">
      <c r="K4800" t="s">
        <v>41</v>
      </c>
      <c r="L4800" t="s">
        <v>37</v>
      </c>
      <c r="M4800">
        <v>0</v>
      </c>
    </row>
    <row r="4801" spans="11:13" x14ac:dyDescent="0.2">
      <c r="K4801" t="s">
        <v>42</v>
      </c>
      <c r="L4801" t="s">
        <v>38</v>
      </c>
      <c r="M4801">
        <v>0</v>
      </c>
    </row>
    <row r="4802" spans="11:13" x14ac:dyDescent="0.2">
      <c r="K4802" t="s">
        <v>42</v>
      </c>
      <c r="L4802" t="s">
        <v>38</v>
      </c>
      <c r="M4802">
        <v>0</v>
      </c>
    </row>
    <row r="4803" spans="11:13" x14ac:dyDescent="0.2">
      <c r="K4803" t="s">
        <v>42</v>
      </c>
      <c r="L4803" t="s">
        <v>38</v>
      </c>
      <c r="M4803">
        <v>0</v>
      </c>
    </row>
    <row r="4804" spans="11:13" x14ac:dyDescent="0.2">
      <c r="K4804" t="s">
        <v>41</v>
      </c>
      <c r="L4804" t="s">
        <v>37</v>
      </c>
      <c r="M4804">
        <v>0</v>
      </c>
    </row>
    <row r="4805" spans="11:13" x14ac:dyDescent="0.2">
      <c r="K4805" t="s">
        <v>41</v>
      </c>
      <c r="L4805" t="s">
        <v>37</v>
      </c>
      <c r="M4805">
        <v>0</v>
      </c>
    </row>
    <row r="4806" spans="11:13" x14ac:dyDescent="0.2">
      <c r="K4806" t="s">
        <v>41</v>
      </c>
      <c r="L4806" t="s">
        <v>37</v>
      </c>
      <c r="M4806">
        <v>0</v>
      </c>
    </row>
    <row r="4807" spans="11:13" x14ac:dyDescent="0.2">
      <c r="K4807" t="s">
        <v>42</v>
      </c>
      <c r="L4807" t="s">
        <v>38</v>
      </c>
      <c r="M4807">
        <v>0</v>
      </c>
    </row>
    <row r="4808" spans="11:13" x14ac:dyDescent="0.2">
      <c r="K4808" t="s">
        <v>41</v>
      </c>
      <c r="L4808" t="s">
        <v>37</v>
      </c>
      <c r="M4808">
        <v>0</v>
      </c>
    </row>
    <row r="4809" spans="11:13" x14ac:dyDescent="0.2">
      <c r="K4809" t="s">
        <v>42</v>
      </c>
      <c r="L4809" t="s">
        <v>38</v>
      </c>
      <c r="M4809">
        <v>0</v>
      </c>
    </row>
    <row r="4810" spans="11:13" x14ac:dyDescent="0.2">
      <c r="K4810" t="s">
        <v>42</v>
      </c>
      <c r="L4810" t="s">
        <v>38</v>
      </c>
      <c r="M4810">
        <v>0</v>
      </c>
    </row>
    <row r="4811" spans="11:13" x14ac:dyDescent="0.2">
      <c r="K4811" t="s">
        <v>42</v>
      </c>
      <c r="L4811" t="s">
        <v>38</v>
      </c>
      <c r="M4811">
        <v>0</v>
      </c>
    </row>
    <row r="4812" spans="11:13" x14ac:dyDescent="0.2">
      <c r="K4812" t="s">
        <v>42</v>
      </c>
      <c r="L4812" t="s">
        <v>38</v>
      </c>
      <c r="M4812">
        <v>0</v>
      </c>
    </row>
    <row r="4813" spans="11:13" x14ac:dyDescent="0.2">
      <c r="K4813" t="s">
        <v>42</v>
      </c>
      <c r="L4813" t="s">
        <v>38</v>
      </c>
      <c r="M4813">
        <v>1</v>
      </c>
    </row>
    <row r="4814" spans="11:13" x14ac:dyDescent="0.2">
      <c r="K4814" t="s">
        <v>41</v>
      </c>
      <c r="L4814" t="s">
        <v>37</v>
      </c>
      <c r="M4814">
        <v>0</v>
      </c>
    </row>
    <row r="4815" spans="11:13" x14ac:dyDescent="0.2">
      <c r="K4815" t="s">
        <v>42</v>
      </c>
      <c r="L4815" t="s">
        <v>38</v>
      </c>
      <c r="M4815">
        <v>0</v>
      </c>
    </row>
    <row r="4816" spans="11:13" x14ac:dyDescent="0.2">
      <c r="K4816" t="s">
        <v>41</v>
      </c>
      <c r="L4816" t="s">
        <v>37</v>
      </c>
      <c r="M4816">
        <v>0</v>
      </c>
    </row>
    <row r="4817" spans="11:13" x14ac:dyDescent="0.2">
      <c r="K4817" t="s">
        <v>41</v>
      </c>
      <c r="L4817" t="s">
        <v>37</v>
      </c>
      <c r="M4817">
        <v>0</v>
      </c>
    </row>
    <row r="4818" spans="11:13" x14ac:dyDescent="0.2">
      <c r="K4818" t="s">
        <v>42</v>
      </c>
      <c r="L4818" t="s">
        <v>38</v>
      </c>
      <c r="M4818">
        <v>0</v>
      </c>
    </row>
    <row r="4819" spans="11:13" x14ac:dyDescent="0.2">
      <c r="K4819" t="s">
        <v>42</v>
      </c>
      <c r="L4819" t="s">
        <v>38</v>
      </c>
      <c r="M4819">
        <v>0</v>
      </c>
    </row>
    <row r="4820" spans="11:13" x14ac:dyDescent="0.2">
      <c r="K4820" t="s">
        <v>42</v>
      </c>
      <c r="L4820" t="s">
        <v>38</v>
      </c>
      <c r="M4820">
        <v>0</v>
      </c>
    </row>
    <row r="4821" spans="11:13" x14ac:dyDescent="0.2">
      <c r="K4821" t="s">
        <v>41</v>
      </c>
      <c r="L4821" t="s">
        <v>37</v>
      </c>
      <c r="M4821">
        <v>0</v>
      </c>
    </row>
    <row r="4822" spans="11:13" x14ac:dyDescent="0.2">
      <c r="K4822" t="s">
        <v>41</v>
      </c>
      <c r="L4822" t="s">
        <v>37</v>
      </c>
      <c r="M4822">
        <v>0</v>
      </c>
    </row>
    <row r="4823" spans="11:13" x14ac:dyDescent="0.2">
      <c r="K4823" t="s">
        <v>41</v>
      </c>
      <c r="L4823" t="s">
        <v>37</v>
      </c>
      <c r="M4823">
        <v>0</v>
      </c>
    </row>
    <row r="4824" spans="11:13" x14ac:dyDescent="0.2">
      <c r="K4824" t="s">
        <v>42</v>
      </c>
      <c r="L4824" t="s">
        <v>38</v>
      </c>
      <c r="M4824">
        <v>0</v>
      </c>
    </row>
    <row r="4825" spans="11:13" x14ac:dyDescent="0.2">
      <c r="K4825" t="s">
        <v>42</v>
      </c>
      <c r="L4825" t="s">
        <v>38</v>
      </c>
      <c r="M4825">
        <v>0</v>
      </c>
    </row>
    <row r="4826" spans="11:13" x14ac:dyDescent="0.2">
      <c r="K4826" t="s">
        <v>41</v>
      </c>
      <c r="L4826" t="s">
        <v>37</v>
      </c>
      <c r="M4826">
        <v>0</v>
      </c>
    </row>
    <row r="4827" spans="11:13" x14ac:dyDescent="0.2">
      <c r="K4827" t="s">
        <v>42</v>
      </c>
      <c r="L4827" t="s">
        <v>38</v>
      </c>
      <c r="M4827">
        <v>0</v>
      </c>
    </row>
    <row r="4828" spans="11:13" x14ac:dyDescent="0.2">
      <c r="K4828" t="s">
        <v>41</v>
      </c>
      <c r="L4828" t="s">
        <v>37</v>
      </c>
      <c r="M4828">
        <v>0</v>
      </c>
    </row>
    <row r="4829" spans="11:13" x14ac:dyDescent="0.2">
      <c r="K4829" t="s">
        <v>42</v>
      </c>
      <c r="L4829" t="s">
        <v>38</v>
      </c>
      <c r="M4829">
        <v>0</v>
      </c>
    </row>
    <row r="4830" spans="11:13" x14ac:dyDescent="0.2">
      <c r="K4830" t="s">
        <v>42</v>
      </c>
      <c r="L4830" t="s">
        <v>38</v>
      </c>
      <c r="M4830">
        <v>0</v>
      </c>
    </row>
    <row r="4831" spans="11:13" x14ac:dyDescent="0.2">
      <c r="K4831" t="s">
        <v>41</v>
      </c>
      <c r="L4831" t="s">
        <v>37</v>
      </c>
      <c r="M4831">
        <v>0</v>
      </c>
    </row>
    <row r="4832" spans="11:13" x14ac:dyDescent="0.2">
      <c r="K4832" t="s">
        <v>41</v>
      </c>
      <c r="L4832" t="s">
        <v>37</v>
      </c>
      <c r="M4832">
        <v>0</v>
      </c>
    </row>
    <row r="4833" spans="11:13" x14ac:dyDescent="0.2">
      <c r="K4833" t="s">
        <v>41</v>
      </c>
      <c r="L4833" t="s">
        <v>37</v>
      </c>
      <c r="M4833">
        <v>0</v>
      </c>
    </row>
    <row r="4834" spans="11:13" x14ac:dyDescent="0.2">
      <c r="K4834" t="s">
        <v>41</v>
      </c>
      <c r="L4834" t="s">
        <v>37</v>
      </c>
      <c r="M4834">
        <v>0</v>
      </c>
    </row>
    <row r="4835" spans="11:13" x14ac:dyDescent="0.2">
      <c r="K4835" t="s">
        <v>42</v>
      </c>
      <c r="L4835" t="s">
        <v>38</v>
      </c>
      <c r="M4835">
        <v>0</v>
      </c>
    </row>
    <row r="4836" spans="11:13" x14ac:dyDescent="0.2">
      <c r="K4836" t="s">
        <v>42</v>
      </c>
      <c r="L4836" t="s">
        <v>38</v>
      </c>
      <c r="M4836">
        <v>0</v>
      </c>
    </row>
    <row r="4837" spans="11:13" x14ac:dyDescent="0.2">
      <c r="K4837" t="s">
        <v>42</v>
      </c>
      <c r="L4837" t="s">
        <v>38</v>
      </c>
      <c r="M4837">
        <v>0</v>
      </c>
    </row>
    <row r="4838" spans="11:13" x14ac:dyDescent="0.2">
      <c r="K4838" t="s">
        <v>42</v>
      </c>
      <c r="L4838" t="s">
        <v>38</v>
      </c>
      <c r="M4838">
        <v>0</v>
      </c>
    </row>
    <row r="4839" spans="11:13" x14ac:dyDescent="0.2">
      <c r="K4839" t="s">
        <v>42</v>
      </c>
      <c r="L4839" t="s">
        <v>38</v>
      </c>
      <c r="M4839">
        <v>0</v>
      </c>
    </row>
    <row r="4840" spans="11:13" x14ac:dyDescent="0.2">
      <c r="K4840" t="s">
        <v>42</v>
      </c>
      <c r="L4840" t="s">
        <v>38</v>
      </c>
      <c r="M4840">
        <v>0</v>
      </c>
    </row>
    <row r="4841" spans="11:13" x14ac:dyDescent="0.2">
      <c r="K4841" t="s">
        <v>42</v>
      </c>
      <c r="L4841" t="s">
        <v>38</v>
      </c>
      <c r="M4841">
        <v>0</v>
      </c>
    </row>
    <row r="4842" spans="11:13" x14ac:dyDescent="0.2">
      <c r="K4842" t="s">
        <v>42</v>
      </c>
      <c r="L4842" t="s">
        <v>38</v>
      </c>
      <c r="M4842">
        <v>0</v>
      </c>
    </row>
    <row r="4843" spans="11:13" x14ac:dyDescent="0.2">
      <c r="K4843" t="s">
        <v>41</v>
      </c>
      <c r="L4843" t="s">
        <v>37</v>
      </c>
      <c r="M4843">
        <v>0</v>
      </c>
    </row>
    <row r="4844" spans="11:13" x14ac:dyDescent="0.2">
      <c r="K4844" t="s">
        <v>41</v>
      </c>
      <c r="L4844" t="s">
        <v>37</v>
      </c>
      <c r="M4844">
        <v>0</v>
      </c>
    </row>
    <row r="4845" spans="11:13" x14ac:dyDescent="0.2">
      <c r="K4845" t="s">
        <v>42</v>
      </c>
      <c r="L4845" t="s">
        <v>38</v>
      </c>
      <c r="M4845">
        <v>0</v>
      </c>
    </row>
    <row r="4846" spans="11:13" x14ac:dyDescent="0.2">
      <c r="K4846" t="s">
        <v>41</v>
      </c>
      <c r="L4846" t="s">
        <v>37</v>
      </c>
      <c r="M4846">
        <v>0</v>
      </c>
    </row>
    <row r="4847" spans="11:13" x14ac:dyDescent="0.2">
      <c r="K4847" t="s">
        <v>42</v>
      </c>
      <c r="L4847" t="s">
        <v>38</v>
      </c>
      <c r="M4847">
        <v>0</v>
      </c>
    </row>
    <row r="4848" spans="11:13" x14ac:dyDescent="0.2">
      <c r="K4848" t="s">
        <v>41</v>
      </c>
      <c r="L4848" t="s">
        <v>37</v>
      </c>
      <c r="M4848">
        <v>0</v>
      </c>
    </row>
    <row r="4849" spans="11:13" x14ac:dyDescent="0.2">
      <c r="K4849" t="s">
        <v>41</v>
      </c>
      <c r="L4849" t="s">
        <v>37</v>
      </c>
      <c r="M4849">
        <v>0</v>
      </c>
    </row>
    <row r="4850" spans="11:13" x14ac:dyDescent="0.2">
      <c r="K4850" t="s">
        <v>41</v>
      </c>
      <c r="L4850" t="s">
        <v>37</v>
      </c>
      <c r="M4850">
        <v>0</v>
      </c>
    </row>
    <row r="4851" spans="11:13" x14ac:dyDescent="0.2">
      <c r="K4851" t="s">
        <v>41</v>
      </c>
      <c r="L4851" t="s">
        <v>37</v>
      </c>
      <c r="M4851">
        <v>0</v>
      </c>
    </row>
    <row r="4852" spans="11:13" x14ac:dyDescent="0.2">
      <c r="K4852" t="s">
        <v>41</v>
      </c>
      <c r="L4852" t="s">
        <v>37</v>
      </c>
      <c r="M4852">
        <v>0</v>
      </c>
    </row>
    <row r="4853" spans="11:13" x14ac:dyDescent="0.2">
      <c r="K4853" t="s">
        <v>41</v>
      </c>
      <c r="L4853" t="s">
        <v>37</v>
      </c>
      <c r="M4853">
        <v>0</v>
      </c>
    </row>
    <row r="4854" spans="11:13" x14ac:dyDescent="0.2">
      <c r="K4854" t="s">
        <v>41</v>
      </c>
      <c r="L4854" t="s">
        <v>37</v>
      </c>
      <c r="M4854">
        <v>0</v>
      </c>
    </row>
    <row r="4855" spans="11:13" x14ac:dyDescent="0.2">
      <c r="K4855" t="s">
        <v>41</v>
      </c>
      <c r="L4855" t="s">
        <v>37</v>
      </c>
      <c r="M4855">
        <v>0</v>
      </c>
    </row>
    <row r="4856" spans="11:13" x14ac:dyDescent="0.2">
      <c r="K4856" t="s">
        <v>41</v>
      </c>
      <c r="L4856" t="s">
        <v>37</v>
      </c>
      <c r="M4856">
        <v>0</v>
      </c>
    </row>
    <row r="4857" spans="11:13" x14ac:dyDescent="0.2">
      <c r="K4857" t="s">
        <v>41</v>
      </c>
      <c r="L4857" t="s">
        <v>37</v>
      </c>
      <c r="M4857">
        <v>1</v>
      </c>
    </row>
    <row r="4858" spans="11:13" x14ac:dyDescent="0.2">
      <c r="K4858" t="s">
        <v>42</v>
      </c>
      <c r="L4858" t="s">
        <v>38</v>
      </c>
      <c r="M4858">
        <v>0</v>
      </c>
    </row>
    <row r="4859" spans="11:13" x14ac:dyDescent="0.2">
      <c r="K4859" t="s">
        <v>41</v>
      </c>
      <c r="L4859" t="s">
        <v>37</v>
      </c>
      <c r="M4859">
        <v>0</v>
      </c>
    </row>
    <row r="4860" spans="11:13" x14ac:dyDescent="0.2">
      <c r="K4860" t="s">
        <v>41</v>
      </c>
      <c r="L4860" t="s">
        <v>37</v>
      </c>
      <c r="M4860">
        <v>0</v>
      </c>
    </row>
    <row r="4861" spans="11:13" x14ac:dyDescent="0.2">
      <c r="K4861" t="s">
        <v>42</v>
      </c>
      <c r="L4861" t="s">
        <v>38</v>
      </c>
      <c r="M4861">
        <v>0</v>
      </c>
    </row>
    <row r="4862" spans="11:13" x14ac:dyDescent="0.2">
      <c r="K4862" t="s">
        <v>42</v>
      </c>
      <c r="L4862" t="s">
        <v>38</v>
      </c>
      <c r="M4862">
        <v>0</v>
      </c>
    </row>
    <row r="4863" spans="11:13" x14ac:dyDescent="0.2">
      <c r="K4863" t="s">
        <v>41</v>
      </c>
      <c r="L4863" t="s">
        <v>37</v>
      </c>
      <c r="M4863">
        <v>0</v>
      </c>
    </row>
    <row r="4864" spans="11:13" x14ac:dyDescent="0.2">
      <c r="K4864" t="s">
        <v>42</v>
      </c>
      <c r="L4864" t="s">
        <v>38</v>
      </c>
      <c r="M4864">
        <v>0</v>
      </c>
    </row>
    <row r="4865" spans="11:13" x14ac:dyDescent="0.2">
      <c r="K4865" t="s">
        <v>42</v>
      </c>
      <c r="L4865" t="s">
        <v>38</v>
      </c>
      <c r="M4865">
        <v>0</v>
      </c>
    </row>
    <row r="4866" spans="11:13" x14ac:dyDescent="0.2">
      <c r="K4866" t="s">
        <v>41</v>
      </c>
      <c r="L4866" t="s">
        <v>37</v>
      </c>
      <c r="M4866">
        <v>0</v>
      </c>
    </row>
    <row r="4867" spans="11:13" x14ac:dyDescent="0.2">
      <c r="K4867" t="s">
        <v>41</v>
      </c>
      <c r="L4867" t="s">
        <v>37</v>
      </c>
      <c r="M4867">
        <v>0</v>
      </c>
    </row>
    <row r="4868" spans="11:13" x14ac:dyDescent="0.2">
      <c r="K4868" t="s">
        <v>42</v>
      </c>
      <c r="L4868" t="s">
        <v>38</v>
      </c>
      <c r="M4868">
        <v>0</v>
      </c>
    </row>
    <row r="4869" spans="11:13" x14ac:dyDescent="0.2">
      <c r="K4869" t="s">
        <v>41</v>
      </c>
      <c r="L4869" t="s">
        <v>37</v>
      </c>
      <c r="M4869">
        <v>0</v>
      </c>
    </row>
    <row r="4870" spans="11:13" x14ac:dyDescent="0.2">
      <c r="K4870" t="s">
        <v>42</v>
      </c>
      <c r="L4870" t="s">
        <v>38</v>
      </c>
      <c r="M4870">
        <v>0</v>
      </c>
    </row>
    <row r="4871" spans="11:13" x14ac:dyDescent="0.2">
      <c r="K4871" t="s">
        <v>41</v>
      </c>
      <c r="L4871" t="s">
        <v>37</v>
      </c>
      <c r="M4871">
        <v>0</v>
      </c>
    </row>
    <row r="4872" spans="11:13" x14ac:dyDescent="0.2">
      <c r="K4872" t="s">
        <v>42</v>
      </c>
      <c r="L4872" t="s">
        <v>38</v>
      </c>
      <c r="M4872">
        <v>0</v>
      </c>
    </row>
    <row r="4873" spans="11:13" x14ac:dyDescent="0.2">
      <c r="K4873" t="s">
        <v>41</v>
      </c>
      <c r="L4873" t="s">
        <v>37</v>
      </c>
      <c r="M4873">
        <v>0</v>
      </c>
    </row>
    <row r="4874" spans="11:13" x14ac:dyDescent="0.2">
      <c r="K4874" t="s">
        <v>42</v>
      </c>
      <c r="L4874" t="s">
        <v>38</v>
      </c>
      <c r="M4874">
        <v>0</v>
      </c>
    </row>
    <row r="4875" spans="11:13" x14ac:dyDescent="0.2">
      <c r="K4875" t="s">
        <v>42</v>
      </c>
      <c r="L4875" t="s">
        <v>38</v>
      </c>
      <c r="M4875">
        <v>0</v>
      </c>
    </row>
    <row r="4876" spans="11:13" x14ac:dyDescent="0.2">
      <c r="K4876" t="s">
        <v>41</v>
      </c>
      <c r="L4876" t="s">
        <v>37</v>
      </c>
      <c r="M4876">
        <v>0</v>
      </c>
    </row>
    <row r="4877" spans="11:13" x14ac:dyDescent="0.2">
      <c r="K4877" t="s">
        <v>42</v>
      </c>
      <c r="L4877" t="s">
        <v>38</v>
      </c>
      <c r="M4877">
        <v>0</v>
      </c>
    </row>
    <row r="4878" spans="11:13" x14ac:dyDescent="0.2">
      <c r="K4878" t="s">
        <v>41</v>
      </c>
      <c r="L4878" t="s">
        <v>37</v>
      </c>
      <c r="M4878">
        <v>0</v>
      </c>
    </row>
    <row r="4879" spans="11:13" x14ac:dyDescent="0.2">
      <c r="K4879" t="s">
        <v>41</v>
      </c>
      <c r="L4879" t="s">
        <v>37</v>
      </c>
      <c r="M4879">
        <v>0</v>
      </c>
    </row>
    <row r="4880" spans="11:13" x14ac:dyDescent="0.2">
      <c r="K4880" t="s">
        <v>41</v>
      </c>
      <c r="L4880" t="s">
        <v>37</v>
      </c>
      <c r="M4880">
        <v>0</v>
      </c>
    </row>
    <row r="4881" spans="11:13" x14ac:dyDescent="0.2">
      <c r="K4881" t="s">
        <v>42</v>
      </c>
      <c r="L4881" t="s">
        <v>38</v>
      </c>
      <c r="M4881">
        <v>0</v>
      </c>
    </row>
    <row r="4882" spans="11:13" x14ac:dyDescent="0.2">
      <c r="K4882" t="s">
        <v>41</v>
      </c>
      <c r="L4882" t="s">
        <v>37</v>
      </c>
      <c r="M4882">
        <v>0</v>
      </c>
    </row>
    <row r="4883" spans="11:13" x14ac:dyDescent="0.2">
      <c r="K4883" t="s">
        <v>42</v>
      </c>
      <c r="L4883" t="s">
        <v>38</v>
      </c>
      <c r="M4883">
        <v>0</v>
      </c>
    </row>
    <row r="4884" spans="11:13" x14ac:dyDescent="0.2">
      <c r="K4884" t="s">
        <v>41</v>
      </c>
      <c r="L4884" t="s">
        <v>37</v>
      </c>
      <c r="M4884">
        <v>0</v>
      </c>
    </row>
    <row r="4885" spans="11:13" x14ac:dyDescent="0.2">
      <c r="K4885" t="s">
        <v>41</v>
      </c>
      <c r="L4885" t="s">
        <v>37</v>
      </c>
      <c r="M4885">
        <v>0</v>
      </c>
    </row>
    <row r="4886" spans="11:13" x14ac:dyDescent="0.2">
      <c r="K4886" t="s">
        <v>42</v>
      </c>
      <c r="L4886" t="s">
        <v>38</v>
      </c>
      <c r="M4886">
        <v>0</v>
      </c>
    </row>
    <row r="4887" spans="11:13" x14ac:dyDescent="0.2">
      <c r="K4887" t="s">
        <v>41</v>
      </c>
      <c r="L4887" t="s">
        <v>37</v>
      </c>
      <c r="M4887">
        <v>0</v>
      </c>
    </row>
    <row r="4888" spans="11:13" x14ac:dyDescent="0.2">
      <c r="K4888" t="s">
        <v>42</v>
      </c>
      <c r="L4888" t="s">
        <v>38</v>
      </c>
      <c r="M4888">
        <v>0</v>
      </c>
    </row>
    <row r="4889" spans="11:13" x14ac:dyDescent="0.2">
      <c r="K4889" t="s">
        <v>41</v>
      </c>
      <c r="L4889" t="s">
        <v>37</v>
      </c>
      <c r="M4889">
        <v>0</v>
      </c>
    </row>
    <row r="4890" spans="11:13" x14ac:dyDescent="0.2">
      <c r="K4890" t="s">
        <v>41</v>
      </c>
      <c r="L4890" t="s">
        <v>37</v>
      </c>
      <c r="M4890">
        <v>0</v>
      </c>
    </row>
    <row r="4891" spans="11:13" x14ac:dyDescent="0.2">
      <c r="K4891" t="s">
        <v>42</v>
      </c>
      <c r="L4891" t="s">
        <v>38</v>
      </c>
      <c r="M4891">
        <v>0</v>
      </c>
    </row>
    <row r="4892" spans="11:13" x14ac:dyDescent="0.2">
      <c r="K4892" t="s">
        <v>42</v>
      </c>
      <c r="L4892" t="s">
        <v>38</v>
      </c>
      <c r="M4892">
        <v>0</v>
      </c>
    </row>
    <row r="4893" spans="11:13" x14ac:dyDescent="0.2">
      <c r="K4893" t="s">
        <v>42</v>
      </c>
      <c r="L4893" t="s">
        <v>38</v>
      </c>
      <c r="M4893">
        <v>0</v>
      </c>
    </row>
    <row r="4894" spans="11:13" x14ac:dyDescent="0.2">
      <c r="K4894" t="s">
        <v>41</v>
      </c>
      <c r="L4894" t="s">
        <v>37</v>
      </c>
      <c r="M4894">
        <v>0</v>
      </c>
    </row>
    <row r="4895" spans="11:13" x14ac:dyDescent="0.2">
      <c r="K4895" t="s">
        <v>41</v>
      </c>
      <c r="L4895" t="s">
        <v>37</v>
      </c>
      <c r="M4895">
        <v>0</v>
      </c>
    </row>
    <row r="4896" spans="11:13" x14ac:dyDescent="0.2">
      <c r="K4896" t="s">
        <v>41</v>
      </c>
      <c r="L4896" t="s">
        <v>37</v>
      </c>
      <c r="M4896">
        <v>0</v>
      </c>
    </row>
    <row r="4897" spans="11:13" x14ac:dyDescent="0.2">
      <c r="K4897" t="s">
        <v>42</v>
      </c>
      <c r="L4897" t="s">
        <v>38</v>
      </c>
      <c r="M4897">
        <v>0</v>
      </c>
    </row>
    <row r="4898" spans="11:13" x14ac:dyDescent="0.2">
      <c r="K4898" t="s">
        <v>41</v>
      </c>
      <c r="L4898" t="s">
        <v>37</v>
      </c>
      <c r="M4898">
        <v>0</v>
      </c>
    </row>
    <row r="4899" spans="11:13" x14ac:dyDescent="0.2">
      <c r="K4899" t="s">
        <v>42</v>
      </c>
      <c r="L4899" t="s">
        <v>38</v>
      </c>
      <c r="M4899">
        <v>0</v>
      </c>
    </row>
    <row r="4900" spans="11:13" x14ac:dyDescent="0.2">
      <c r="K4900" t="s">
        <v>41</v>
      </c>
      <c r="L4900" t="s">
        <v>37</v>
      </c>
      <c r="M4900">
        <v>0</v>
      </c>
    </row>
    <row r="4901" spans="11:13" x14ac:dyDescent="0.2">
      <c r="K4901" t="s">
        <v>42</v>
      </c>
      <c r="L4901" t="s">
        <v>38</v>
      </c>
      <c r="M4901">
        <v>0</v>
      </c>
    </row>
    <row r="4902" spans="11:13" x14ac:dyDescent="0.2">
      <c r="K4902" t="s">
        <v>42</v>
      </c>
      <c r="L4902" t="s">
        <v>38</v>
      </c>
      <c r="M4902">
        <v>0</v>
      </c>
    </row>
    <row r="4903" spans="11:13" x14ac:dyDescent="0.2">
      <c r="K4903" t="s">
        <v>42</v>
      </c>
      <c r="L4903" t="s">
        <v>38</v>
      </c>
      <c r="M4903">
        <v>0</v>
      </c>
    </row>
    <row r="4904" spans="11:13" x14ac:dyDescent="0.2">
      <c r="K4904" t="s">
        <v>41</v>
      </c>
      <c r="L4904" t="s">
        <v>37</v>
      </c>
      <c r="M4904">
        <v>0</v>
      </c>
    </row>
    <row r="4905" spans="11:13" x14ac:dyDescent="0.2">
      <c r="K4905" t="s">
        <v>42</v>
      </c>
      <c r="L4905" t="s">
        <v>38</v>
      </c>
      <c r="M4905">
        <v>0</v>
      </c>
    </row>
    <row r="4906" spans="11:13" x14ac:dyDescent="0.2">
      <c r="K4906" t="s">
        <v>42</v>
      </c>
      <c r="L4906" t="s">
        <v>38</v>
      </c>
      <c r="M4906">
        <v>0</v>
      </c>
    </row>
    <row r="4907" spans="11:13" x14ac:dyDescent="0.2">
      <c r="K4907" t="s">
        <v>41</v>
      </c>
      <c r="L4907" t="s">
        <v>37</v>
      </c>
      <c r="M4907">
        <v>0</v>
      </c>
    </row>
    <row r="4908" spans="11:13" x14ac:dyDescent="0.2">
      <c r="K4908" t="s">
        <v>41</v>
      </c>
      <c r="L4908" t="s">
        <v>37</v>
      </c>
      <c r="M4908">
        <v>0</v>
      </c>
    </row>
    <row r="4909" spans="11:13" x14ac:dyDescent="0.2">
      <c r="K4909" t="s">
        <v>42</v>
      </c>
      <c r="L4909" t="s">
        <v>38</v>
      </c>
      <c r="M4909">
        <v>0</v>
      </c>
    </row>
    <row r="4910" spans="11:13" x14ac:dyDescent="0.2">
      <c r="K4910" t="s">
        <v>41</v>
      </c>
      <c r="L4910" t="s">
        <v>37</v>
      </c>
      <c r="M4910">
        <v>0</v>
      </c>
    </row>
    <row r="4911" spans="11:13" x14ac:dyDescent="0.2">
      <c r="K4911" t="s">
        <v>41</v>
      </c>
      <c r="L4911" t="s">
        <v>37</v>
      </c>
      <c r="M4911">
        <v>0</v>
      </c>
    </row>
    <row r="4912" spans="11:13" x14ac:dyDescent="0.2">
      <c r="K4912" t="s">
        <v>42</v>
      </c>
      <c r="L4912" t="s">
        <v>38</v>
      </c>
      <c r="M4912">
        <v>0</v>
      </c>
    </row>
    <row r="4913" spans="11:13" x14ac:dyDescent="0.2">
      <c r="K4913" t="s">
        <v>42</v>
      </c>
      <c r="L4913" t="s">
        <v>38</v>
      </c>
      <c r="M4913">
        <v>0</v>
      </c>
    </row>
    <row r="4914" spans="11:13" x14ac:dyDescent="0.2">
      <c r="K4914" t="s">
        <v>41</v>
      </c>
      <c r="L4914" t="s">
        <v>37</v>
      </c>
      <c r="M4914">
        <v>0</v>
      </c>
    </row>
    <row r="4915" spans="11:13" x14ac:dyDescent="0.2">
      <c r="K4915" t="s">
        <v>42</v>
      </c>
      <c r="L4915" t="s">
        <v>38</v>
      </c>
      <c r="M4915">
        <v>0</v>
      </c>
    </row>
    <row r="4916" spans="11:13" x14ac:dyDescent="0.2">
      <c r="K4916" t="s">
        <v>41</v>
      </c>
      <c r="L4916" t="s">
        <v>37</v>
      </c>
      <c r="M4916">
        <v>0</v>
      </c>
    </row>
    <row r="4917" spans="11:13" x14ac:dyDescent="0.2">
      <c r="K4917" t="s">
        <v>41</v>
      </c>
      <c r="L4917" t="s">
        <v>37</v>
      </c>
      <c r="M4917">
        <v>0</v>
      </c>
    </row>
    <row r="4918" spans="11:13" x14ac:dyDescent="0.2">
      <c r="K4918" t="s">
        <v>42</v>
      </c>
      <c r="L4918" t="s">
        <v>38</v>
      </c>
      <c r="M4918">
        <v>0</v>
      </c>
    </row>
    <row r="4919" spans="11:13" x14ac:dyDescent="0.2">
      <c r="K4919" t="s">
        <v>42</v>
      </c>
      <c r="L4919" t="s">
        <v>38</v>
      </c>
      <c r="M4919">
        <v>0</v>
      </c>
    </row>
    <row r="4920" spans="11:13" x14ac:dyDescent="0.2">
      <c r="K4920" t="s">
        <v>42</v>
      </c>
      <c r="L4920" t="s">
        <v>38</v>
      </c>
      <c r="M4920">
        <v>0</v>
      </c>
    </row>
    <row r="4921" spans="11:13" x14ac:dyDescent="0.2">
      <c r="K4921" t="s">
        <v>42</v>
      </c>
      <c r="L4921" t="s">
        <v>38</v>
      </c>
      <c r="M4921">
        <v>0</v>
      </c>
    </row>
    <row r="4922" spans="11:13" x14ac:dyDescent="0.2">
      <c r="K4922" t="s">
        <v>41</v>
      </c>
      <c r="L4922" t="s">
        <v>37</v>
      </c>
      <c r="M4922">
        <v>0</v>
      </c>
    </row>
    <row r="4923" spans="11:13" x14ac:dyDescent="0.2">
      <c r="K4923" t="s">
        <v>41</v>
      </c>
      <c r="L4923" t="s">
        <v>37</v>
      </c>
      <c r="M4923">
        <v>0</v>
      </c>
    </row>
    <row r="4924" spans="11:13" x14ac:dyDescent="0.2">
      <c r="K4924" t="s">
        <v>42</v>
      </c>
      <c r="L4924" t="s">
        <v>38</v>
      </c>
      <c r="M4924">
        <v>0</v>
      </c>
    </row>
    <row r="4925" spans="11:13" x14ac:dyDescent="0.2">
      <c r="K4925" t="s">
        <v>41</v>
      </c>
      <c r="L4925" t="s">
        <v>37</v>
      </c>
      <c r="M4925">
        <v>0</v>
      </c>
    </row>
    <row r="4926" spans="11:13" x14ac:dyDescent="0.2">
      <c r="K4926" t="s">
        <v>42</v>
      </c>
      <c r="L4926" t="s">
        <v>38</v>
      </c>
      <c r="M4926">
        <v>0</v>
      </c>
    </row>
    <row r="4927" spans="11:13" x14ac:dyDescent="0.2">
      <c r="K4927" t="s">
        <v>42</v>
      </c>
      <c r="L4927" t="s">
        <v>38</v>
      </c>
      <c r="M4927">
        <v>0</v>
      </c>
    </row>
    <row r="4928" spans="11:13" x14ac:dyDescent="0.2">
      <c r="K4928" t="s">
        <v>41</v>
      </c>
      <c r="L4928" t="s">
        <v>37</v>
      </c>
      <c r="M4928">
        <v>0</v>
      </c>
    </row>
    <row r="4929" spans="11:13" x14ac:dyDescent="0.2">
      <c r="K4929" t="s">
        <v>42</v>
      </c>
      <c r="L4929" t="s">
        <v>38</v>
      </c>
      <c r="M4929">
        <v>0</v>
      </c>
    </row>
    <row r="4930" spans="11:13" x14ac:dyDescent="0.2">
      <c r="K4930" t="s">
        <v>41</v>
      </c>
      <c r="L4930" t="s">
        <v>37</v>
      </c>
      <c r="M4930">
        <v>0</v>
      </c>
    </row>
    <row r="4931" spans="11:13" x14ac:dyDescent="0.2">
      <c r="K4931" t="s">
        <v>42</v>
      </c>
      <c r="L4931" t="s">
        <v>38</v>
      </c>
      <c r="M4931">
        <v>0</v>
      </c>
    </row>
    <row r="4932" spans="11:13" x14ac:dyDescent="0.2">
      <c r="K4932" t="s">
        <v>42</v>
      </c>
      <c r="L4932" t="s">
        <v>38</v>
      </c>
      <c r="M4932">
        <v>0</v>
      </c>
    </row>
    <row r="4933" spans="11:13" x14ac:dyDescent="0.2">
      <c r="K4933" t="s">
        <v>42</v>
      </c>
      <c r="L4933" t="s">
        <v>38</v>
      </c>
      <c r="M4933">
        <v>0</v>
      </c>
    </row>
    <row r="4934" spans="11:13" x14ac:dyDescent="0.2">
      <c r="K4934" t="s">
        <v>42</v>
      </c>
      <c r="L4934" t="s">
        <v>38</v>
      </c>
      <c r="M4934">
        <v>0</v>
      </c>
    </row>
    <row r="4935" spans="11:13" x14ac:dyDescent="0.2">
      <c r="K4935" t="s">
        <v>42</v>
      </c>
      <c r="L4935" t="s">
        <v>38</v>
      </c>
      <c r="M4935">
        <v>0</v>
      </c>
    </row>
    <row r="4936" spans="11:13" x14ac:dyDescent="0.2">
      <c r="K4936" t="s">
        <v>42</v>
      </c>
      <c r="L4936" t="s">
        <v>38</v>
      </c>
      <c r="M4936">
        <v>0</v>
      </c>
    </row>
    <row r="4937" spans="11:13" x14ac:dyDescent="0.2">
      <c r="K4937" t="s">
        <v>42</v>
      </c>
      <c r="L4937" t="s">
        <v>38</v>
      </c>
      <c r="M4937">
        <v>0</v>
      </c>
    </row>
    <row r="4938" spans="11:13" x14ac:dyDescent="0.2">
      <c r="K4938" t="s">
        <v>42</v>
      </c>
      <c r="L4938" t="s">
        <v>38</v>
      </c>
      <c r="M4938">
        <v>0</v>
      </c>
    </row>
    <row r="4939" spans="11:13" x14ac:dyDescent="0.2">
      <c r="K4939" t="s">
        <v>42</v>
      </c>
      <c r="L4939" t="s">
        <v>38</v>
      </c>
      <c r="M4939">
        <v>0</v>
      </c>
    </row>
    <row r="4940" spans="11:13" x14ac:dyDescent="0.2">
      <c r="K4940" t="s">
        <v>41</v>
      </c>
      <c r="L4940" t="s">
        <v>37</v>
      </c>
      <c r="M4940">
        <v>0</v>
      </c>
    </row>
    <row r="4941" spans="11:13" x14ac:dyDescent="0.2">
      <c r="K4941" t="s">
        <v>42</v>
      </c>
      <c r="L4941" t="s">
        <v>38</v>
      </c>
      <c r="M4941">
        <v>0</v>
      </c>
    </row>
    <row r="4942" spans="11:13" x14ac:dyDescent="0.2">
      <c r="K4942" t="s">
        <v>41</v>
      </c>
      <c r="L4942" t="s">
        <v>37</v>
      </c>
      <c r="M4942">
        <v>1</v>
      </c>
    </row>
    <row r="4943" spans="11:13" x14ac:dyDescent="0.2">
      <c r="K4943" t="s">
        <v>42</v>
      </c>
      <c r="L4943" t="s">
        <v>38</v>
      </c>
      <c r="M4943">
        <v>0</v>
      </c>
    </row>
    <row r="4944" spans="11:13" x14ac:dyDescent="0.2">
      <c r="K4944" t="s">
        <v>41</v>
      </c>
      <c r="L4944" t="s">
        <v>37</v>
      </c>
      <c r="M4944">
        <v>0</v>
      </c>
    </row>
    <row r="4945" spans="11:13" x14ac:dyDescent="0.2">
      <c r="K4945" t="s">
        <v>42</v>
      </c>
      <c r="L4945" t="s">
        <v>38</v>
      </c>
      <c r="M4945">
        <v>0</v>
      </c>
    </row>
    <row r="4946" spans="11:13" x14ac:dyDescent="0.2">
      <c r="K4946" t="s">
        <v>42</v>
      </c>
      <c r="L4946" t="s">
        <v>38</v>
      </c>
      <c r="M4946">
        <v>0</v>
      </c>
    </row>
    <row r="4947" spans="11:13" x14ac:dyDescent="0.2">
      <c r="K4947" t="s">
        <v>42</v>
      </c>
      <c r="L4947" t="s">
        <v>38</v>
      </c>
      <c r="M4947">
        <v>0</v>
      </c>
    </row>
    <row r="4948" spans="11:13" x14ac:dyDescent="0.2">
      <c r="K4948" t="s">
        <v>42</v>
      </c>
      <c r="L4948" t="s">
        <v>38</v>
      </c>
      <c r="M4948">
        <v>0</v>
      </c>
    </row>
    <row r="4949" spans="11:13" x14ac:dyDescent="0.2">
      <c r="K4949" t="s">
        <v>42</v>
      </c>
      <c r="L4949" t="s">
        <v>38</v>
      </c>
      <c r="M4949">
        <v>0</v>
      </c>
    </row>
    <row r="4950" spans="11:13" x14ac:dyDescent="0.2">
      <c r="K4950" t="s">
        <v>41</v>
      </c>
      <c r="L4950" t="s">
        <v>37</v>
      </c>
      <c r="M4950">
        <v>0</v>
      </c>
    </row>
    <row r="4951" spans="11:13" x14ac:dyDescent="0.2">
      <c r="K4951" t="s">
        <v>41</v>
      </c>
      <c r="L4951" t="s">
        <v>37</v>
      </c>
      <c r="M4951">
        <v>0</v>
      </c>
    </row>
    <row r="4952" spans="11:13" x14ac:dyDescent="0.2">
      <c r="K4952" t="s">
        <v>41</v>
      </c>
      <c r="L4952" t="s">
        <v>37</v>
      </c>
      <c r="M4952">
        <v>0</v>
      </c>
    </row>
    <row r="4953" spans="11:13" x14ac:dyDescent="0.2">
      <c r="K4953" t="s">
        <v>42</v>
      </c>
      <c r="L4953" t="s">
        <v>38</v>
      </c>
      <c r="M4953">
        <v>0</v>
      </c>
    </row>
    <row r="4954" spans="11:13" x14ac:dyDescent="0.2">
      <c r="K4954" t="s">
        <v>41</v>
      </c>
      <c r="L4954" t="s">
        <v>37</v>
      </c>
      <c r="M4954">
        <v>0</v>
      </c>
    </row>
    <row r="4955" spans="11:13" x14ac:dyDescent="0.2">
      <c r="K4955" t="s">
        <v>41</v>
      </c>
      <c r="L4955" t="s">
        <v>37</v>
      </c>
      <c r="M4955">
        <v>0</v>
      </c>
    </row>
    <row r="4956" spans="11:13" x14ac:dyDescent="0.2">
      <c r="K4956" t="s">
        <v>41</v>
      </c>
      <c r="L4956" t="s">
        <v>37</v>
      </c>
      <c r="M4956">
        <v>0</v>
      </c>
    </row>
    <row r="4957" spans="11:13" x14ac:dyDescent="0.2">
      <c r="K4957" t="s">
        <v>41</v>
      </c>
      <c r="L4957" t="s">
        <v>37</v>
      </c>
      <c r="M4957">
        <v>0</v>
      </c>
    </row>
    <row r="4958" spans="11:13" x14ac:dyDescent="0.2">
      <c r="K4958" t="s">
        <v>41</v>
      </c>
      <c r="L4958" t="s">
        <v>37</v>
      </c>
      <c r="M4958">
        <v>0</v>
      </c>
    </row>
    <row r="4959" spans="11:13" x14ac:dyDescent="0.2">
      <c r="K4959" t="s">
        <v>42</v>
      </c>
      <c r="L4959" t="s">
        <v>38</v>
      </c>
      <c r="M4959">
        <v>0</v>
      </c>
    </row>
    <row r="4960" spans="11:13" x14ac:dyDescent="0.2">
      <c r="K4960" t="s">
        <v>42</v>
      </c>
      <c r="L4960" t="s">
        <v>38</v>
      </c>
      <c r="M4960">
        <v>0</v>
      </c>
    </row>
    <row r="4961" spans="11:13" x14ac:dyDescent="0.2">
      <c r="K4961" t="s">
        <v>42</v>
      </c>
      <c r="L4961" t="s">
        <v>38</v>
      </c>
      <c r="M4961">
        <v>0</v>
      </c>
    </row>
    <row r="4962" spans="11:13" x14ac:dyDescent="0.2">
      <c r="K4962" t="s">
        <v>41</v>
      </c>
      <c r="L4962" t="s">
        <v>37</v>
      </c>
      <c r="M4962">
        <v>0</v>
      </c>
    </row>
    <row r="4963" spans="11:13" x14ac:dyDescent="0.2">
      <c r="K4963" t="s">
        <v>41</v>
      </c>
      <c r="L4963" t="s">
        <v>37</v>
      </c>
      <c r="M4963">
        <v>0</v>
      </c>
    </row>
    <row r="4964" spans="11:13" x14ac:dyDescent="0.2">
      <c r="K4964" t="s">
        <v>42</v>
      </c>
      <c r="L4964" t="s">
        <v>38</v>
      </c>
      <c r="M4964">
        <v>0</v>
      </c>
    </row>
    <row r="4965" spans="11:13" x14ac:dyDescent="0.2">
      <c r="K4965" t="s">
        <v>42</v>
      </c>
      <c r="L4965" t="s">
        <v>38</v>
      </c>
      <c r="M4965">
        <v>0</v>
      </c>
    </row>
    <row r="4966" spans="11:13" x14ac:dyDescent="0.2">
      <c r="K4966" t="s">
        <v>42</v>
      </c>
      <c r="L4966" t="s">
        <v>38</v>
      </c>
      <c r="M4966">
        <v>0</v>
      </c>
    </row>
    <row r="4967" spans="11:13" x14ac:dyDescent="0.2">
      <c r="K4967" t="s">
        <v>42</v>
      </c>
      <c r="L4967" t="s">
        <v>38</v>
      </c>
      <c r="M4967">
        <v>0</v>
      </c>
    </row>
    <row r="4968" spans="11:13" x14ac:dyDescent="0.2">
      <c r="K4968" t="s">
        <v>41</v>
      </c>
      <c r="L4968" t="s">
        <v>37</v>
      </c>
      <c r="M4968">
        <v>0</v>
      </c>
    </row>
    <row r="4969" spans="11:13" x14ac:dyDescent="0.2">
      <c r="K4969" t="s">
        <v>42</v>
      </c>
      <c r="L4969" t="s">
        <v>38</v>
      </c>
      <c r="M4969">
        <v>0</v>
      </c>
    </row>
    <row r="4970" spans="11:13" x14ac:dyDescent="0.2">
      <c r="K4970" t="s">
        <v>42</v>
      </c>
      <c r="L4970" t="s">
        <v>38</v>
      </c>
      <c r="M4970">
        <v>0</v>
      </c>
    </row>
    <row r="4971" spans="11:13" x14ac:dyDescent="0.2">
      <c r="K4971" t="s">
        <v>42</v>
      </c>
      <c r="L4971" t="s">
        <v>38</v>
      </c>
      <c r="M4971">
        <v>0</v>
      </c>
    </row>
    <row r="4972" spans="11:13" x14ac:dyDescent="0.2">
      <c r="K4972" t="s">
        <v>41</v>
      </c>
      <c r="L4972" t="s">
        <v>37</v>
      </c>
      <c r="M4972">
        <v>0</v>
      </c>
    </row>
    <row r="4973" spans="11:13" x14ac:dyDescent="0.2">
      <c r="K4973" t="s">
        <v>41</v>
      </c>
      <c r="L4973" t="s">
        <v>37</v>
      </c>
      <c r="M4973">
        <v>0</v>
      </c>
    </row>
    <row r="4974" spans="11:13" x14ac:dyDescent="0.2">
      <c r="K4974" t="s">
        <v>42</v>
      </c>
      <c r="L4974" t="s">
        <v>38</v>
      </c>
      <c r="M4974">
        <v>0</v>
      </c>
    </row>
    <row r="4975" spans="11:13" x14ac:dyDescent="0.2">
      <c r="K4975" t="s">
        <v>42</v>
      </c>
      <c r="L4975" t="s">
        <v>38</v>
      </c>
      <c r="M4975">
        <v>0</v>
      </c>
    </row>
    <row r="4976" spans="11:13" x14ac:dyDescent="0.2">
      <c r="K4976" t="s">
        <v>42</v>
      </c>
      <c r="L4976" t="s">
        <v>38</v>
      </c>
      <c r="M4976">
        <v>0</v>
      </c>
    </row>
    <row r="4977" spans="11:13" x14ac:dyDescent="0.2">
      <c r="K4977" t="s">
        <v>42</v>
      </c>
      <c r="L4977" t="s">
        <v>38</v>
      </c>
      <c r="M4977">
        <v>0</v>
      </c>
    </row>
    <row r="4978" spans="11:13" x14ac:dyDescent="0.2">
      <c r="K4978" t="s">
        <v>42</v>
      </c>
      <c r="L4978" t="s">
        <v>38</v>
      </c>
      <c r="M4978">
        <v>0</v>
      </c>
    </row>
    <row r="4979" spans="11:13" x14ac:dyDescent="0.2">
      <c r="K4979" t="s">
        <v>42</v>
      </c>
      <c r="L4979" t="s">
        <v>38</v>
      </c>
      <c r="M4979">
        <v>1</v>
      </c>
    </row>
    <row r="4980" spans="11:13" x14ac:dyDescent="0.2">
      <c r="K4980" t="s">
        <v>41</v>
      </c>
      <c r="L4980" t="s">
        <v>37</v>
      </c>
      <c r="M4980">
        <v>0</v>
      </c>
    </row>
    <row r="4981" spans="11:13" x14ac:dyDescent="0.2">
      <c r="K4981" t="s">
        <v>41</v>
      </c>
      <c r="L4981" t="s">
        <v>37</v>
      </c>
      <c r="M4981">
        <v>0</v>
      </c>
    </row>
    <row r="4982" spans="11:13" x14ac:dyDescent="0.2">
      <c r="K4982" t="s">
        <v>42</v>
      </c>
      <c r="L4982" t="s">
        <v>38</v>
      </c>
      <c r="M4982">
        <v>0</v>
      </c>
    </row>
    <row r="4983" spans="11:13" x14ac:dyDescent="0.2">
      <c r="K4983" t="s">
        <v>42</v>
      </c>
      <c r="L4983" t="s">
        <v>38</v>
      </c>
      <c r="M4983">
        <v>0</v>
      </c>
    </row>
    <row r="4984" spans="11:13" x14ac:dyDescent="0.2">
      <c r="K4984" t="s">
        <v>41</v>
      </c>
      <c r="L4984" t="s">
        <v>37</v>
      </c>
      <c r="M4984">
        <v>0</v>
      </c>
    </row>
    <row r="4985" spans="11:13" x14ac:dyDescent="0.2">
      <c r="K4985" t="s">
        <v>41</v>
      </c>
      <c r="L4985" t="s">
        <v>37</v>
      </c>
      <c r="M4985">
        <v>0</v>
      </c>
    </row>
    <row r="4986" spans="11:13" x14ac:dyDescent="0.2">
      <c r="K4986" t="s">
        <v>41</v>
      </c>
      <c r="L4986" t="s">
        <v>37</v>
      </c>
      <c r="M4986">
        <v>0</v>
      </c>
    </row>
    <row r="4987" spans="11:13" x14ac:dyDescent="0.2">
      <c r="K4987" t="s">
        <v>41</v>
      </c>
      <c r="L4987" t="s">
        <v>37</v>
      </c>
      <c r="M4987">
        <v>0</v>
      </c>
    </row>
    <row r="4988" spans="11:13" x14ac:dyDescent="0.2">
      <c r="K4988" t="s">
        <v>42</v>
      </c>
      <c r="L4988" t="s">
        <v>38</v>
      </c>
      <c r="M4988">
        <v>0</v>
      </c>
    </row>
    <row r="4989" spans="11:13" x14ac:dyDescent="0.2">
      <c r="K4989" t="s">
        <v>41</v>
      </c>
      <c r="L4989" t="s">
        <v>37</v>
      </c>
      <c r="M4989">
        <v>0</v>
      </c>
    </row>
    <row r="4990" spans="11:13" x14ac:dyDescent="0.2">
      <c r="K4990" t="s">
        <v>42</v>
      </c>
      <c r="L4990" t="s">
        <v>38</v>
      </c>
      <c r="M4990">
        <v>0</v>
      </c>
    </row>
    <row r="4991" spans="11:13" x14ac:dyDescent="0.2">
      <c r="K4991" t="s">
        <v>42</v>
      </c>
      <c r="L4991" t="s">
        <v>38</v>
      </c>
      <c r="M4991">
        <v>0</v>
      </c>
    </row>
    <row r="4992" spans="11:13" x14ac:dyDescent="0.2">
      <c r="K4992" t="s">
        <v>41</v>
      </c>
      <c r="L4992" t="s">
        <v>37</v>
      </c>
      <c r="M4992">
        <v>0</v>
      </c>
    </row>
    <row r="4993" spans="11:13" x14ac:dyDescent="0.2">
      <c r="K4993" t="s">
        <v>42</v>
      </c>
      <c r="L4993" t="s">
        <v>38</v>
      </c>
      <c r="M4993">
        <v>0</v>
      </c>
    </row>
    <row r="4994" spans="11:13" x14ac:dyDescent="0.2">
      <c r="K4994" t="s">
        <v>42</v>
      </c>
      <c r="L4994" t="s">
        <v>38</v>
      </c>
      <c r="M4994">
        <v>0</v>
      </c>
    </row>
    <row r="4995" spans="11:13" x14ac:dyDescent="0.2">
      <c r="K4995" t="s">
        <v>41</v>
      </c>
      <c r="L4995" t="s">
        <v>37</v>
      </c>
      <c r="M4995">
        <v>0</v>
      </c>
    </row>
    <row r="4996" spans="11:13" x14ac:dyDescent="0.2">
      <c r="K4996" t="s">
        <v>41</v>
      </c>
      <c r="L4996" t="s">
        <v>37</v>
      </c>
      <c r="M4996">
        <v>0</v>
      </c>
    </row>
    <row r="4997" spans="11:13" x14ac:dyDescent="0.2">
      <c r="K4997" t="s">
        <v>42</v>
      </c>
      <c r="L4997" t="s">
        <v>38</v>
      </c>
      <c r="M4997">
        <v>0</v>
      </c>
    </row>
    <row r="4998" spans="11:13" x14ac:dyDescent="0.2">
      <c r="K4998" t="s">
        <v>41</v>
      </c>
      <c r="L4998" t="s">
        <v>37</v>
      </c>
      <c r="M4998">
        <v>0</v>
      </c>
    </row>
    <row r="4999" spans="11:13" x14ac:dyDescent="0.2">
      <c r="K4999" t="s">
        <v>41</v>
      </c>
      <c r="L4999" t="s">
        <v>37</v>
      </c>
      <c r="M4999">
        <v>1</v>
      </c>
    </row>
    <row r="5000" spans="11:13" x14ac:dyDescent="0.2">
      <c r="K5000" t="s">
        <v>42</v>
      </c>
      <c r="L5000" t="s">
        <v>38</v>
      </c>
      <c r="M5000">
        <v>0</v>
      </c>
    </row>
    <row r="5001" spans="11:13" x14ac:dyDescent="0.2">
      <c r="K5001" t="s">
        <v>42</v>
      </c>
      <c r="L5001" t="s">
        <v>38</v>
      </c>
      <c r="M5001">
        <v>0</v>
      </c>
    </row>
    <row r="5002" spans="11:13" x14ac:dyDescent="0.2">
      <c r="K5002" t="s">
        <v>42</v>
      </c>
      <c r="L5002" t="s">
        <v>38</v>
      </c>
      <c r="M5002">
        <v>0</v>
      </c>
    </row>
    <row r="5003" spans="11:13" x14ac:dyDescent="0.2">
      <c r="K5003" t="s">
        <v>42</v>
      </c>
      <c r="L5003" t="s">
        <v>38</v>
      </c>
      <c r="M5003">
        <v>1</v>
      </c>
    </row>
    <row r="5004" spans="11:13" x14ac:dyDescent="0.2">
      <c r="K5004" t="s">
        <v>41</v>
      </c>
      <c r="L5004" t="s">
        <v>37</v>
      </c>
      <c r="M5004">
        <v>0</v>
      </c>
    </row>
    <row r="5005" spans="11:13" x14ac:dyDescent="0.2">
      <c r="K5005" t="s">
        <v>42</v>
      </c>
      <c r="L5005" t="s">
        <v>38</v>
      </c>
      <c r="M5005">
        <v>0</v>
      </c>
    </row>
    <row r="5006" spans="11:13" x14ac:dyDescent="0.2">
      <c r="K5006" t="s">
        <v>42</v>
      </c>
      <c r="L5006" t="s">
        <v>38</v>
      </c>
      <c r="M5006">
        <v>0</v>
      </c>
    </row>
    <row r="5007" spans="11:13" x14ac:dyDescent="0.2">
      <c r="K5007" t="s">
        <v>42</v>
      </c>
      <c r="L5007" t="s">
        <v>38</v>
      </c>
      <c r="M5007">
        <v>0</v>
      </c>
    </row>
    <row r="5008" spans="11:13" x14ac:dyDescent="0.2">
      <c r="K5008" t="s">
        <v>41</v>
      </c>
      <c r="L5008" t="s">
        <v>37</v>
      </c>
      <c r="M5008">
        <v>0</v>
      </c>
    </row>
    <row r="5009" spans="11:13" x14ac:dyDescent="0.2">
      <c r="K5009" t="s">
        <v>42</v>
      </c>
      <c r="L5009" t="s">
        <v>38</v>
      </c>
      <c r="M5009">
        <v>0</v>
      </c>
    </row>
    <row r="5010" spans="11:13" x14ac:dyDescent="0.2">
      <c r="K5010" t="s">
        <v>42</v>
      </c>
      <c r="L5010" t="s">
        <v>38</v>
      </c>
      <c r="M5010">
        <v>0</v>
      </c>
    </row>
    <row r="5011" spans="11:13" x14ac:dyDescent="0.2">
      <c r="K5011" t="s">
        <v>41</v>
      </c>
      <c r="L5011" t="s">
        <v>37</v>
      </c>
      <c r="M5011">
        <v>0</v>
      </c>
    </row>
    <row r="5012" spans="11:13" x14ac:dyDescent="0.2">
      <c r="K5012" t="s">
        <v>41</v>
      </c>
      <c r="L5012" t="s">
        <v>37</v>
      </c>
      <c r="M5012">
        <v>0</v>
      </c>
    </row>
    <row r="5013" spans="11:13" x14ac:dyDescent="0.2">
      <c r="K5013" t="s">
        <v>42</v>
      </c>
      <c r="L5013" t="s">
        <v>38</v>
      </c>
      <c r="M5013">
        <v>0</v>
      </c>
    </row>
    <row r="5014" spans="11:13" x14ac:dyDescent="0.2">
      <c r="K5014" t="s">
        <v>41</v>
      </c>
      <c r="L5014" t="s">
        <v>37</v>
      </c>
      <c r="M5014">
        <v>0</v>
      </c>
    </row>
    <row r="5015" spans="11:13" x14ac:dyDescent="0.2">
      <c r="K5015" t="s">
        <v>41</v>
      </c>
      <c r="L5015" t="s">
        <v>37</v>
      </c>
      <c r="M5015">
        <v>0</v>
      </c>
    </row>
    <row r="5016" spans="11:13" x14ac:dyDescent="0.2">
      <c r="K5016" t="s">
        <v>42</v>
      </c>
      <c r="L5016" t="s">
        <v>38</v>
      </c>
      <c r="M5016">
        <v>0</v>
      </c>
    </row>
    <row r="5017" spans="11:13" x14ac:dyDescent="0.2">
      <c r="K5017" t="s">
        <v>42</v>
      </c>
      <c r="L5017" t="s">
        <v>38</v>
      </c>
      <c r="M5017">
        <v>0</v>
      </c>
    </row>
    <row r="5018" spans="11:13" x14ac:dyDescent="0.2">
      <c r="K5018" t="s">
        <v>42</v>
      </c>
      <c r="L5018" t="s">
        <v>38</v>
      </c>
      <c r="M5018">
        <v>0</v>
      </c>
    </row>
    <row r="5019" spans="11:13" x14ac:dyDescent="0.2">
      <c r="K5019" t="s">
        <v>42</v>
      </c>
      <c r="L5019" t="s">
        <v>38</v>
      </c>
      <c r="M5019">
        <v>0</v>
      </c>
    </row>
    <row r="5020" spans="11:13" x14ac:dyDescent="0.2">
      <c r="K5020" t="s">
        <v>42</v>
      </c>
      <c r="L5020" t="s">
        <v>38</v>
      </c>
      <c r="M5020">
        <v>0</v>
      </c>
    </row>
    <row r="5021" spans="11:13" x14ac:dyDescent="0.2">
      <c r="K5021" t="s">
        <v>41</v>
      </c>
      <c r="L5021" t="s">
        <v>37</v>
      </c>
      <c r="M5021">
        <v>0</v>
      </c>
    </row>
    <row r="5022" spans="11:13" x14ac:dyDescent="0.2">
      <c r="K5022" t="s">
        <v>42</v>
      </c>
      <c r="L5022" t="s">
        <v>38</v>
      </c>
      <c r="M5022">
        <v>0</v>
      </c>
    </row>
    <row r="5023" spans="11:13" x14ac:dyDescent="0.2">
      <c r="K5023" t="s">
        <v>42</v>
      </c>
      <c r="L5023" t="s">
        <v>38</v>
      </c>
      <c r="M5023">
        <v>0</v>
      </c>
    </row>
    <row r="5024" spans="11:13" x14ac:dyDescent="0.2">
      <c r="K5024" t="s">
        <v>42</v>
      </c>
      <c r="L5024" t="s">
        <v>38</v>
      </c>
      <c r="M5024">
        <v>0</v>
      </c>
    </row>
    <row r="5025" spans="11:13" x14ac:dyDescent="0.2">
      <c r="K5025" t="s">
        <v>42</v>
      </c>
      <c r="L5025" t="s">
        <v>38</v>
      </c>
      <c r="M5025">
        <v>0</v>
      </c>
    </row>
    <row r="5026" spans="11:13" x14ac:dyDescent="0.2">
      <c r="K5026" t="s">
        <v>41</v>
      </c>
      <c r="L5026" t="s">
        <v>37</v>
      </c>
      <c r="M5026">
        <v>0</v>
      </c>
    </row>
    <row r="5027" spans="11:13" x14ac:dyDescent="0.2">
      <c r="K5027" t="s">
        <v>42</v>
      </c>
      <c r="L5027" t="s">
        <v>38</v>
      </c>
      <c r="M5027">
        <v>0</v>
      </c>
    </row>
    <row r="5028" spans="11:13" x14ac:dyDescent="0.2">
      <c r="K5028" t="s">
        <v>41</v>
      </c>
      <c r="L5028" t="s">
        <v>37</v>
      </c>
      <c r="M5028">
        <v>0</v>
      </c>
    </row>
    <row r="5029" spans="11:13" x14ac:dyDescent="0.2">
      <c r="K5029" t="s">
        <v>42</v>
      </c>
      <c r="L5029" t="s">
        <v>38</v>
      </c>
      <c r="M5029">
        <v>0</v>
      </c>
    </row>
    <row r="5030" spans="11:13" x14ac:dyDescent="0.2">
      <c r="K5030" t="s">
        <v>41</v>
      </c>
      <c r="L5030" t="s">
        <v>37</v>
      </c>
      <c r="M5030">
        <v>0</v>
      </c>
    </row>
    <row r="5031" spans="11:13" x14ac:dyDescent="0.2">
      <c r="K5031" t="s">
        <v>41</v>
      </c>
      <c r="L5031" t="s">
        <v>37</v>
      </c>
      <c r="M5031">
        <v>0</v>
      </c>
    </row>
    <row r="5032" spans="11:13" x14ac:dyDescent="0.2">
      <c r="K5032" t="s">
        <v>41</v>
      </c>
      <c r="L5032" t="s">
        <v>37</v>
      </c>
      <c r="M5032">
        <v>0</v>
      </c>
    </row>
    <row r="5033" spans="11:13" x14ac:dyDescent="0.2">
      <c r="K5033" t="s">
        <v>42</v>
      </c>
      <c r="L5033" t="s">
        <v>38</v>
      </c>
      <c r="M5033">
        <v>0</v>
      </c>
    </row>
    <row r="5034" spans="11:13" x14ac:dyDescent="0.2">
      <c r="K5034" t="s">
        <v>42</v>
      </c>
      <c r="L5034" t="s">
        <v>38</v>
      </c>
      <c r="M5034">
        <v>0</v>
      </c>
    </row>
    <row r="5035" spans="11:13" x14ac:dyDescent="0.2">
      <c r="K5035" t="s">
        <v>41</v>
      </c>
      <c r="L5035" t="s">
        <v>37</v>
      </c>
      <c r="M5035">
        <v>0</v>
      </c>
    </row>
    <row r="5036" spans="11:13" x14ac:dyDescent="0.2">
      <c r="K5036" t="s">
        <v>41</v>
      </c>
      <c r="L5036" t="s">
        <v>37</v>
      </c>
      <c r="M5036">
        <v>0</v>
      </c>
    </row>
    <row r="5037" spans="11:13" x14ac:dyDescent="0.2">
      <c r="K5037" t="s">
        <v>42</v>
      </c>
      <c r="L5037" t="s">
        <v>38</v>
      </c>
      <c r="M5037">
        <v>0</v>
      </c>
    </row>
    <row r="5038" spans="11:13" x14ac:dyDescent="0.2">
      <c r="K5038" t="s">
        <v>41</v>
      </c>
      <c r="L5038" t="s">
        <v>37</v>
      </c>
      <c r="M5038">
        <v>0</v>
      </c>
    </row>
    <row r="5039" spans="11:13" x14ac:dyDescent="0.2">
      <c r="K5039" t="s">
        <v>41</v>
      </c>
      <c r="L5039" t="s">
        <v>37</v>
      </c>
      <c r="M5039">
        <v>0</v>
      </c>
    </row>
    <row r="5040" spans="11:13" x14ac:dyDescent="0.2">
      <c r="K5040" t="s">
        <v>42</v>
      </c>
      <c r="L5040" t="s">
        <v>38</v>
      </c>
      <c r="M5040">
        <v>0</v>
      </c>
    </row>
    <row r="5041" spans="11:13" x14ac:dyDescent="0.2">
      <c r="K5041" t="s">
        <v>41</v>
      </c>
      <c r="L5041" t="s">
        <v>37</v>
      </c>
      <c r="M5041">
        <v>0</v>
      </c>
    </row>
    <row r="5042" spans="11:13" x14ac:dyDescent="0.2">
      <c r="K5042" t="s">
        <v>42</v>
      </c>
      <c r="L5042" t="s">
        <v>38</v>
      </c>
      <c r="M5042">
        <v>0</v>
      </c>
    </row>
    <row r="5043" spans="11:13" x14ac:dyDescent="0.2">
      <c r="K5043" t="s">
        <v>41</v>
      </c>
      <c r="L5043" t="s">
        <v>37</v>
      </c>
      <c r="M5043">
        <v>0</v>
      </c>
    </row>
    <row r="5044" spans="11:13" x14ac:dyDescent="0.2">
      <c r="K5044" t="s">
        <v>41</v>
      </c>
      <c r="L5044" t="s">
        <v>37</v>
      </c>
      <c r="M5044">
        <v>0</v>
      </c>
    </row>
    <row r="5045" spans="11:13" x14ac:dyDescent="0.2">
      <c r="K5045" t="s">
        <v>41</v>
      </c>
      <c r="L5045" t="s">
        <v>37</v>
      </c>
      <c r="M5045">
        <v>1</v>
      </c>
    </row>
    <row r="5046" spans="11:13" x14ac:dyDescent="0.2">
      <c r="K5046" t="s">
        <v>42</v>
      </c>
      <c r="L5046" t="s">
        <v>38</v>
      </c>
      <c r="M5046">
        <v>0</v>
      </c>
    </row>
    <row r="5047" spans="11:13" x14ac:dyDescent="0.2">
      <c r="K5047" t="s">
        <v>42</v>
      </c>
      <c r="L5047" t="s">
        <v>38</v>
      </c>
      <c r="M5047">
        <v>0</v>
      </c>
    </row>
    <row r="5048" spans="11:13" x14ac:dyDescent="0.2">
      <c r="K5048" t="s">
        <v>42</v>
      </c>
      <c r="L5048" t="s">
        <v>38</v>
      </c>
      <c r="M5048">
        <v>0</v>
      </c>
    </row>
    <row r="5049" spans="11:13" x14ac:dyDescent="0.2">
      <c r="K5049" t="s">
        <v>42</v>
      </c>
      <c r="L5049" t="s">
        <v>38</v>
      </c>
      <c r="M5049">
        <v>0</v>
      </c>
    </row>
    <row r="5050" spans="11:13" x14ac:dyDescent="0.2">
      <c r="K5050" t="s">
        <v>41</v>
      </c>
      <c r="L5050" t="s">
        <v>37</v>
      </c>
      <c r="M5050">
        <v>0</v>
      </c>
    </row>
    <row r="5051" spans="11:13" x14ac:dyDescent="0.2">
      <c r="K5051" t="s">
        <v>42</v>
      </c>
      <c r="L5051" t="s">
        <v>38</v>
      </c>
      <c r="M5051">
        <v>0</v>
      </c>
    </row>
    <row r="5052" spans="11:13" x14ac:dyDescent="0.2">
      <c r="K5052" t="s">
        <v>42</v>
      </c>
      <c r="L5052" t="s">
        <v>38</v>
      </c>
      <c r="M5052">
        <v>0</v>
      </c>
    </row>
    <row r="5053" spans="11:13" x14ac:dyDescent="0.2">
      <c r="K5053" t="s">
        <v>42</v>
      </c>
      <c r="L5053" t="s">
        <v>38</v>
      </c>
      <c r="M5053">
        <v>0</v>
      </c>
    </row>
    <row r="5054" spans="11:13" x14ac:dyDescent="0.2">
      <c r="K5054" t="s">
        <v>41</v>
      </c>
      <c r="L5054" t="s">
        <v>37</v>
      </c>
      <c r="M5054">
        <v>0</v>
      </c>
    </row>
    <row r="5055" spans="11:13" x14ac:dyDescent="0.2">
      <c r="K5055" t="s">
        <v>42</v>
      </c>
      <c r="L5055" t="s">
        <v>38</v>
      </c>
      <c r="M5055">
        <v>0</v>
      </c>
    </row>
    <row r="5056" spans="11:13" x14ac:dyDescent="0.2">
      <c r="K5056" t="s">
        <v>41</v>
      </c>
      <c r="L5056" t="s">
        <v>37</v>
      </c>
      <c r="M5056">
        <v>0</v>
      </c>
    </row>
    <row r="5057" spans="11:13" x14ac:dyDescent="0.2">
      <c r="K5057" t="s">
        <v>41</v>
      </c>
      <c r="L5057" t="s">
        <v>37</v>
      </c>
      <c r="M5057">
        <v>0</v>
      </c>
    </row>
    <row r="5058" spans="11:13" x14ac:dyDescent="0.2">
      <c r="K5058" t="s">
        <v>41</v>
      </c>
      <c r="L5058" t="s">
        <v>37</v>
      </c>
      <c r="M5058">
        <v>0</v>
      </c>
    </row>
    <row r="5059" spans="11:13" x14ac:dyDescent="0.2">
      <c r="K5059" t="s">
        <v>42</v>
      </c>
      <c r="L5059" t="s">
        <v>38</v>
      </c>
      <c r="M5059">
        <v>0</v>
      </c>
    </row>
    <row r="5060" spans="11:13" x14ac:dyDescent="0.2">
      <c r="K5060" t="s">
        <v>41</v>
      </c>
      <c r="L5060" t="s">
        <v>37</v>
      </c>
      <c r="M5060">
        <v>0</v>
      </c>
    </row>
    <row r="5061" spans="11:13" x14ac:dyDescent="0.2">
      <c r="K5061" t="s">
        <v>41</v>
      </c>
      <c r="L5061" t="s">
        <v>37</v>
      </c>
      <c r="M5061">
        <v>0</v>
      </c>
    </row>
    <row r="5062" spans="11:13" x14ac:dyDescent="0.2">
      <c r="K5062" t="s">
        <v>42</v>
      </c>
      <c r="L5062" t="s">
        <v>38</v>
      </c>
      <c r="M5062">
        <v>0</v>
      </c>
    </row>
    <row r="5063" spans="11:13" x14ac:dyDescent="0.2">
      <c r="K5063" t="s">
        <v>41</v>
      </c>
      <c r="L5063" t="s">
        <v>37</v>
      </c>
      <c r="M5063">
        <v>0</v>
      </c>
    </row>
    <row r="5064" spans="11:13" x14ac:dyDescent="0.2">
      <c r="K5064" t="s">
        <v>42</v>
      </c>
      <c r="L5064" t="s">
        <v>38</v>
      </c>
      <c r="M5064">
        <v>0</v>
      </c>
    </row>
    <row r="5065" spans="11:13" x14ac:dyDescent="0.2">
      <c r="K5065" t="s">
        <v>41</v>
      </c>
      <c r="L5065" t="s">
        <v>37</v>
      </c>
      <c r="M5065">
        <v>0</v>
      </c>
    </row>
    <row r="5066" spans="11:13" x14ac:dyDescent="0.2">
      <c r="K5066" t="s">
        <v>42</v>
      </c>
      <c r="L5066" t="s">
        <v>38</v>
      </c>
      <c r="M5066">
        <v>0</v>
      </c>
    </row>
    <row r="5067" spans="11:13" x14ac:dyDescent="0.2">
      <c r="K5067" t="s">
        <v>41</v>
      </c>
      <c r="L5067" t="s">
        <v>37</v>
      </c>
      <c r="M5067">
        <v>0</v>
      </c>
    </row>
    <row r="5068" spans="11:13" x14ac:dyDescent="0.2">
      <c r="K5068" t="s">
        <v>42</v>
      </c>
      <c r="L5068" t="s">
        <v>38</v>
      </c>
      <c r="M5068">
        <v>0</v>
      </c>
    </row>
    <row r="5069" spans="11:13" x14ac:dyDescent="0.2">
      <c r="K5069" t="s">
        <v>42</v>
      </c>
      <c r="L5069" t="s">
        <v>38</v>
      </c>
      <c r="M5069">
        <v>0</v>
      </c>
    </row>
    <row r="5070" spans="11:13" x14ac:dyDescent="0.2">
      <c r="K5070" t="s">
        <v>41</v>
      </c>
      <c r="L5070" t="s">
        <v>37</v>
      </c>
      <c r="M5070">
        <v>0</v>
      </c>
    </row>
    <row r="5071" spans="11:13" x14ac:dyDescent="0.2">
      <c r="K5071" t="s">
        <v>42</v>
      </c>
      <c r="L5071" t="s">
        <v>38</v>
      </c>
      <c r="M5071">
        <v>0</v>
      </c>
    </row>
    <row r="5072" spans="11:13" x14ac:dyDescent="0.2">
      <c r="K5072" t="s">
        <v>42</v>
      </c>
      <c r="L5072" t="s">
        <v>38</v>
      </c>
      <c r="M5072">
        <v>0</v>
      </c>
    </row>
    <row r="5073" spans="11:13" x14ac:dyDescent="0.2">
      <c r="K5073" t="s">
        <v>42</v>
      </c>
      <c r="L5073" t="s">
        <v>38</v>
      </c>
      <c r="M5073">
        <v>0</v>
      </c>
    </row>
    <row r="5074" spans="11:13" x14ac:dyDescent="0.2">
      <c r="K5074" t="s">
        <v>42</v>
      </c>
      <c r="L5074" t="s">
        <v>38</v>
      </c>
      <c r="M5074">
        <v>0</v>
      </c>
    </row>
    <row r="5075" spans="11:13" x14ac:dyDescent="0.2">
      <c r="K5075" t="s">
        <v>42</v>
      </c>
      <c r="L5075" t="s">
        <v>38</v>
      </c>
      <c r="M5075">
        <v>0</v>
      </c>
    </row>
    <row r="5076" spans="11:13" x14ac:dyDescent="0.2">
      <c r="K5076" t="s">
        <v>41</v>
      </c>
      <c r="L5076" t="s">
        <v>37</v>
      </c>
      <c r="M5076">
        <v>1</v>
      </c>
    </row>
    <row r="5077" spans="11:13" x14ac:dyDescent="0.2">
      <c r="K5077" t="s">
        <v>42</v>
      </c>
      <c r="L5077" t="s">
        <v>38</v>
      </c>
      <c r="M5077">
        <v>0</v>
      </c>
    </row>
    <row r="5078" spans="11:13" x14ac:dyDescent="0.2">
      <c r="K5078" t="s">
        <v>42</v>
      </c>
      <c r="L5078" t="s">
        <v>38</v>
      </c>
      <c r="M5078">
        <v>0</v>
      </c>
    </row>
    <row r="5079" spans="11:13" x14ac:dyDescent="0.2">
      <c r="K5079" t="s">
        <v>41</v>
      </c>
      <c r="L5079" t="s">
        <v>37</v>
      </c>
      <c r="M5079">
        <v>0</v>
      </c>
    </row>
    <row r="5080" spans="11:13" x14ac:dyDescent="0.2">
      <c r="K5080" t="s">
        <v>41</v>
      </c>
      <c r="L5080" t="s">
        <v>37</v>
      </c>
      <c r="M5080">
        <v>0</v>
      </c>
    </row>
    <row r="5081" spans="11:13" x14ac:dyDescent="0.2">
      <c r="K5081" t="s">
        <v>42</v>
      </c>
      <c r="L5081" t="s">
        <v>38</v>
      </c>
      <c r="M5081">
        <v>0</v>
      </c>
    </row>
    <row r="5082" spans="11:13" x14ac:dyDescent="0.2">
      <c r="K5082" t="s">
        <v>42</v>
      </c>
      <c r="L5082" t="s">
        <v>38</v>
      </c>
      <c r="M5082">
        <v>0</v>
      </c>
    </row>
    <row r="5083" spans="11:13" x14ac:dyDescent="0.2">
      <c r="K5083" t="s">
        <v>42</v>
      </c>
      <c r="L5083" t="s">
        <v>38</v>
      </c>
      <c r="M5083">
        <v>0</v>
      </c>
    </row>
    <row r="5084" spans="11:13" x14ac:dyDescent="0.2">
      <c r="K5084" t="s">
        <v>42</v>
      </c>
      <c r="L5084" t="s">
        <v>38</v>
      </c>
      <c r="M5084">
        <v>0</v>
      </c>
    </row>
    <row r="5085" spans="11:13" x14ac:dyDescent="0.2">
      <c r="K5085" t="s">
        <v>41</v>
      </c>
      <c r="L5085" t="s">
        <v>37</v>
      </c>
      <c r="M5085">
        <v>0</v>
      </c>
    </row>
    <row r="5086" spans="11:13" x14ac:dyDescent="0.2">
      <c r="K5086" t="s">
        <v>42</v>
      </c>
      <c r="L5086" t="s">
        <v>38</v>
      </c>
      <c r="M5086">
        <v>0</v>
      </c>
    </row>
    <row r="5087" spans="11:13" x14ac:dyDescent="0.2">
      <c r="K5087" t="s">
        <v>41</v>
      </c>
      <c r="L5087" t="s">
        <v>37</v>
      </c>
      <c r="M5087">
        <v>0</v>
      </c>
    </row>
    <row r="5088" spans="11:13" x14ac:dyDescent="0.2">
      <c r="K5088" t="s">
        <v>42</v>
      </c>
      <c r="L5088" t="s">
        <v>38</v>
      </c>
      <c r="M5088">
        <v>0</v>
      </c>
    </row>
    <row r="5089" spans="11:13" x14ac:dyDescent="0.2">
      <c r="K5089" t="s">
        <v>42</v>
      </c>
      <c r="L5089" t="s">
        <v>38</v>
      </c>
      <c r="M5089">
        <v>0</v>
      </c>
    </row>
    <row r="5090" spans="11:13" x14ac:dyDescent="0.2">
      <c r="K5090" t="s">
        <v>41</v>
      </c>
      <c r="L5090" t="s">
        <v>37</v>
      </c>
      <c r="M5090">
        <v>0</v>
      </c>
    </row>
    <row r="5091" spans="11:13" x14ac:dyDescent="0.2">
      <c r="K5091" t="s">
        <v>42</v>
      </c>
      <c r="L5091" t="s">
        <v>38</v>
      </c>
      <c r="M5091">
        <v>0</v>
      </c>
    </row>
    <row r="5092" spans="11:13" x14ac:dyDescent="0.2">
      <c r="K5092" t="s">
        <v>41</v>
      </c>
      <c r="L5092" t="s">
        <v>37</v>
      </c>
      <c r="M5092">
        <v>0</v>
      </c>
    </row>
    <row r="5093" spans="11:13" x14ac:dyDescent="0.2">
      <c r="K5093" t="s">
        <v>41</v>
      </c>
      <c r="L5093" t="s">
        <v>37</v>
      </c>
      <c r="M5093">
        <v>0</v>
      </c>
    </row>
    <row r="5094" spans="11:13" x14ac:dyDescent="0.2">
      <c r="K5094" t="s">
        <v>42</v>
      </c>
      <c r="L5094" t="s">
        <v>38</v>
      </c>
      <c r="M5094">
        <v>0</v>
      </c>
    </row>
    <row r="5095" spans="11:13" x14ac:dyDescent="0.2">
      <c r="K5095" t="s">
        <v>41</v>
      </c>
      <c r="L5095" t="s">
        <v>37</v>
      </c>
      <c r="M5095">
        <v>0</v>
      </c>
    </row>
    <row r="5096" spans="11:13" x14ac:dyDescent="0.2">
      <c r="K5096" t="s">
        <v>42</v>
      </c>
      <c r="L5096" t="s">
        <v>38</v>
      </c>
      <c r="M5096">
        <v>0</v>
      </c>
    </row>
    <row r="5097" spans="11:13" x14ac:dyDescent="0.2">
      <c r="K5097" t="s">
        <v>42</v>
      </c>
      <c r="L5097" t="s">
        <v>38</v>
      </c>
      <c r="M5097">
        <v>0</v>
      </c>
    </row>
    <row r="5098" spans="11:13" x14ac:dyDescent="0.2">
      <c r="K5098" t="s">
        <v>42</v>
      </c>
      <c r="L5098" t="s">
        <v>38</v>
      </c>
      <c r="M5098">
        <v>0</v>
      </c>
    </row>
    <row r="5099" spans="11:13" x14ac:dyDescent="0.2">
      <c r="K5099" t="s">
        <v>42</v>
      </c>
      <c r="L5099" t="s">
        <v>38</v>
      </c>
      <c r="M5099">
        <v>0</v>
      </c>
    </row>
    <row r="5100" spans="11:13" x14ac:dyDescent="0.2">
      <c r="K5100" t="s">
        <v>42</v>
      </c>
      <c r="L5100" t="s">
        <v>38</v>
      </c>
      <c r="M5100">
        <v>0</v>
      </c>
    </row>
    <row r="5101" spans="11:13" x14ac:dyDescent="0.2">
      <c r="K5101" t="s">
        <v>42</v>
      </c>
      <c r="L5101" t="s">
        <v>38</v>
      </c>
      <c r="M5101">
        <v>0</v>
      </c>
    </row>
    <row r="5102" spans="11:13" x14ac:dyDescent="0.2">
      <c r="K5102" t="s">
        <v>42</v>
      </c>
      <c r="L5102" t="s">
        <v>38</v>
      </c>
      <c r="M5102">
        <v>0</v>
      </c>
    </row>
    <row r="5103" spans="11:13" x14ac:dyDescent="0.2">
      <c r="K5103" t="s">
        <v>42</v>
      </c>
      <c r="L5103" t="s">
        <v>38</v>
      </c>
      <c r="M5103">
        <v>0</v>
      </c>
    </row>
    <row r="5104" spans="11:13" x14ac:dyDescent="0.2">
      <c r="K5104" t="s">
        <v>41</v>
      </c>
      <c r="L5104" t="s">
        <v>37</v>
      </c>
      <c r="M5104">
        <v>0</v>
      </c>
    </row>
    <row r="5105" spans="11:13" x14ac:dyDescent="0.2">
      <c r="K5105" t="s">
        <v>41</v>
      </c>
      <c r="L5105" t="s">
        <v>37</v>
      </c>
      <c r="M5105">
        <v>0</v>
      </c>
    </row>
    <row r="5106" spans="11:13" x14ac:dyDescent="0.2">
      <c r="K5106" t="s">
        <v>42</v>
      </c>
      <c r="L5106" t="s">
        <v>38</v>
      </c>
      <c r="M5106">
        <v>0</v>
      </c>
    </row>
    <row r="5107" spans="11:13" x14ac:dyDescent="0.2">
      <c r="K5107" t="s">
        <v>42</v>
      </c>
      <c r="L5107" t="s">
        <v>38</v>
      </c>
      <c r="M5107">
        <v>0</v>
      </c>
    </row>
    <row r="5108" spans="11:13" x14ac:dyDescent="0.2">
      <c r="K5108" t="s">
        <v>42</v>
      </c>
      <c r="L5108" t="s">
        <v>38</v>
      </c>
      <c r="M5108">
        <v>0</v>
      </c>
    </row>
    <row r="5109" spans="11:13" x14ac:dyDescent="0.2">
      <c r="K5109" t="s">
        <v>42</v>
      </c>
      <c r="L5109" t="s">
        <v>38</v>
      </c>
      <c r="M5109">
        <v>0</v>
      </c>
    </row>
    <row r="5110" spans="11:13" x14ac:dyDescent="0.2">
      <c r="K5110" t="s">
        <v>41</v>
      </c>
      <c r="L5110" t="s">
        <v>37</v>
      </c>
      <c r="M5110">
        <v>0</v>
      </c>
    </row>
    <row r="5111" spans="11:13" x14ac:dyDescent="0.2">
      <c r="K5111" t="s">
        <v>42</v>
      </c>
      <c r="L5111" t="s">
        <v>38</v>
      </c>
      <c r="M5111">
        <v>1</v>
      </c>
    </row>
    <row r="5112" spans="11:13" x14ac:dyDescent="0.2">
      <c r="K5112" t="s">
        <v>41</v>
      </c>
      <c r="L5112" t="s">
        <v>37</v>
      </c>
      <c r="M5112">
        <v>0</v>
      </c>
    </row>
    <row r="5113" spans="11:13" x14ac:dyDescent="0.2">
      <c r="K5113" t="s">
        <v>42</v>
      </c>
      <c r="L5113" t="s">
        <v>38</v>
      </c>
      <c r="M5113">
        <v>0</v>
      </c>
    </row>
    <row r="5114" spans="11:13" x14ac:dyDescent="0.2">
      <c r="K5114" t="s">
        <v>42</v>
      </c>
      <c r="L5114" t="s">
        <v>38</v>
      </c>
      <c r="M5114">
        <v>0</v>
      </c>
    </row>
    <row r="5115" spans="11:13" x14ac:dyDescent="0.2">
      <c r="K5115" t="s">
        <v>41</v>
      </c>
      <c r="L5115" t="s">
        <v>37</v>
      </c>
      <c r="M5115">
        <v>0</v>
      </c>
    </row>
    <row r="5116" spans="11:13" x14ac:dyDescent="0.2">
      <c r="K5116" t="s">
        <v>42</v>
      </c>
      <c r="L5116" t="s">
        <v>38</v>
      </c>
      <c r="M5116">
        <v>0</v>
      </c>
    </row>
    <row r="5117" spans="11:13" x14ac:dyDescent="0.2">
      <c r="K5117" t="s">
        <v>42</v>
      </c>
      <c r="L5117" t="s">
        <v>38</v>
      </c>
      <c r="M5117">
        <v>0</v>
      </c>
    </row>
    <row r="5118" spans="11:13" x14ac:dyDescent="0.2">
      <c r="K5118" t="s">
        <v>41</v>
      </c>
      <c r="L5118" t="s">
        <v>37</v>
      </c>
      <c r="M5118">
        <v>0</v>
      </c>
    </row>
    <row r="5119" spans="11:13" x14ac:dyDescent="0.2">
      <c r="K5119" t="s">
        <v>42</v>
      </c>
      <c r="L5119" t="s">
        <v>38</v>
      </c>
      <c r="M5119">
        <v>1</v>
      </c>
    </row>
    <row r="5120" spans="11:13" x14ac:dyDescent="0.2">
      <c r="K5120" t="s">
        <v>41</v>
      </c>
      <c r="L5120" t="s">
        <v>37</v>
      </c>
      <c r="M5120">
        <v>0</v>
      </c>
    </row>
    <row r="5121" spans="11:13" x14ac:dyDescent="0.2">
      <c r="K5121" t="s">
        <v>42</v>
      </c>
      <c r="L5121" t="s">
        <v>38</v>
      </c>
      <c r="M5121">
        <v>0</v>
      </c>
    </row>
    <row r="5122" spans="11:13" x14ac:dyDescent="0.2">
      <c r="K5122" t="s">
        <v>42</v>
      </c>
      <c r="L5122" t="s">
        <v>38</v>
      </c>
      <c r="M5122">
        <v>0</v>
      </c>
    </row>
    <row r="5123" spans="11:13" x14ac:dyDescent="0.2">
      <c r="K5123" t="s">
        <v>42</v>
      </c>
      <c r="L5123" t="s">
        <v>38</v>
      </c>
      <c r="M5123">
        <v>0</v>
      </c>
    </row>
    <row r="5124" spans="11:13" x14ac:dyDescent="0.2">
      <c r="K5124" t="s">
        <v>41</v>
      </c>
      <c r="L5124" t="s">
        <v>37</v>
      </c>
      <c r="M5124">
        <v>0</v>
      </c>
    </row>
    <row r="5125" spans="11:13" x14ac:dyDescent="0.2">
      <c r="K5125" t="s">
        <v>42</v>
      </c>
      <c r="L5125" t="s">
        <v>38</v>
      </c>
      <c r="M5125">
        <v>0</v>
      </c>
    </row>
    <row r="5126" spans="11:13" x14ac:dyDescent="0.2">
      <c r="K5126" t="s">
        <v>41</v>
      </c>
      <c r="L5126" t="s">
        <v>37</v>
      </c>
      <c r="M5126">
        <v>0</v>
      </c>
    </row>
    <row r="5127" spans="11:13" x14ac:dyDescent="0.2">
      <c r="K5127" t="s">
        <v>41</v>
      </c>
      <c r="L5127" t="s">
        <v>37</v>
      </c>
      <c r="M5127">
        <v>0</v>
      </c>
    </row>
    <row r="5128" spans="11:13" x14ac:dyDescent="0.2">
      <c r="K5128" t="s">
        <v>42</v>
      </c>
      <c r="L5128" t="s">
        <v>38</v>
      </c>
      <c r="M5128">
        <v>0</v>
      </c>
    </row>
    <row r="5129" spans="11:13" x14ac:dyDescent="0.2">
      <c r="K5129" t="s">
        <v>42</v>
      </c>
      <c r="L5129" t="s">
        <v>38</v>
      </c>
      <c r="M5129">
        <v>0</v>
      </c>
    </row>
    <row r="5130" spans="11:13" x14ac:dyDescent="0.2">
      <c r="K5130" t="s">
        <v>41</v>
      </c>
      <c r="L5130" t="s">
        <v>37</v>
      </c>
      <c r="M5130">
        <v>0</v>
      </c>
    </row>
    <row r="5131" spans="11:13" x14ac:dyDescent="0.2">
      <c r="K5131" t="s">
        <v>41</v>
      </c>
      <c r="L5131" t="s">
        <v>37</v>
      </c>
      <c r="M5131">
        <v>0</v>
      </c>
    </row>
    <row r="5132" spans="11:13" x14ac:dyDescent="0.2">
      <c r="K5132" t="s">
        <v>41</v>
      </c>
      <c r="L5132" t="s">
        <v>37</v>
      </c>
      <c r="M5132">
        <v>0</v>
      </c>
    </row>
    <row r="5133" spans="11:13" x14ac:dyDescent="0.2">
      <c r="K5133" t="s">
        <v>41</v>
      </c>
      <c r="L5133" t="s">
        <v>37</v>
      </c>
      <c r="M5133">
        <v>0</v>
      </c>
    </row>
    <row r="5134" spans="11:13" x14ac:dyDescent="0.2">
      <c r="K5134" t="s">
        <v>41</v>
      </c>
      <c r="L5134" t="s">
        <v>37</v>
      </c>
      <c r="M5134">
        <v>0</v>
      </c>
    </row>
    <row r="5135" spans="11:13" x14ac:dyDescent="0.2">
      <c r="K5135" t="s">
        <v>42</v>
      </c>
      <c r="L5135" t="s">
        <v>38</v>
      </c>
      <c r="M5135">
        <v>0</v>
      </c>
    </row>
    <row r="5136" spans="11:13" x14ac:dyDescent="0.2">
      <c r="K5136" t="s">
        <v>41</v>
      </c>
      <c r="L5136" t="s">
        <v>37</v>
      </c>
      <c r="M5136">
        <v>0</v>
      </c>
    </row>
    <row r="5137" spans="11:13" x14ac:dyDescent="0.2">
      <c r="K5137" t="s">
        <v>42</v>
      </c>
      <c r="L5137" t="s">
        <v>38</v>
      </c>
      <c r="M5137">
        <v>0</v>
      </c>
    </row>
    <row r="5138" spans="11:13" x14ac:dyDescent="0.2">
      <c r="K5138" t="s">
        <v>42</v>
      </c>
      <c r="L5138" t="s">
        <v>38</v>
      </c>
      <c r="M5138">
        <v>0</v>
      </c>
    </row>
    <row r="5139" spans="11:13" x14ac:dyDescent="0.2">
      <c r="K5139" t="s">
        <v>41</v>
      </c>
      <c r="L5139" t="s">
        <v>37</v>
      </c>
      <c r="M5139">
        <v>0</v>
      </c>
    </row>
    <row r="5140" spans="11:13" x14ac:dyDescent="0.2">
      <c r="K5140" t="s">
        <v>41</v>
      </c>
      <c r="L5140" t="s">
        <v>37</v>
      </c>
      <c r="M5140">
        <v>0</v>
      </c>
    </row>
    <row r="5141" spans="11:13" x14ac:dyDescent="0.2">
      <c r="K5141" t="s">
        <v>42</v>
      </c>
      <c r="L5141" t="s">
        <v>38</v>
      </c>
      <c r="M5141">
        <v>0</v>
      </c>
    </row>
    <row r="5142" spans="11:13" x14ac:dyDescent="0.2">
      <c r="K5142" t="s">
        <v>42</v>
      </c>
      <c r="L5142" t="s">
        <v>38</v>
      </c>
      <c r="M5142">
        <v>0</v>
      </c>
    </row>
    <row r="5143" spans="11:13" x14ac:dyDescent="0.2">
      <c r="K5143" t="s">
        <v>41</v>
      </c>
      <c r="L5143" t="s">
        <v>37</v>
      </c>
      <c r="M5143">
        <v>0</v>
      </c>
    </row>
    <row r="5144" spans="11:13" x14ac:dyDescent="0.2">
      <c r="K5144" t="s">
        <v>41</v>
      </c>
      <c r="L5144" t="s">
        <v>37</v>
      </c>
      <c r="M5144">
        <v>0</v>
      </c>
    </row>
    <row r="5145" spans="11:13" x14ac:dyDescent="0.2">
      <c r="K5145" t="s">
        <v>42</v>
      </c>
      <c r="L5145" t="s">
        <v>38</v>
      </c>
      <c r="M5145">
        <v>0</v>
      </c>
    </row>
    <row r="5146" spans="11:13" x14ac:dyDescent="0.2">
      <c r="K5146" t="s">
        <v>42</v>
      </c>
      <c r="L5146" t="s">
        <v>38</v>
      </c>
      <c r="M5146">
        <v>0</v>
      </c>
    </row>
    <row r="5147" spans="11:13" x14ac:dyDescent="0.2">
      <c r="K5147" t="s">
        <v>41</v>
      </c>
      <c r="L5147" t="s">
        <v>37</v>
      </c>
      <c r="M5147">
        <v>0</v>
      </c>
    </row>
    <row r="5148" spans="11:13" x14ac:dyDescent="0.2">
      <c r="K5148" t="s">
        <v>42</v>
      </c>
      <c r="L5148" t="s">
        <v>38</v>
      </c>
      <c r="M5148">
        <v>0</v>
      </c>
    </row>
    <row r="5149" spans="11:13" x14ac:dyDescent="0.2">
      <c r="K5149" t="s">
        <v>41</v>
      </c>
      <c r="L5149" t="s">
        <v>37</v>
      </c>
      <c r="M5149">
        <v>0</v>
      </c>
    </row>
    <row r="5150" spans="11:13" x14ac:dyDescent="0.2">
      <c r="K5150" t="s">
        <v>41</v>
      </c>
      <c r="L5150" t="s">
        <v>37</v>
      </c>
      <c r="M5150">
        <v>0</v>
      </c>
    </row>
    <row r="5151" spans="11:13" x14ac:dyDescent="0.2">
      <c r="K5151" t="s">
        <v>41</v>
      </c>
      <c r="L5151" t="s">
        <v>37</v>
      </c>
      <c r="M5151">
        <v>1</v>
      </c>
    </row>
    <row r="5152" spans="11:13" x14ac:dyDescent="0.2">
      <c r="K5152" t="s">
        <v>41</v>
      </c>
      <c r="L5152" t="s">
        <v>37</v>
      </c>
      <c r="M5152">
        <v>0</v>
      </c>
    </row>
    <row r="5153" spans="11:13" x14ac:dyDescent="0.2">
      <c r="K5153" t="s">
        <v>42</v>
      </c>
      <c r="L5153" t="s">
        <v>38</v>
      </c>
      <c r="M5153">
        <v>0</v>
      </c>
    </row>
    <row r="5154" spans="11:13" x14ac:dyDescent="0.2">
      <c r="K5154" t="s">
        <v>42</v>
      </c>
      <c r="L5154" t="s">
        <v>38</v>
      </c>
      <c r="M5154">
        <v>0</v>
      </c>
    </row>
    <row r="5155" spans="11:13" x14ac:dyDescent="0.2">
      <c r="K5155" t="s">
        <v>41</v>
      </c>
      <c r="L5155" t="s">
        <v>37</v>
      </c>
      <c r="M5155">
        <v>0</v>
      </c>
    </row>
    <row r="5156" spans="11:13" x14ac:dyDescent="0.2">
      <c r="K5156" t="s">
        <v>42</v>
      </c>
      <c r="L5156" t="s">
        <v>38</v>
      </c>
      <c r="M5156">
        <v>0</v>
      </c>
    </row>
    <row r="5157" spans="11:13" x14ac:dyDescent="0.2">
      <c r="K5157" t="s">
        <v>41</v>
      </c>
      <c r="L5157" t="s">
        <v>37</v>
      </c>
      <c r="M5157">
        <v>0</v>
      </c>
    </row>
    <row r="5158" spans="11:13" x14ac:dyDescent="0.2">
      <c r="K5158" t="s">
        <v>42</v>
      </c>
      <c r="L5158" t="s">
        <v>38</v>
      </c>
      <c r="M5158">
        <v>0</v>
      </c>
    </row>
    <row r="5159" spans="11:13" x14ac:dyDescent="0.2">
      <c r="K5159" t="s">
        <v>42</v>
      </c>
      <c r="L5159" t="s">
        <v>38</v>
      </c>
      <c r="M5159">
        <v>0</v>
      </c>
    </row>
    <row r="5160" spans="11:13" x14ac:dyDescent="0.2">
      <c r="K5160" t="s">
        <v>41</v>
      </c>
      <c r="L5160" t="s">
        <v>37</v>
      </c>
      <c r="M5160">
        <v>0</v>
      </c>
    </row>
    <row r="5161" spans="11:13" x14ac:dyDescent="0.2">
      <c r="K5161" t="s">
        <v>42</v>
      </c>
      <c r="L5161" t="s">
        <v>38</v>
      </c>
      <c r="M5161">
        <v>0</v>
      </c>
    </row>
    <row r="5162" spans="11:13" x14ac:dyDescent="0.2">
      <c r="K5162" t="s">
        <v>42</v>
      </c>
      <c r="L5162" t="s">
        <v>38</v>
      </c>
      <c r="M5162">
        <v>0</v>
      </c>
    </row>
    <row r="5163" spans="11:13" x14ac:dyDescent="0.2">
      <c r="K5163" t="s">
        <v>41</v>
      </c>
      <c r="L5163" t="s">
        <v>37</v>
      </c>
      <c r="M5163">
        <v>0</v>
      </c>
    </row>
    <row r="5164" spans="11:13" x14ac:dyDescent="0.2">
      <c r="K5164" t="s">
        <v>41</v>
      </c>
      <c r="L5164" t="s">
        <v>37</v>
      </c>
      <c r="M5164">
        <v>0</v>
      </c>
    </row>
    <row r="5165" spans="11:13" x14ac:dyDescent="0.2">
      <c r="K5165" t="s">
        <v>42</v>
      </c>
      <c r="L5165" t="s">
        <v>38</v>
      </c>
      <c r="M5165">
        <v>0</v>
      </c>
    </row>
    <row r="5166" spans="11:13" x14ac:dyDescent="0.2">
      <c r="K5166" t="s">
        <v>41</v>
      </c>
      <c r="L5166" t="s">
        <v>37</v>
      </c>
      <c r="M5166">
        <v>0</v>
      </c>
    </row>
    <row r="5167" spans="11:13" x14ac:dyDescent="0.2">
      <c r="K5167" t="s">
        <v>42</v>
      </c>
      <c r="L5167" t="s">
        <v>38</v>
      </c>
      <c r="M5167">
        <v>0</v>
      </c>
    </row>
    <row r="5168" spans="11:13" x14ac:dyDescent="0.2">
      <c r="K5168" t="s">
        <v>42</v>
      </c>
      <c r="L5168" t="s">
        <v>38</v>
      </c>
      <c r="M5168">
        <v>0</v>
      </c>
    </row>
    <row r="5169" spans="11:13" x14ac:dyDescent="0.2">
      <c r="K5169" t="s">
        <v>41</v>
      </c>
      <c r="L5169" t="s">
        <v>37</v>
      </c>
      <c r="M5169">
        <v>0</v>
      </c>
    </row>
    <row r="5170" spans="11:13" x14ac:dyDescent="0.2">
      <c r="K5170" t="s">
        <v>42</v>
      </c>
      <c r="L5170" t="s">
        <v>38</v>
      </c>
      <c r="M5170">
        <v>0</v>
      </c>
    </row>
    <row r="5171" spans="11:13" x14ac:dyDescent="0.2">
      <c r="K5171" t="s">
        <v>41</v>
      </c>
      <c r="L5171" t="s">
        <v>37</v>
      </c>
      <c r="M5171">
        <v>0</v>
      </c>
    </row>
    <row r="5172" spans="11:13" x14ac:dyDescent="0.2">
      <c r="K5172" t="s">
        <v>41</v>
      </c>
      <c r="L5172" t="s">
        <v>37</v>
      </c>
      <c r="M5172">
        <v>0</v>
      </c>
    </row>
    <row r="5173" spans="11:13" x14ac:dyDescent="0.2">
      <c r="K5173" t="s">
        <v>41</v>
      </c>
      <c r="L5173" t="s">
        <v>37</v>
      </c>
      <c r="M5173">
        <v>0</v>
      </c>
    </row>
    <row r="5174" spans="11:13" x14ac:dyDescent="0.2">
      <c r="K5174" t="s">
        <v>41</v>
      </c>
      <c r="L5174" t="s">
        <v>37</v>
      </c>
      <c r="M5174">
        <v>0</v>
      </c>
    </row>
    <row r="5175" spans="11:13" x14ac:dyDescent="0.2">
      <c r="K5175" t="s">
        <v>41</v>
      </c>
      <c r="L5175" t="s">
        <v>37</v>
      </c>
      <c r="M5175">
        <v>0</v>
      </c>
    </row>
    <row r="5176" spans="11:13" x14ac:dyDescent="0.2">
      <c r="K5176" t="s">
        <v>41</v>
      </c>
      <c r="L5176" t="s">
        <v>37</v>
      </c>
      <c r="M5176">
        <v>0</v>
      </c>
    </row>
    <row r="5177" spans="11:13" x14ac:dyDescent="0.2">
      <c r="K5177" t="s">
        <v>42</v>
      </c>
      <c r="L5177" t="s">
        <v>38</v>
      </c>
      <c r="M5177">
        <v>0</v>
      </c>
    </row>
    <row r="5178" spans="11:13" x14ac:dyDescent="0.2">
      <c r="K5178" t="s">
        <v>42</v>
      </c>
      <c r="L5178" t="s">
        <v>38</v>
      </c>
      <c r="M5178">
        <v>0</v>
      </c>
    </row>
    <row r="5179" spans="11:13" x14ac:dyDescent="0.2">
      <c r="K5179" t="s">
        <v>42</v>
      </c>
      <c r="L5179" t="s">
        <v>38</v>
      </c>
      <c r="M5179">
        <v>0</v>
      </c>
    </row>
    <row r="5180" spans="11:13" x14ac:dyDescent="0.2">
      <c r="K5180" t="s">
        <v>42</v>
      </c>
      <c r="L5180" t="s">
        <v>38</v>
      </c>
      <c r="M5180">
        <v>1</v>
      </c>
    </row>
    <row r="5181" spans="11:13" x14ac:dyDescent="0.2">
      <c r="K5181" t="s">
        <v>41</v>
      </c>
      <c r="L5181" t="s">
        <v>37</v>
      </c>
      <c r="M5181">
        <v>0</v>
      </c>
    </row>
    <row r="5182" spans="11:13" x14ac:dyDescent="0.2">
      <c r="K5182" t="s">
        <v>42</v>
      </c>
      <c r="L5182" t="s">
        <v>38</v>
      </c>
      <c r="M5182">
        <v>0</v>
      </c>
    </row>
    <row r="5183" spans="11:13" x14ac:dyDescent="0.2">
      <c r="K5183" t="s">
        <v>41</v>
      </c>
      <c r="L5183" t="s">
        <v>37</v>
      </c>
      <c r="M5183">
        <v>0</v>
      </c>
    </row>
    <row r="5184" spans="11:13" x14ac:dyDescent="0.2">
      <c r="K5184" t="s">
        <v>41</v>
      </c>
      <c r="L5184" t="s">
        <v>37</v>
      </c>
      <c r="M5184">
        <v>0</v>
      </c>
    </row>
    <row r="5185" spans="11:13" x14ac:dyDescent="0.2">
      <c r="K5185" t="s">
        <v>42</v>
      </c>
      <c r="L5185" t="s">
        <v>38</v>
      </c>
      <c r="M5185">
        <v>0</v>
      </c>
    </row>
    <row r="5186" spans="11:13" x14ac:dyDescent="0.2">
      <c r="K5186" t="s">
        <v>41</v>
      </c>
      <c r="L5186" t="s">
        <v>37</v>
      </c>
      <c r="M5186">
        <v>0</v>
      </c>
    </row>
    <row r="5187" spans="11:13" x14ac:dyDescent="0.2">
      <c r="K5187" t="s">
        <v>41</v>
      </c>
      <c r="L5187" t="s">
        <v>37</v>
      </c>
      <c r="M5187">
        <v>0</v>
      </c>
    </row>
    <row r="5188" spans="11:13" x14ac:dyDescent="0.2">
      <c r="K5188" t="s">
        <v>41</v>
      </c>
      <c r="L5188" t="s">
        <v>37</v>
      </c>
      <c r="M5188">
        <v>0</v>
      </c>
    </row>
    <row r="5189" spans="11:13" x14ac:dyDescent="0.2">
      <c r="K5189" t="s">
        <v>41</v>
      </c>
      <c r="L5189" t="s">
        <v>37</v>
      </c>
      <c r="M5189">
        <v>0</v>
      </c>
    </row>
    <row r="5190" spans="11:13" x14ac:dyDescent="0.2">
      <c r="K5190" t="s">
        <v>41</v>
      </c>
      <c r="L5190" t="s">
        <v>37</v>
      </c>
      <c r="M5190">
        <v>0</v>
      </c>
    </row>
    <row r="5191" spans="11:13" x14ac:dyDescent="0.2">
      <c r="K5191" t="s">
        <v>41</v>
      </c>
      <c r="L5191" t="s">
        <v>37</v>
      </c>
      <c r="M5191">
        <v>0</v>
      </c>
    </row>
    <row r="5192" spans="11:13" x14ac:dyDescent="0.2">
      <c r="K5192" t="s">
        <v>41</v>
      </c>
      <c r="L5192" t="s">
        <v>37</v>
      </c>
      <c r="M5192">
        <v>0</v>
      </c>
    </row>
    <row r="5193" spans="11:13" x14ac:dyDescent="0.2">
      <c r="K5193" t="s">
        <v>42</v>
      </c>
      <c r="L5193" t="s">
        <v>38</v>
      </c>
      <c r="M5193">
        <v>0</v>
      </c>
    </row>
    <row r="5194" spans="11:13" x14ac:dyDescent="0.2">
      <c r="K5194" t="s">
        <v>41</v>
      </c>
      <c r="L5194" t="s">
        <v>37</v>
      </c>
      <c r="M5194">
        <v>0</v>
      </c>
    </row>
    <row r="5195" spans="11:13" x14ac:dyDescent="0.2">
      <c r="K5195" t="s">
        <v>41</v>
      </c>
      <c r="L5195" t="s">
        <v>37</v>
      </c>
      <c r="M5195">
        <v>0</v>
      </c>
    </row>
    <row r="5196" spans="11:13" x14ac:dyDescent="0.2">
      <c r="K5196" t="s">
        <v>41</v>
      </c>
      <c r="L5196" t="s">
        <v>37</v>
      </c>
      <c r="M5196">
        <v>0</v>
      </c>
    </row>
    <row r="5197" spans="11:13" x14ac:dyDescent="0.2">
      <c r="K5197" t="s">
        <v>42</v>
      </c>
      <c r="L5197" t="s">
        <v>38</v>
      </c>
      <c r="M5197">
        <v>0</v>
      </c>
    </row>
    <row r="5198" spans="11:13" x14ac:dyDescent="0.2">
      <c r="K5198" t="s">
        <v>41</v>
      </c>
      <c r="L5198" t="s">
        <v>37</v>
      </c>
      <c r="M5198">
        <v>0</v>
      </c>
    </row>
    <row r="5199" spans="11:13" x14ac:dyDescent="0.2">
      <c r="K5199" t="s">
        <v>42</v>
      </c>
      <c r="L5199" t="s">
        <v>38</v>
      </c>
      <c r="M5199">
        <v>0</v>
      </c>
    </row>
    <row r="5200" spans="11:13" x14ac:dyDescent="0.2">
      <c r="K5200" t="s">
        <v>42</v>
      </c>
      <c r="L5200" t="s">
        <v>38</v>
      </c>
      <c r="M5200">
        <v>0</v>
      </c>
    </row>
    <row r="5201" spans="11:13" x14ac:dyDescent="0.2">
      <c r="K5201" t="s">
        <v>41</v>
      </c>
      <c r="L5201" t="s">
        <v>37</v>
      </c>
      <c r="M5201">
        <v>0</v>
      </c>
    </row>
    <row r="5202" spans="11:13" x14ac:dyDescent="0.2">
      <c r="K5202" t="s">
        <v>42</v>
      </c>
      <c r="L5202" t="s">
        <v>38</v>
      </c>
      <c r="M5202">
        <v>0</v>
      </c>
    </row>
    <row r="5203" spans="11:13" x14ac:dyDescent="0.2">
      <c r="K5203" t="s">
        <v>41</v>
      </c>
      <c r="L5203" t="s">
        <v>37</v>
      </c>
      <c r="M5203">
        <v>0</v>
      </c>
    </row>
    <row r="5204" spans="11:13" x14ac:dyDescent="0.2">
      <c r="K5204" t="s">
        <v>42</v>
      </c>
      <c r="L5204" t="s">
        <v>38</v>
      </c>
      <c r="M5204">
        <v>0</v>
      </c>
    </row>
    <row r="5205" spans="11:13" x14ac:dyDescent="0.2">
      <c r="K5205" t="s">
        <v>41</v>
      </c>
      <c r="L5205" t="s">
        <v>37</v>
      </c>
      <c r="M5205">
        <v>0</v>
      </c>
    </row>
    <row r="5206" spans="11:13" x14ac:dyDescent="0.2">
      <c r="K5206" t="s">
        <v>41</v>
      </c>
      <c r="L5206" t="s">
        <v>37</v>
      </c>
      <c r="M5206">
        <v>0</v>
      </c>
    </row>
    <row r="5207" spans="11:13" x14ac:dyDescent="0.2">
      <c r="K5207" t="s">
        <v>42</v>
      </c>
      <c r="L5207" t="s">
        <v>38</v>
      </c>
      <c r="M5207">
        <v>0</v>
      </c>
    </row>
    <row r="5208" spans="11:13" x14ac:dyDescent="0.2">
      <c r="K5208" t="s">
        <v>42</v>
      </c>
      <c r="L5208" t="s">
        <v>38</v>
      </c>
      <c r="M5208">
        <v>0</v>
      </c>
    </row>
    <row r="5209" spans="11:13" x14ac:dyDescent="0.2">
      <c r="K5209" t="s">
        <v>42</v>
      </c>
      <c r="L5209" t="s">
        <v>38</v>
      </c>
      <c r="M5209">
        <v>0</v>
      </c>
    </row>
    <row r="5210" spans="11:13" x14ac:dyDescent="0.2">
      <c r="K5210" t="s">
        <v>42</v>
      </c>
      <c r="L5210" t="s">
        <v>38</v>
      </c>
      <c r="M5210">
        <v>0</v>
      </c>
    </row>
    <row r="5211" spans="11:13" x14ac:dyDescent="0.2">
      <c r="K5211" t="s">
        <v>41</v>
      </c>
      <c r="L5211" t="s">
        <v>37</v>
      </c>
      <c r="M5211">
        <v>0</v>
      </c>
    </row>
    <row r="5212" spans="11:13" x14ac:dyDescent="0.2">
      <c r="K5212" t="s">
        <v>42</v>
      </c>
      <c r="L5212" t="s">
        <v>38</v>
      </c>
      <c r="M5212">
        <v>0</v>
      </c>
    </row>
    <row r="5213" spans="11:13" x14ac:dyDescent="0.2">
      <c r="K5213" t="s">
        <v>41</v>
      </c>
      <c r="L5213" t="s">
        <v>37</v>
      </c>
      <c r="M5213">
        <v>0</v>
      </c>
    </row>
    <row r="5214" spans="11:13" x14ac:dyDescent="0.2">
      <c r="K5214" t="s">
        <v>42</v>
      </c>
      <c r="L5214" t="s">
        <v>38</v>
      </c>
      <c r="M5214">
        <v>0</v>
      </c>
    </row>
    <row r="5215" spans="11:13" x14ac:dyDescent="0.2">
      <c r="K5215" t="s">
        <v>42</v>
      </c>
      <c r="L5215" t="s">
        <v>38</v>
      </c>
      <c r="M5215">
        <v>0</v>
      </c>
    </row>
    <row r="5216" spans="11:13" x14ac:dyDescent="0.2">
      <c r="K5216" t="s">
        <v>42</v>
      </c>
      <c r="L5216" t="s">
        <v>38</v>
      </c>
      <c r="M5216">
        <v>0</v>
      </c>
    </row>
    <row r="5217" spans="11:13" x14ac:dyDescent="0.2">
      <c r="K5217" t="s">
        <v>41</v>
      </c>
      <c r="L5217" t="s">
        <v>37</v>
      </c>
      <c r="M5217">
        <v>0</v>
      </c>
    </row>
    <row r="5218" spans="11:13" x14ac:dyDescent="0.2">
      <c r="K5218" t="s">
        <v>42</v>
      </c>
      <c r="L5218" t="s">
        <v>38</v>
      </c>
      <c r="M5218">
        <v>0</v>
      </c>
    </row>
    <row r="5219" spans="11:13" x14ac:dyDescent="0.2">
      <c r="K5219" t="s">
        <v>42</v>
      </c>
      <c r="L5219" t="s">
        <v>38</v>
      </c>
      <c r="M5219">
        <v>0</v>
      </c>
    </row>
    <row r="5220" spans="11:13" x14ac:dyDescent="0.2">
      <c r="K5220" t="s">
        <v>41</v>
      </c>
      <c r="L5220" t="s">
        <v>37</v>
      </c>
      <c r="M5220">
        <v>0</v>
      </c>
    </row>
    <row r="5221" spans="11:13" x14ac:dyDescent="0.2">
      <c r="K5221" t="s">
        <v>41</v>
      </c>
      <c r="L5221" t="s">
        <v>37</v>
      </c>
      <c r="M5221">
        <v>0</v>
      </c>
    </row>
    <row r="5222" spans="11:13" x14ac:dyDescent="0.2">
      <c r="K5222" t="s">
        <v>42</v>
      </c>
      <c r="L5222" t="s">
        <v>38</v>
      </c>
      <c r="M5222">
        <v>0</v>
      </c>
    </row>
    <row r="5223" spans="11:13" x14ac:dyDescent="0.2">
      <c r="K5223" t="s">
        <v>41</v>
      </c>
      <c r="L5223" t="s">
        <v>37</v>
      </c>
      <c r="M5223">
        <v>0</v>
      </c>
    </row>
    <row r="5224" spans="11:13" x14ac:dyDescent="0.2">
      <c r="K5224" t="s">
        <v>42</v>
      </c>
      <c r="L5224" t="s">
        <v>38</v>
      </c>
      <c r="M5224">
        <v>0</v>
      </c>
    </row>
    <row r="5225" spans="11:13" x14ac:dyDescent="0.2">
      <c r="K5225" t="s">
        <v>42</v>
      </c>
      <c r="L5225" t="s">
        <v>38</v>
      </c>
      <c r="M5225">
        <v>0</v>
      </c>
    </row>
    <row r="5226" spans="11:13" x14ac:dyDescent="0.2">
      <c r="K5226" t="s">
        <v>42</v>
      </c>
      <c r="L5226" t="s">
        <v>38</v>
      </c>
      <c r="M5226">
        <v>0</v>
      </c>
    </row>
    <row r="5227" spans="11:13" x14ac:dyDescent="0.2">
      <c r="K5227" t="s">
        <v>42</v>
      </c>
      <c r="L5227" t="s">
        <v>38</v>
      </c>
      <c r="M5227">
        <v>0</v>
      </c>
    </row>
    <row r="5228" spans="11:13" x14ac:dyDescent="0.2">
      <c r="K5228" t="s">
        <v>41</v>
      </c>
      <c r="L5228" t="s">
        <v>37</v>
      </c>
      <c r="M5228">
        <v>0</v>
      </c>
    </row>
    <row r="5229" spans="11:13" x14ac:dyDescent="0.2">
      <c r="K5229" t="s">
        <v>42</v>
      </c>
      <c r="L5229" t="s">
        <v>38</v>
      </c>
      <c r="M5229">
        <v>0</v>
      </c>
    </row>
    <row r="5230" spans="11:13" x14ac:dyDescent="0.2">
      <c r="K5230" t="s">
        <v>42</v>
      </c>
      <c r="L5230" t="s">
        <v>38</v>
      </c>
      <c r="M5230">
        <v>0</v>
      </c>
    </row>
    <row r="5231" spans="11:13" x14ac:dyDescent="0.2">
      <c r="K5231" t="s">
        <v>41</v>
      </c>
      <c r="L5231" t="s">
        <v>37</v>
      </c>
      <c r="M5231">
        <v>0</v>
      </c>
    </row>
    <row r="5232" spans="11:13" x14ac:dyDescent="0.2">
      <c r="K5232" t="s">
        <v>42</v>
      </c>
      <c r="L5232" t="s">
        <v>38</v>
      </c>
      <c r="M5232">
        <v>0</v>
      </c>
    </row>
    <row r="5233" spans="11:13" x14ac:dyDescent="0.2">
      <c r="K5233" t="s">
        <v>42</v>
      </c>
      <c r="L5233" t="s">
        <v>38</v>
      </c>
      <c r="M5233">
        <v>0</v>
      </c>
    </row>
    <row r="5234" spans="11:13" x14ac:dyDescent="0.2">
      <c r="K5234" t="s">
        <v>42</v>
      </c>
      <c r="L5234" t="s">
        <v>38</v>
      </c>
      <c r="M5234">
        <v>0</v>
      </c>
    </row>
    <row r="5235" spans="11:13" x14ac:dyDescent="0.2">
      <c r="K5235" t="s">
        <v>42</v>
      </c>
      <c r="L5235" t="s">
        <v>38</v>
      </c>
      <c r="M5235">
        <v>0</v>
      </c>
    </row>
    <row r="5236" spans="11:13" x14ac:dyDescent="0.2">
      <c r="K5236" t="s">
        <v>42</v>
      </c>
      <c r="L5236" t="s">
        <v>38</v>
      </c>
      <c r="M5236">
        <v>0</v>
      </c>
    </row>
    <row r="5237" spans="11:13" x14ac:dyDescent="0.2">
      <c r="K5237" t="s">
        <v>41</v>
      </c>
      <c r="L5237" t="s">
        <v>37</v>
      </c>
      <c r="M5237">
        <v>0</v>
      </c>
    </row>
    <row r="5238" spans="11:13" x14ac:dyDescent="0.2">
      <c r="K5238" t="s">
        <v>42</v>
      </c>
      <c r="L5238" t="s">
        <v>38</v>
      </c>
      <c r="M5238">
        <v>0</v>
      </c>
    </row>
    <row r="5239" spans="11:13" x14ac:dyDescent="0.2">
      <c r="K5239" t="s">
        <v>42</v>
      </c>
      <c r="L5239" t="s">
        <v>38</v>
      </c>
      <c r="M5239">
        <v>0</v>
      </c>
    </row>
    <row r="5240" spans="11:13" x14ac:dyDescent="0.2">
      <c r="K5240" t="s">
        <v>41</v>
      </c>
      <c r="L5240" t="s">
        <v>37</v>
      </c>
      <c r="M5240">
        <v>0</v>
      </c>
    </row>
    <row r="5241" spans="11:13" x14ac:dyDescent="0.2">
      <c r="K5241" t="s">
        <v>41</v>
      </c>
      <c r="L5241" t="s">
        <v>37</v>
      </c>
      <c r="M5241">
        <v>0</v>
      </c>
    </row>
    <row r="5242" spans="11:13" x14ac:dyDescent="0.2">
      <c r="K5242" t="s">
        <v>42</v>
      </c>
      <c r="L5242" t="s">
        <v>38</v>
      </c>
      <c r="M5242">
        <v>0</v>
      </c>
    </row>
    <row r="5243" spans="11:13" x14ac:dyDescent="0.2">
      <c r="K5243" t="s">
        <v>42</v>
      </c>
      <c r="L5243" t="s">
        <v>38</v>
      </c>
      <c r="M5243">
        <v>0</v>
      </c>
    </row>
    <row r="5244" spans="11:13" x14ac:dyDescent="0.2">
      <c r="K5244" t="s">
        <v>42</v>
      </c>
      <c r="L5244" t="s">
        <v>38</v>
      </c>
      <c r="M5244">
        <v>0</v>
      </c>
    </row>
    <row r="5245" spans="11:13" x14ac:dyDescent="0.2">
      <c r="K5245" t="s">
        <v>42</v>
      </c>
      <c r="L5245" t="s">
        <v>38</v>
      </c>
      <c r="M5245">
        <v>0</v>
      </c>
    </row>
    <row r="5246" spans="11:13" x14ac:dyDescent="0.2">
      <c r="K5246" t="s">
        <v>41</v>
      </c>
      <c r="L5246" t="s">
        <v>37</v>
      </c>
      <c r="M5246">
        <v>0</v>
      </c>
    </row>
    <row r="5247" spans="11:13" x14ac:dyDescent="0.2">
      <c r="K5247" t="s">
        <v>41</v>
      </c>
      <c r="L5247" t="s">
        <v>37</v>
      </c>
      <c r="M5247">
        <v>0</v>
      </c>
    </row>
    <row r="5248" spans="11:13" x14ac:dyDescent="0.2">
      <c r="K5248" t="s">
        <v>42</v>
      </c>
      <c r="L5248" t="s">
        <v>38</v>
      </c>
      <c r="M5248">
        <v>0</v>
      </c>
    </row>
    <row r="5249" spans="11:13" x14ac:dyDescent="0.2">
      <c r="K5249" t="s">
        <v>41</v>
      </c>
      <c r="L5249" t="s">
        <v>37</v>
      </c>
      <c r="M5249">
        <v>0</v>
      </c>
    </row>
    <row r="5250" spans="11:13" x14ac:dyDescent="0.2">
      <c r="K5250" t="s">
        <v>41</v>
      </c>
      <c r="L5250" t="s">
        <v>37</v>
      </c>
      <c r="M5250">
        <v>0</v>
      </c>
    </row>
    <row r="5251" spans="11:13" x14ac:dyDescent="0.2">
      <c r="K5251" t="s">
        <v>42</v>
      </c>
      <c r="L5251" t="s">
        <v>38</v>
      </c>
      <c r="M5251">
        <v>0</v>
      </c>
    </row>
    <row r="5252" spans="11:13" x14ac:dyDescent="0.2">
      <c r="K5252" t="s">
        <v>42</v>
      </c>
      <c r="L5252" t="s">
        <v>38</v>
      </c>
      <c r="M5252">
        <v>0</v>
      </c>
    </row>
    <row r="5253" spans="11:13" x14ac:dyDescent="0.2">
      <c r="K5253" t="s">
        <v>42</v>
      </c>
      <c r="L5253" t="s">
        <v>38</v>
      </c>
      <c r="M5253">
        <v>0</v>
      </c>
    </row>
    <row r="5254" spans="11:13" x14ac:dyDescent="0.2">
      <c r="K5254" t="s">
        <v>42</v>
      </c>
      <c r="L5254" t="s">
        <v>38</v>
      </c>
      <c r="M5254">
        <v>0</v>
      </c>
    </row>
    <row r="5255" spans="11:13" x14ac:dyDescent="0.2">
      <c r="K5255" t="s">
        <v>41</v>
      </c>
      <c r="L5255" t="s">
        <v>37</v>
      </c>
      <c r="M5255">
        <v>0</v>
      </c>
    </row>
    <row r="5256" spans="11:13" x14ac:dyDescent="0.2">
      <c r="K5256" t="s">
        <v>41</v>
      </c>
      <c r="L5256" t="s">
        <v>37</v>
      </c>
      <c r="M5256">
        <v>0</v>
      </c>
    </row>
    <row r="5257" spans="11:13" x14ac:dyDescent="0.2">
      <c r="K5257" t="s">
        <v>41</v>
      </c>
      <c r="L5257" t="s">
        <v>37</v>
      </c>
      <c r="M5257">
        <v>0</v>
      </c>
    </row>
    <row r="5258" spans="11:13" x14ac:dyDescent="0.2">
      <c r="K5258" t="s">
        <v>41</v>
      </c>
      <c r="L5258" t="s">
        <v>37</v>
      </c>
      <c r="M5258">
        <v>0</v>
      </c>
    </row>
    <row r="5259" spans="11:13" x14ac:dyDescent="0.2">
      <c r="K5259" t="s">
        <v>41</v>
      </c>
      <c r="L5259" t="s">
        <v>37</v>
      </c>
      <c r="M5259">
        <v>0</v>
      </c>
    </row>
    <row r="5260" spans="11:13" x14ac:dyDescent="0.2">
      <c r="K5260" t="s">
        <v>41</v>
      </c>
      <c r="L5260" t="s">
        <v>37</v>
      </c>
      <c r="M5260">
        <v>0</v>
      </c>
    </row>
    <row r="5261" spans="11:13" x14ac:dyDescent="0.2">
      <c r="K5261" t="s">
        <v>41</v>
      </c>
      <c r="L5261" t="s">
        <v>37</v>
      </c>
      <c r="M5261">
        <v>0</v>
      </c>
    </row>
    <row r="5262" spans="11:13" x14ac:dyDescent="0.2">
      <c r="K5262" t="s">
        <v>41</v>
      </c>
      <c r="L5262" t="s">
        <v>37</v>
      </c>
      <c r="M5262">
        <v>0</v>
      </c>
    </row>
    <row r="5263" spans="11:13" x14ac:dyDescent="0.2">
      <c r="K5263" t="s">
        <v>41</v>
      </c>
      <c r="L5263" t="s">
        <v>37</v>
      </c>
      <c r="M5263">
        <v>0</v>
      </c>
    </row>
    <row r="5264" spans="11:13" x14ac:dyDescent="0.2">
      <c r="K5264" t="s">
        <v>42</v>
      </c>
      <c r="L5264" t="s">
        <v>38</v>
      </c>
      <c r="M5264">
        <v>0</v>
      </c>
    </row>
    <row r="5265" spans="11:13" x14ac:dyDescent="0.2">
      <c r="K5265" t="s">
        <v>41</v>
      </c>
      <c r="L5265" t="s">
        <v>37</v>
      </c>
      <c r="M5265">
        <v>0</v>
      </c>
    </row>
    <row r="5266" spans="11:13" x14ac:dyDescent="0.2">
      <c r="K5266" t="s">
        <v>41</v>
      </c>
      <c r="L5266" t="s">
        <v>37</v>
      </c>
      <c r="M5266">
        <v>0</v>
      </c>
    </row>
    <row r="5267" spans="11:13" x14ac:dyDescent="0.2">
      <c r="K5267" t="s">
        <v>42</v>
      </c>
      <c r="L5267" t="s">
        <v>38</v>
      </c>
      <c r="M5267">
        <v>0</v>
      </c>
    </row>
    <row r="5268" spans="11:13" x14ac:dyDescent="0.2">
      <c r="K5268" t="s">
        <v>42</v>
      </c>
      <c r="L5268" t="s">
        <v>38</v>
      </c>
      <c r="M5268">
        <v>0</v>
      </c>
    </row>
    <row r="5269" spans="11:13" x14ac:dyDescent="0.2">
      <c r="K5269" t="s">
        <v>42</v>
      </c>
      <c r="L5269" t="s">
        <v>38</v>
      </c>
      <c r="M5269">
        <v>0</v>
      </c>
    </row>
    <row r="5270" spans="11:13" x14ac:dyDescent="0.2">
      <c r="K5270" t="s">
        <v>41</v>
      </c>
      <c r="L5270" t="s">
        <v>37</v>
      </c>
      <c r="M5270">
        <v>0</v>
      </c>
    </row>
    <row r="5271" spans="11:13" x14ac:dyDescent="0.2">
      <c r="K5271" t="s">
        <v>42</v>
      </c>
      <c r="L5271" t="s">
        <v>38</v>
      </c>
      <c r="M5271">
        <v>0</v>
      </c>
    </row>
    <row r="5272" spans="11:13" x14ac:dyDescent="0.2">
      <c r="K5272" t="s">
        <v>41</v>
      </c>
      <c r="L5272" t="s">
        <v>37</v>
      </c>
      <c r="M5272">
        <v>0</v>
      </c>
    </row>
    <row r="5273" spans="11:13" x14ac:dyDescent="0.2">
      <c r="K5273" t="s">
        <v>41</v>
      </c>
      <c r="L5273" t="s">
        <v>37</v>
      </c>
      <c r="M5273">
        <v>0</v>
      </c>
    </row>
    <row r="5274" spans="11:13" x14ac:dyDescent="0.2">
      <c r="K5274" t="s">
        <v>42</v>
      </c>
      <c r="L5274" t="s">
        <v>38</v>
      </c>
      <c r="M5274">
        <v>0</v>
      </c>
    </row>
    <row r="5275" spans="11:13" x14ac:dyDescent="0.2">
      <c r="K5275" t="s">
        <v>41</v>
      </c>
      <c r="L5275" t="s">
        <v>37</v>
      </c>
      <c r="M5275">
        <v>0</v>
      </c>
    </row>
    <row r="5276" spans="11:13" x14ac:dyDescent="0.2">
      <c r="K5276" t="s">
        <v>42</v>
      </c>
      <c r="L5276" t="s">
        <v>38</v>
      </c>
      <c r="M5276">
        <v>0</v>
      </c>
    </row>
    <row r="5277" spans="11:13" x14ac:dyDescent="0.2">
      <c r="K5277" t="s">
        <v>42</v>
      </c>
      <c r="L5277" t="s">
        <v>38</v>
      </c>
      <c r="M5277">
        <v>0</v>
      </c>
    </row>
    <row r="5278" spans="11:13" x14ac:dyDescent="0.2">
      <c r="K5278" t="s">
        <v>42</v>
      </c>
      <c r="L5278" t="s">
        <v>38</v>
      </c>
      <c r="M5278">
        <v>0</v>
      </c>
    </row>
    <row r="5279" spans="11:13" x14ac:dyDescent="0.2">
      <c r="K5279" t="s">
        <v>41</v>
      </c>
      <c r="L5279" t="s">
        <v>37</v>
      </c>
      <c r="M5279">
        <v>1</v>
      </c>
    </row>
    <row r="5280" spans="11:13" x14ac:dyDescent="0.2">
      <c r="K5280" t="s">
        <v>41</v>
      </c>
      <c r="L5280" t="s">
        <v>37</v>
      </c>
      <c r="M5280">
        <v>0</v>
      </c>
    </row>
    <row r="5281" spans="11:13" x14ac:dyDescent="0.2">
      <c r="K5281" t="s">
        <v>42</v>
      </c>
      <c r="L5281" t="s">
        <v>38</v>
      </c>
      <c r="M5281">
        <v>0</v>
      </c>
    </row>
    <row r="5282" spans="11:13" x14ac:dyDescent="0.2">
      <c r="K5282" t="s">
        <v>41</v>
      </c>
      <c r="L5282" t="s">
        <v>37</v>
      </c>
      <c r="M5282">
        <v>0</v>
      </c>
    </row>
    <row r="5283" spans="11:13" x14ac:dyDescent="0.2">
      <c r="K5283" t="s">
        <v>41</v>
      </c>
      <c r="L5283" t="s">
        <v>37</v>
      </c>
      <c r="M5283">
        <v>0</v>
      </c>
    </row>
    <row r="5284" spans="11:13" x14ac:dyDescent="0.2">
      <c r="K5284" t="s">
        <v>42</v>
      </c>
      <c r="L5284" t="s">
        <v>38</v>
      </c>
      <c r="M5284">
        <v>0</v>
      </c>
    </row>
    <row r="5285" spans="11:13" x14ac:dyDescent="0.2">
      <c r="K5285" t="s">
        <v>42</v>
      </c>
      <c r="L5285" t="s">
        <v>38</v>
      </c>
      <c r="M5285">
        <v>0</v>
      </c>
    </row>
    <row r="5286" spans="11:13" x14ac:dyDescent="0.2">
      <c r="K5286" t="s">
        <v>42</v>
      </c>
      <c r="L5286" t="s">
        <v>38</v>
      </c>
      <c r="M5286">
        <v>0</v>
      </c>
    </row>
    <row r="5287" spans="11:13" x14ac:dyDescent="0.2">
      <c r="K5287" t="s">
        <v>41</v>
      </c>
      <c r="L5287" t="s">
        <v>37</v>
      </c>
      <c r="M5287">
        <v>0</v>
      </c>
    </row>
    <row r="5288" spans="11:13" x14ac:dyDescent="0.2">
      <c r="K5288" t="s">
        <v>41</v>
      </c>
      <c r="L5288" t="s">
        <v>37</v>
      </c>
      <c r="M5288">
        <v>0</v>
      </c>
    </row>
    <row r="5289" spans="11:13" x14ac:dyDescent="0.2">
      <c r="K5289" t="s">
        <v>42</v>
      </c>
      <c r="L5289" t="s">
        <v>38</v>
      </c>
      <c r="M5289">
        <v>0</v>
      </c>
    </row>
    <row r="5290" spans="11:13" x14ac:dyDescent="0.2">
      <c r="K5290" t="s">
        <v>41</v>
      </c>
      <c r="L5290" t="s">
        <v>37</v>
      </c>
      <c r="M5290">
        <v>0</v>
      </c>
    </row>
    <row r="5291" spans="11:13" x14ac:dyDescent="0.2">
      <c r="K5291" t="s">
        <v>42</v>
      </c>
      <c r="L5291" t="s">
        <v>38</v>
      </c>
      <c r="M5291">
        <v>0</v>
      </c>
    </row>
    <row r="5292" spans="11:13" x14ac:dyDescent="0.2">
      <c r="K5292" t="s">
        <v>41</v>
      </c>
      <c r="L5292" t="s">
        <v>37</v>
      </c>
      <c r="M5292">
        <v>0</v>
      </c>
    </row>
    <row r="5293" spans="11:13" x14ac:dyDescent="0.2">
      <c r="K5293" t="s">
        <v>42</v>
      </c>
      <c r="L5293" t="s">
        <v>38</v>
      </c>
      <c r="M5293">
        <v>0</v>
      </c>
    </row>
    <row r="5294" spans="11:13" x14ac:dyDescent="0.2">
      <c r="K5294" t="s">
        <v>42</v>
      </c>
      <c r="L5294" t="s">
        <v>38</v>
      </c>
      <c r="M5294">
        <v>0</v>
      </c>
    </row>
    <row r="5295" spans="11:13" x14ac:dyDescent="0.2">
      <c r="K5295" t="s">
        <v>41</v>
      </c>
      <c r="L5295" t="s">
        <v>37</v>
      </c>
      <c r="M5295">
        <v>0</v>
      </c>
    </row>
    <row r="5296" spans="11:13" x14ac:dyDescent="0.2">
      <c r="K5296" t="s">
        <v>41</v>
      </c>
      <c r="L5296" t="s">
        <v>37</v>
      </c>
      <c r="M5296">
        <v>0</v>
      </c>
    </row>
    <row r="5297" spans="11:13" x14ac:dyDescent="0.2">
      <c r="K5297" t="s">
        <v>42</v>
      </c>
      <c r="L5297" t="s">
        <v>38</v>
      </c>
      <c r="M5297">
        <v>0</v>
      </c>
    </row>
    <row r="5298" spans="11:13" x14ac:dyDescent="0.2">
      <c r="K5298" t="s">
        <v>41</v>
      </c>
      <c r="L5298" t="s">
        <v>37</v>
      </c>
      <c r="M5298">
        <v>0</v>
      </c>
    </row>
    <row r="5299" spans="11:13" x14ac:dyDescent="0.2">
      <c r="K5299" t="s">
        <v>42</v>
      </c>
      <c r="L5299" t="s">
        <v>38</v>
      </c>
      <c r="M5299">
        <v>0</v>
      </c>
    </row>
    <row r="5300" spans="11:13" x14ac:dyDescent="0.2">
      <c r="K5300" t="s">
        <v>42</v>
      </c>
      <c r="L5300" t="s">
        <v>38</v>
      </c>
      <c r="M5300">
        <v>0</v>
      </c>
    </row>
    <row r="5301" spans="11:13" x14ac:dyDescent="0.2">
      <c r="K5301" t="s">
        <v>42</v>
      </c>
      <c r="L5301" t="s">
        <v>38</v>
      </c>
      <c r="M5301">
        <v>0</v>
      </c>
    </row>
    <row r="5302" spans="11:13" x14ac:dyDescent="0.2">
      <c r="K5302" t="s">
        <v>42</v>
      </c>
      <c r="L5302" t="s">
        <v>38</v>
      </c>
      <c r="M5302">
        <v>0</v>
      </c>
    </row>
    <row r="5303" spans="11:13" x14ac:dyDescent="0.2">
      <c r="K5303" t="s">
        <v>41</v>
      </c>
      <c r="L5303" t="s">
        <v>37</v>
      </c>
      <c r="M5303">
        <v>0</v>
      </c>
    </row>
    <row r="5304" spans="11:13" x14ac:dyDescent="0.2">
      <c r="K5304" t="s">
        <v>42</v>
      </c>
      <c r="L5304" t="s">
        <v>38</v>
      </c>
      <c r="M5304">
        <v>0</v>
      </c>
    </row>
    <row r="5305" spans="11:13" x14ac:dyDescent="0.2">
      <c r="K5305" t="s">
        <v>41</v>
      </c>
      <c r="L5305" t="s">
        <v>37</v>
      </c>
      <c r="M5305">
        <v>0</v>
      </c>
    </row>
    <row r="5306" spans="11:13" x14ac:dyDescent="0.2">
      <c r="K5306" t="s">
        <v>41</v>
      </c>
      <c r="L5306" t="s">
        <v>37</v>
      </c>
      <c r="M5306">
        <v>0</v>
      </c>
    </row>
    <row r="5307" spans="11:13" x14ac:dyDescent="0.2">
      <c r="K5307" t="s">
        <v>42</v>
      </c>
      <c r="L5307" t="s">
        <v>38</v>
      </c>
      <c r="M5307">
        <v>0</v>
      </c>
    </row>
    <row r="5308" spans="11:13" x14ac:dyDescent="0.2">
      <c r="K5308" t="s">
        <v>41</v>
      </c>
      <c r="L5308" t="s">
        <v>37</v>
      </c>
      <c r="M5308">
        <v>0</v>
      </c>
    </row>
    <row r="5309" spans="11:13" x14ac:dyDescent="0.2">
      <c r="K5309" t="s">
        <v>42</v>
      </c>
      <c r="L5309" t="s">
        <v>38</v>
      </c>
      <c r="M5309">
        <v>0</v>
      </c>
    </row>
    <row r="5310" spans="11:13" x14ac:dyDescent="0.2">
      <c r="K5310" t="s">
        <v>42</v>
      </c>
      <c r="L5310" t="s">
        <v>38</v>
      </c>
      <c r="M5310">
        <v>0</v>
      </c>
    </row>
    <row r="5311" spans="11:13" x14ac:dyDescent="0.2">
      <c r="K5311" t="s">
        <v>41</v>
      </c>
      <c r="L5311" t="s">
        <v>37</v>
      </c>
      <c r="M5311">
        <v>0</v>
      </c>
    </row>
    <row r="5312" spans="11:13" x14ac:dyDescent="0.2">
      <c r="K5312" t="s">
        <v>41</v>
      </c>
      <c r="L5312" t="s">
        <v>37</v>
      </c>
      <c r="M5312">
        <v>0</v>
      </c>
    </row>
    <row r="5313" spans="11:13" x14ac:dyDescent="0.2">
      <c r="K5313" t="s">
        <v>41</v>
      </c>
      <c r="L5313" t="s">
        <v>37</v>
      </c>
      <c r="M5313">
        <v>0</v>
      </c>
    </row>
    <row r="5314" spans="11:13" x14ac:dyDescent="0.2">
      <c r="K5314" t="s">
        <v>41</v>
      </c>
      <c r="L5314" t="s">
        <v>37</v>
      </c>
      <c r="M5314">
        <v>0</v>
      </c>
    </row>
    <row r="5315" spans="11:13" x14ac:dyDescent="0.2">
      <c r="K5315" t="s">
        <v>42</v>
      </c>
      <c r="L5315" t="s">
        <v>38</v>
      </c>
      <c r="M5315">
        <v>0</v>
      </c>
    </row>
    <row r="5316" spans="11:13" x14ac:dyDescent="0.2">
      <c r="K5316" t="s">
        <v>41</v>
      </c>
      <c r="L5316" t="s">
        <v>37</v>
      </c>
      <c r="M5316">
        <v>0</v>
      </c>
    </row>
    <row r="5317" spans="11:13" x14ac:dyDescent="0.2">
      <c r="K5317" t="s">
        <v>41</v>
      </c>
      <c r="L5317" t="s">
        <v>37</v>
      </c>
      <c r="M5317">
        <v>0</v>
      </c>
    </row>
    <row r="5318" spans="11:13" x14ac:dyDescent="0.2">
      <c r="K5318" t="s">
        <v>41</v>
      </c>
      <c r="L5318" t="s">
        <v>37</v>
      </c>
      <c r="M5318">
        <v>0</v>
      </c>
    </row>
    <row r="5319" spans="11:13" x14ac:dyDescent="0.2">
      <c r="K5319" t="s">
        <v>41</v>
      </c>
      <c r="L5319" t="s">
        <v>37</v>
      </c>
      <c r="M5319">
        <v>0</v>
      </c>
    </row>
    <row r="5320" spans="11:13" x14ac:dyDescent="0.2">
      <c r="K5320" t="s">
        <v>41</v>
      </c>
      <c r="L5320" t="s">
        <v>37</v>
      </c>
      <c r="M5320">
        <v>0</v>
      </c>
    </row>
    <row r="5321" spans="11:13" x14ac:dyDescent="0.2">
      <c r="K5321" t="s">
        <v>41</v>
      </c>
      <c r="L5321" t="s">
        <v>37</v>
      </c>
      <c r="M5321">
        <v>0</v>
      </c>
    </row>
    <row r="5322" spans="11:13" x14ac:dyDescent="0.2">
      <c r="K5322" t="s">
        <v>42</v>
      </c>
      <c r="L5322" t="s">
        <v>38</v>
      </c>
      <c r="M5322">
        <v>0</v>
      </c>
    </row>
    <row r="5323" spans="11:13" x14ac:dyDescent="0.2">
      <c r="K5323" t="s">
        <v>42</v>
      </c>
      <c r="L5323" t="s">
        <v>38</v>
      </c>
      <c r="M5323">
        <v>0</v>
      </c>
    </row>
    <row r="5324" spans="11:13" x14ac:dyDescent="0.2">
      <c r="K5324" t="s">
        <v>42</v>
      </c>
      <c r="L5324" t="s">
        <v>38</v>
      </c>
      <c r="M5324">
        <v>0</v>
      </c>
    </row>
    <row r="5325" spans="11:13" x14ac:dyDescent="0.2">
      <c r="K5325" t="s">
        <v>41</v>
      </c>
      <c r="L5325" t="s">
        <v>37</v>
      </c>
      <c r="M5325">
        <v>0</v>
      </c>
    </row>
    <row r="5326" spans="11:13" x14ac:dyDescent="0.2">
      <c r="K5326" t="s">
        <v>42</v>
      </c>
      <c r="L5326" t="s">
        <v>38</v>
      </c>
      <c r="M5326">
        <v>0</v>
      </c>
    </row>
    <row r="5327" spans="11:13" x14ac:dyDescent="0.2">
      <c r="K5327" t="s">
        <v>42</v>
      </c>
      <c r="L5327" t="s">
        <v>38</v>
      </c>
      <c r="M5327">
        <v>0</v>
      </c>
    </row>
    <row r="5328" spans="11:13" x14ac:dyDescent="0.2">
      <c r="K5328" t="s">
        <v>41</v>
      </c>
      <c r="L5328" t="s">
        <v>37</v>
      </c>
      <c r="M5328">
        <v>0</v>
      </c>
    </row>
    <row r="5329" spans="11:13" x14ac:dyDescent="0.2">
      <c r="K5329" t="s">
        <v>42</v>
      </c>
      <c r="L5329" t="s">
        <v>38</v>
      </c>
      <c r="M5329">
        <v>0</v>
      </c>
    </row>
    <row r="5330" spans="11:13" x14ac:dyDescent="0.2">
      <c r="K5330" t="s">
        <v>42</v>
      </c>
      <c r="L5330" t="s">
        <v>38</v>
      </c>
      <c r="M5330">
        <v>0</v>
      </c>
    </row>
    <row r="5331" spans="11:13" x14ac:dyDescent="0.2">
      <c r="K5331" t="s">
        <v>42</v>
      </c>
      <c r="L5331" t="s">
        <v>38</v>
      </c>
      <c r="M5331">
        <v>0</v>
      </c>
    </row>
    <row r="5332" spans="11:13" x14ac:dyDescent="0.2">
      <c r="K5332" t="s">
        <v>42</v>
      </c>
      <c r="L5332" t="s">
        <v>38</v>
      </c>
      <c r="M5332">
        <v>0</v>
      </c>
    </row>
    <row r="5333" spans="11:13" x14ac:dyDescent="0.2">
      <c r="K5333" t="s">
        <v>42</v>
      </c>
      <c r="L5333" t="s">
        <v>38</v>
      </c>
      <c r="M5333">
        <v>0</v>
      </c>
    </row>
    <row r="5334" spans="11:13" x14ac:dyDescent="0.2">
      <c r="K5334" t="s">
        <v>42</v>
      </c>
      <c r="L5334" t="s">
        <v>38</v>
      </c>
      <c r="M5334">
        <v>0</v>
      </c>
    </row>
    <row r="5335" spans="11:13" x14ac:dyDescent="0.2">
      <c r="K5335" t="s">
        <v>41</v>
      </c>
      <c r="L5335" t="s">
        <v>37</v>
      </c>
      <c r="M5335">
        <v>0</v>
      </c>
    </row>
    <row r="5336" spans="11:13" x14ac:dyDescent="0.2">
      <c r="K5336" t="s">
        <v>42</v>
      </c>
      <c r="L5336" t="s">
        <v>38</v>
      </c>
      <c r="M5336">
        <v>0</v>
      </c>
    </row>
    <row r="5337" spans="11:13" x14ac:dyDescent="0.2">
      <c r="K5337" t="s">
        <v>42</v>
      </c>
      <c r="L5337" t="s">
        <v>38</v>
      </c>
      <c r="M5337">
        <v>0</v>
      </c>
    </row>
    <row r="5338" spans="11:13" x14ac:dyDescent="0.2">
      <c r="K5338" t="s">
        <v>41</v>
      </c>
      <c r="L5338" t="s">
        <v>37</v>
      </c>
      <c r="M5338">
        <v>0</v>
      </c>
    </row>
    <row r="5339" spans="11:13" x14ac:dyDescent="0.2">
      <c r="K5339" t="s">
        <v>42</v>
      </c>
      <c r="L5339" t="s">
        <v>38</v>
      </c>
      <c r="M5339">
        <v>0</v>
      </c>
    </row>
    <row r="5340" spans="11:13" x14ac:dyDescent="0.2">
      <c r="K5340" t="s">
        <v>41</v>
      </c>
      <c r="L5340" t="s">
        <v>37</v>
      </c>
      <c r="M5340">
        <v>0</v>
      </c>
    </row>
    <row r="5341" spans="11:13" x14ac:dyDescent="0.2">
      <c r="K5341" t="s">
        <v>41</v>
      </c>
      <c r="L5341" t="s">
        <v>37</v>
      </c>
      <c r="M5341">
        <v>0</v>
      </c>
    </row>
    <row r="5342" spans="11:13" x14ac:dyDescent="0.2">
      <c r="K5342" t="s">
        <v>42</v>
      </c>
      <c r="L5342" t="s">
        <v>38</v>
      </c>
      <c r="M5342">
        <v>0</v>
      </c>
    </row>
    <row r="5343" spans="11:13" x14ac:dyDescent="0.2">
      <c r="K5343" t="s">
        <v>41</v>
      </c>
      <c r="L5343" t="s">
        <v>37</v>
      </c>
      <c r="M5343">
        <v>0</v>
      </c>
    </row>
    <row r="5344" spans="11:13" x14ac:dyDescent="0.2">
      <c r="K5344" t="s">
        <v>41</v>
      </c>
      <c r="L5344" t="s">
        <v>37</v>
      </c>
      <c r="M5344">
        <v>0</v>
      </c>
    </row>
    <row r="5345" spans="11:13" x14ac:dyDescent="0.2">
      <c r="K5345" t="s">
        <v>42</v>
      </c>
      <c r="L5345" t="s">
        <v>38</v>
      </c>
      <c r="M5345">
        <v>0</v>
      </c>
    </row>
    <row r="5346" spans="11:13" x14ac:dyDescent="0.2">
      <c r="K5346" t="s">
        <v>42</v>
      </c>
      <c r="L5346" t="s">
        <v>38</v>
      </c>
      <c r="M5346">
        <v>0</v>
      </c>
    </row>
    <row r="5347" spans="11:13" x14ac:dyDescent="0.2">
      <c r="K5347" t="s">
        <v>42</v>
      </c>
      <c r="L5347" t="s">
        <v>38</v>
      </c>
      <c r="M5347">
        <v>0</v>
      </c>
    </row>
    <row r="5348" spans="11:13" x14ac:dyDescent="0.2">
      <c r="K5348" t="s">
        <v>41</v>
      </c>
      <c r="L5348" t="s">
        <v>37</v>
      </c>
      <c r="M5348">
        <v>0</v>
      </c>
    </row>
    <row r="5349" spans="11:13" x14ac:dyDescent="0.2">
      <c r="K5349" t="s">
        <v>42</v>
      </c>
      <c r="L5349" t="s">
        <v>38</v>
      </c>
      <c r="M5349">
        <v>0</v>
      </c>
    </row>
    <row r="5350" spans="11:13" x14ac:dyDescent="0.2">
      <c r="K5350" t="s">
        <v>42</v>
      </c>
      <c r="L5350" t="s">
        <v>38</v>
      </c>
      <c r="M5350">
        <v>0</v>
      </c>
    </row>
    <row r="5351" spans="11:13" x14ac:dyDescent="0.2">
      <c r="K5351" t="s">
        <v>41</v>
      </c>
      <c r="L5351" t="s">
        <v>37</v>
      </c>
      <c r="M5351">
        <v>0</v>
      </c>
    </row>
    <row r="5352" spans="11:13" x14ac:dyDescent="0.2">
      <c r="K5352" t="s">
        <v>42</v>
      </c>
      <c r="L5352" t="s">
        <v>38</v>
      </c>
      <c r="M5352">
        <v>0</v>
      </c>
    </row>
    <row r="5353" spans="11:13" x14ac:dyDescent="0.2">
      <c r="K5353" t="s">
        <v>42</v>
      </c>
      <c r="L5353" t="s">
        <v>38</v>
      </c>
      <c r="M5353">
        <v>0</v>
      </c>
    </row>
    <row r="5354" spans="11:13" x14ac:dyDescent="0.2">
      <c r="K5354" t="s">
        <v>41</v>
      </c>
      <c r="L5354" t="s">
        <v>37</v>
      </c>
      <c r="M5354">
        <v>0</v>
      </c>
    </row>
    <row r="5355" spans="11:13" x14ac:dyDescent="0.2">
      <c r="K5355" t="s">
        <v>41</v>
      </c>
      <c r="L5355" t="s">
        <v>37</v>
      </c>
      <c r="M5355">
        <v>0</v>
      </c>
    </row>
    <row r="5356" spans="11:13" x14ac:dyDescent="0.2">
      <c r="K5356" t="s">
        <v>41</v>
      </c>
      <c r="L5356" t="s">
        <v>37</v>
      </c>
      <c r="M5356">
        <v>0</v>
      </c>
    </row>
    <row r="5357" spans="11:13" x14ac:dyDescent="0.2">
      <c r="K5357" t="s">
        <v>42</v>
      </c>
      <c r="L5357" t="s">
        <v>38</v>
      </c>
      <c r="M5357">
        <v>0</v>
      </c>
    </row>
    <row r="5358" spans="11:13" x14ac:dyDescent="0.2">
      <c r="K5358" t="s">
        <v>41</v>
      </c>
      <c r="L5358" t="s">
        <v>37</v>
      </c>
      <c r="M5358">
        <v>0</v>
      </c>
    </row>
    <row r="5359" spans="11:13" x14ac:dyDescent="0.2">
      <c r="K5359" t="s">
        <v>41</v>
      </c>
      <c r="L5359" t="s">
        <v>37</v>
      </c>
      <c r="M5359">
        <v>0</v>
      </c>
    </row>
    <row r="5360" spans="11:13" x14ac:dyDescent="0.2">
      <c r="K5360" t="s">
        <v>41</v>
      </c>
      <c r="L5360" t="s">
        <v>37</v>
      </c>
      <c r="M5360">
        <v>0</v>
      </c>
    </row>
    <row r="5361" spans="11:13" x14ac:dyDescent="0.2">
      <c r="K5361" t="s">
        <v>42</v>
      </c>
      <c r="L5361" t="s">
        <v>38</v>
      </c>
      <c r="M5361">
        <v>0</v>
      </c>
    </row>
    <row r="5362" spans="11:13" x14ac:dyDescent="0.2">
      <c r="K5362" t="s">
        <v>42</v>
      </c>
      <c r="L5362" t="s">
        <v>38</v>
      </c>
      <c r="M5362">
        <v>0</v>
      </c>
    </row>
    <row r="5363" spans="11:13" x14ac:dyDescent="0.2">
      <c r="K5363" t="s">
        <v>41</v>
      </c>
      <c r="L5363" t="s">
        <v>37</v>
      </c>
      <c r="M5363">
        <v>0</v>
      </c>
    </row>
    <row r="5364" spans="11:13" x14ac:dyDescent="0.2">
      <c r="K5364" t="s">
        <v>42</v>
      </c>
      <c r="L5364" t="s">
        <v>38</v>
      </c>
      <c r="M5364">
        <v>0</v>
      </c>
    </row>
    <row r="5365" spans="11:13" x14ac:dyDescent="0.2">
      <c r="K5365" t="s">
        <v>41</v>
      </c>
      <c r="L5365" t="s">
        <v>37</v>
      </c>
      <c r="M5365">
        <v>0</v>
      </c>
    </row>
    <row r="5366" spans="11:13" x14ac:dyDescent="0.2">
      <c r="K5366" t="s">
        <v>42</v>
      </c>
      <c r="L5366" t="s">
        <v>38</v>
      </c>
      <c r="M5366">
        <v>0</v>
      </c>
    </row>
    <row r="5367" spans="11:13" x14ac:dyDescent="0.2">
      <c r="K5367" t="s">
        <v>42</v>
      </c>
      <c r="L5367" t="s">
        <v>38</v>
      </c>
      <c r="M5367">
        <v>0</v>
      </c>
    </row>
    <row r="5368" spans="11:13" x14ac:dyDescent="0.2">
      <c r="K5368" t="s">
        <v>41</v>
      </c>
      <c r="L5368" t="s">
        <v>37</v>
      </c>
      <c r="M5368">
        <v>0</v>
      </c>
    </row>
    <row r="5369" spans="11:13" x14ac:dyDescent="0.2">
      <c r="K5369" t="s">
        <v>41</v>
      </c>
      <c r="L5369" t="s">
        <v>37</v>
      </c>
      <c r="M5369">
        <v>0</v>
      </c>
    </row>
    <row r="5370" spans="11:13" x14ac:dyDescent="0.2">
      <c r="K5370" t="s">
        <v>42</v>
      </c>
      <c r="L5370" t="s">
        <v>38</v>
      </c>
      <c r="M5370">
        <v>0</v>
      </c>
    </row>
    <row r="5371" spans="11:13" x14ac:dyDescent="0.2">
      <c r="K5371" t="s">
        <v>41</v>
      </c>
      <c r="L5371" t="s">
        <v>37</v>
      </c>
      <c r="M5371">
        <v>0</v>
      </c>
    </row>
    <row r="5372" spans="11:13" x14ac:dyDescent="0.2">
      <c r="K5372" t="s">
        <v>42</v>
      </c>
      <c r="L5372" t="s">
        <v>38</v>
      </c>
      <c r="M5372">
        <v>0</v>
      </c>
    </row>
    <row r="5373" spans="11:13" x14ac:dyDescent="0.2">
      <c r="K5373" t="s">
        <v>42</v>
      </c>
      <c r="L5373" t="s">
        <v>38</v>
      </c>
      <c r="M5373">
        <v>0</v>
      </c>
    </row>
    <row r="5374" spans="11:13" x14ac:dyDescent="0.2">
      <c r="K5374" t="s">
        <v>41</v>
      </c>
      <c r="L5374" t="s">
        <v>37</v>
      </c>
      <c r="M5374">
        <v>0</v>
      </c>
    </row>
    <row r="5375" spans="11:13" x14ac:dyDescent="0.2">
      <c r="K5375" t="s">
        <v>41</v>
      </c>
      <c r="L5375" t="s">
        <v>37</v>
      </c>
      <c r="M5375">
        <v>0</v>
      </c>
    </row>
    <row r="5376" spans="11:13" x14ac:dyDescent="0.2">
      <c r="K5376" t="s">
        <v>42</v>
      </c>
      <c r="L5376" t="s">
        <v>38</v>
      </c>
      <c r="M5376">
        <v>0</v>
      </c>
    </row>
    <row r="5377" spans="11:13" x14ac:dyDescent="0.2">
      <c r="K5377" t="s">
        <v>42</v>
      </c>
      <c r="L5377" t="s">
        <v>38</v>
      </c>
      <c r="M5377">
        <v>0</v>
      </c>
    </row>
    <row r="5378" spans="11:13" x14ac:dyDescent="0.2">
      <c r="K5378" t="s">
        <v>41</v>
      </c>
      <c r="L5378" t="s">
        <v>37</v>
      </c>
      <c r="M5378">
        <v>0</v>
      </c>
    </row>
    <row r="5379" spans="11:13" x14ac:dyDescent="0.2">
      <c r="K5379" t="s">
        <v>42</v>
      </c>
      <c r="L5379" t="s">
        <v>38</v>
      </c>
      <c r="M5379">
        <v>0</v>
      </c>
    </row>
    <row r="5380" spans="11:13" x14ac:dyDescent="0.2">
      <c r="K5380" t="s">
        <v>41</v>
      </c>
      <c r="L5380" t="s">
        <v>37</v>
      </c>
      <c r="M5380">
        <v>0</v>
      </c>
    </row>
    <row r="5381" spans="11:13" x14ac:dyDescent="0.2">
      <c r="K5381" t="s">
        <v>42</v>
      </c>
      <c r="L5381" t="s">
        <v>38</v>
      </c>
      <c r="M5381">
        <v>0</v>
      </c>
    </row>
    <row r="5382" spans="11:13" x14ac:dyDescent="0.2">
      <c r="K5382" t="s">
        <v>41</v>
      </c>
      <c r="L5382" t="s">
        <v>37</v>
      </c>
      <c r="M5382">
        <v>0</v>
      </c>
    </row>
    <row r="5383" spans="11:13" x14ac:dyDescent="0.2">
      <c r="K5383" t="s">
        <v>42</v>
      </c>
      <c r="L5383" t="s">
        <v>38</v>
      </c>
      <c r="M5383">
        <v>0</v>
      </c>
    </row>
    <row r="5384" spans="11:13" x14ac:dyDescent="0.2">
      <c r="K5384" t="s">
        <v>41</v>
      </c>
      <c r="L5384" t="s">
        <v>37</v>
      </c>
      <c r="M5384">
        <v>0</v>
      </c>
    </row>
    <row r="5385" spans="11:13" x14ac:dyDescent="0.2">
      <c r="K5385" t="s">
        <v>42</v>
      </c>
      <c r="L5385" t="s">
        <v>38</v>
      </c>
      <c r="M5385">
        <v>0</v>
      </c>
    </row>
    <row r="5386" spans="11:13" x14ac:dyDescent="0.2">
      <c r="K5386" t="s">
        <v>42</v>
      </c>
      <c r="L5386" t="s">
        <v>38</v>
      </c>
      <c r="M5386">
        <v>0</v>
      </c>
    </row>
    <row r="5387" spans="11:13" x14ac:dyDescent="0.2">
      <c r="K5387" t="s">
        <v>41</v>
      </c>
      <c r="L5387" t="s">
        <v>37</v>
      </c>
      <c r="M5387">
        <v>0</v>
      </c>
    </row>
    <row r="5388" spans="11:13" x14ac:dyDescent="0.2">
      <c r="K5388" t="s">
        <v>42</v>
      </c>
      <c r="L5388" t="s">
        <v>38</v>
      </c>
      <c r="M5388">
        <v>0</v>
      </c>
    </row>
    <row r="5389" spans="11:13" x14ac:dyDescent="0.2">
      <c r="K5389" t="s">
        <v>42</v>
      </c>
      <c r="L5389" t="s">
        <v>38</v>
      </c>
      <c r="M5389">
        <v>0</v>
      </c>
    </row>
    <row r="5390" spans="11:13" x14ac:dyDescent="0.2">
      <c r="K5390" t="s">
        <v>42</v>
      </c>
      <c r="L5390" t="s">
        <v>38</v>
      </c>
      <c r="M5390">
        <v>0</v>
      </c>
    </row>
    <row r="5391" spans="11:13" x14ac:dyDescent="0.2">
      <c r="K5391" t="s">
        <v>42</v>
      </c>
      <c r="L5391" t="s">
        <v>38</v>
      </c>
      <c r="M5391">
        <v>0</v>
      </c>
    </row>
    <row r="5392" spans="11:13" x14ac:dyDescent="0.2">
      <c r="K5392" t="s">
        <v>42</v>
      </c>
      <c r="L5392" t="s">
        <v>38</v>
      </c>
      <c r="M5392">
        <v>1</v>
      </c>
    </row>
    <row r="5393" spans="11:13" x14ac:dyDescent="0.2">
      <c r="K5393" t="s">
        <v>42</v>
      </c>
      <c r="L5393" t="s">
        <v>38</v>
      </c>
      <c r="M5393">
        <v>0</v>
      </c>
    </row>
    <row r="5394" spans="11:13" x14ac:dyDescent="0.2">
      <c r="K5394" t="s">
        <v>41</v>
      </c>
      <c r="L5394" t="s">
        <v>37</v>
      </c>
      <c r="M5394">
        <v>0</v>
      </c>
    </row>
    <row r="5395" spans="11:13" x14ac:dyDescent="0.2">
      <c r="K5395" t="s">
        <v>42</v>
      </c>
      <c r="L5395" t="s">
        <v>38</v>
      </c>
      <c r="M5395">
        <v>0</v>
      </c>
    </row>
    <row r="5396" spans="11:13" x14ac:dyDescent="0.2">
      <c r="K5396" t="s">
        <v>42</v>
      </c>
      <c r="L5396" t="s">
        <v>38</v>
      </c>
      <c r="M5396">
        <v>0</v>
      </c>
    </row>
    <row r="5397" spans="11:13" x14ac:dyDescent="0.2">
      <c r="K5397" t="s">
        <v>41</v>
      </c>
      <c r="L5397" t="s">
        <v>37</v>
      </c>
      <c r="M5397">
        <v>0</v>
      </c>
    </row>
    <row r="5398" spans="11:13" x14ac:dyDescent="0.2">
      <c r="K5398" t="s">
        <v>42</v>
      </c>
      <c r="L5398" t="s">
        <v>38</v>
      </c>
      <c r="M5398">
        <v>0</v>
      </c>
    </row>
    <row r="5399" spans="11:13" x14ac:dyDescent="0.2">
      <c r="K5399" t="s">
        <v>41</v>
      </c>
      <c r="L5399" t="s">
        <v>37</v>
      </c>
      <c r="M5399">
        <v>0</v>
      </c>
    </row>
    <row r="5400" spans="11:13" x14ac:dyDescent="0.2">
      <c r="K5400" t="s">
        <v>41</v>
      </c>
      <c r="L5400" t="s">
        <v>37</v>
      </c>
      <c r="M5400">
        <v>0</v>
      </c>
    </row>
    <row r="5401" spans="11:13" x14ac:dyDescent="0.2">
      <c r="K5401" t="s">
        <v>41</v>
      </c>
      <c r="L5401" t="s">
        <v>37</v>
      </c>
      <c r="M5401">
        <v>0</v>
      </c>
    </row>
    <row r="5402" spans="11:13" x14ac:dyDescent="0.2">
      <c r="K5402" t="s">
        <v>41</v>
      </c>
      <c r="L5402" t="s">
        <v>37</v>
      </c>
      <c r="M5402">
        <v>0</v>
      </c>
    </row>
    <row r="5403" spans="11:13" x14ac:dyDescent="0.2">
      <c r="K5403" t="s">
        <v>42</v>
      </c>
      <c r="L5403" t="s">
        <v>38</v>
      </c>
      <c r="M5403">
        <v>0</v>
      </c>
    </row>
    <row r="5404" spans="11:13" x14ac:dyDescent="0.2">
      <c r="K5404" t="s">
        <v>41</v>
      </c>
      <c r="L5404" t="s">
        <v>37</v>
      </c>
      <c r="M5404">
        <v>0</v>
      </c>
    </row>
    <row r="5405" spans="11:13" x14ac:dyDescent="0.2">
      <c r="K5405" t="s">
        <v>42</v>
      </c>
      <c r="L5405" t="s">
        <v>38</v>
      </c>
      <c r="M5405">
        <v>1</v>
      </c>
    </row>
    <row r="5406" spans="11:13" x14ac:dyDescent="0.2">
      <c r="K5406" t="s">
        <v>41</v>
      </c>
      <c r="L5406" t="s">
        <v>37</v>
      </c>
      <c r="M5406">
        <v>0</v>
      </c>
    </row>
    <row r="5407" spans="11:13" x14ac:dyDescent="0.2">
      <c r="K5407" t="s">
        <v>42</v>
      </c>
      <c r="L5407" t="s">
        <v>38</v>
      </c>
      <c r="M5407">
        <v>0</v>
      </c>
    </row>
    <row r="5408" spans="11:13" x14ac:dyDescent="0.2">
      <c r="K5408" t="s">
        <v>42</v>
      </c>
      <c r="L5408" t="s">
        <v>38</v>
      </c>
      <c r="M5408">
        <v>0</v>
      </c>
    </row>
    <row r="5409" spans="11:13" x14ac:dyDescent="0.2">
      <c r="K5409" t="s">
        <v>42</v>
      </c>
      <c r="L5409" t="s">
        <v>38</v>
      </c>
      <c r="M5409">
        <v>1</v>
      </c>
    </row>
    <row r="5410" spans="11:13" x14ac:dyDescent="0.2">
      <c r="K5410" t="s">
        <v>42</v>
      </c>
      <c r="L5410" t="s">
        <v>38</v>
      </c>
      <c r="M5410">
        <v>1</v>
      </c>
    </row>
    <row r="5411" spans="11:13" x14ac:dyDescent="0.2">
      <c r="K5411" t="s">
        <v>41</v>
      </c>
      <c r="L5411" t="s">
        <v>37</v>
      </c>
      <c r="M5411">
        <v>0</v>
      </c>
    </row>
    <row r="5412" spans="11:13" x14ac:dyDescent="0.2">
      <c r="K5412" t="s">
        <v>42</v>
      </c>
      <c r="L5412" t="s">
        <v>38</v>
      </c>
      <c r="M5412">
        <v>0</v>
      </c>
    </row>
    <row r="5413" spans="11:13" x14ac:dyDescent="0.2">
      <c r="K5413" t="s">
        <v>41</v>
      </c>
      <c r="L5413" t="s">
        <v>37</v>
      </c>
      <c r="M5413">
        <v>0</v>
      </c>
    </row>
    <row r="5414" spans="11:13" x14ac:dyDescent="0.2">
      <c r="K5414" t="s">
        <v>41</v>
      </c>
      <c r="L5414" t="s">
        <v>37</v>
      </c>
      <c r="M5414">
        <v>1</v>
      </c>
    </row>
    <row r="5415" spans="11:13" x14ac:dyDescent="0.2">
      <c r="K5415" t="s">
        <v>42</v>
      </c>
      <c r="L5415" t="s">
        <v>38</v>
      </c>
      <c r="M5415">
        <v>0</v>
      </c>
    </row>
    <row r="5416" spans="11:13" x14ac:dyDescent="0.2">
      <c r="K5416" t="s">
        <v>41</v>
      </c>
      <c r="L5416" t="s">
        <v>37</v>
      </c>
      <c r="M5416">
        <v>0</v>
      </c>
    </row>
    <row r="5417" spans="11:13" x14ac:dyDescent="0.2">
      <c r="K5417" t="s">
        <v>41</v>
      </c>
      <c r="L5417" t="s">
        <v>37</v>
      </c>
      <c r="M5417">
        <v>0</v>
      </c>
    </row>
    <row r="5418" spans="11:13" x14ac:dyDescent="0.2">
      <c r="K5418" t="s">
        <v>41</v>
      </c>
      <c r="L5418" t="s">
        <v>37</v>
      </c>
      <c r="M5418">
        <v>0</v>
      </c>
    </row>
    <row r="5419" spans="11:13" x14ac:dyDescent="0.2">
      <c r="K5419" t="s">
        <v>41</v>
      </c>
      <c r="L5419" t="s">
        <v>37</v>
      </c>
      <c r="M5419">
        <v>0</v>
      </c>
    </row>
    <row r="5420" spans="11:13" x14ac:dyDescent="0.2">
      <c r="K5420" t="s">
        <v>41</v>
      </c>
      <c r="L5420" t="s">
        <v>37</v>
      </c>
      <c r="M5420">
        <v>0</v>
      </c>
    </row>
    <row r="5421" spans="11:13" x14ac:dyDescent="0.2">
      <c r="K5421" t="s">
        <v>42</v>
      </c>
      <c r="L5421" t="s">
        <v>38</v>
      </c>
      <c r="M5421">
        <v>0</v>
      </c>
    </row>
    <row r="5422" spans="11:13" x14ac:dyDescent="0.2">
      <c r="K5422" t="s">
        <v>42</v>
      </c>
      <c r="L5422" t="s">
        <v>38</v>
      </c>
      <c r="M5422">
        <v>1</v>
      </c>
    </row>
    <row r="5423" spans="11:13" x14ac:dyDescent="0.2">
      <c r="K5423" t="s">
        <v>41</v>
      </c>
      <c r="L5423" t="s">
        <v>37</v>
      </c>
      <c r="M5423">
        <v>0</v>
      </c>
    </row>
    <row r="5424" spans="11:13" x14ac:dyDescent="0.2">
      <c r="K5424" t="s">
        <v>42</v>
      </c>
      <c r="L5424" t="s">
        <v>38</v>
      </c>
      <c r="M5424">
        <v>0</v>
      </c>
    </row>
    <row r="5425" spans="11:13" x14ac:dyDescent="0.2">
      <c r="K5425" t="s">
        <v>41</v>
      </c>
      <c r="L5425" t="s">
        <v>37</v>
      </c>
      <c r="M5425">
        <v>0</v>
      </c>
    </row>
    <row r="5426" spans="11:13" x14ac:dyDescent="0.2">
      <c r="K5426" t="s">
        <v>42</v>
      </c>
      <c r="L5426" t="s">
        <v>38</v>
      </c>
      <c r="M5426">
        <v>0</v>
      </c>
    </row>
    <row r="5427" spans="11:13" x14ac:dyDescent="0.2">
      <c r="K5427" t="s">
        <v>42</v>
      </c>
      <c r="L5427" t="s">
        <v>38</v>
      </c>
      <c r="M5427">
        <v>0</v>
      </c>
    </row>
    <row r="5428" spans="11:13" x14ac:dyDescent="0.2">
      <c r="K5428" t="s">
        <v>41</v>
      </c>
      <c r="L5428" t="s">
        <v>37</v>
      </c>
      <c r="M5428">
        <v>0</v>
      </c>
    </row>
    <row r="5429" spans="11:13" x14ac:dyDescent="0.2">
      <c r="K5429" t="s">
        <v>42</v>
      </c>
      <c r="L5429" t="s">
        <v>38</v>
      </c>
      <c r="M5429">
        <v>0</v>
      </c>
    </row>
    <row r="5430" spans="11:13" x14ac:dyDescent="0.2">
      <c r="K5430" t="s">
        <v>42</v>
      </c>
      <c r="L5430" t="s">
        <v>38</v>
      </c>
      <c r="M5430">
        <v>0</v>
      </c>
    </row>
    <row r="5431" spans="11:13" x14ac:dyDescent="0.2">
      <c r="K5431" t="s">
        <v>42</v>
      </c>
      <c r="L5431" t="s">
        <v>38</v>
      </c>
      <c r="M5431">
        <v>0</v>
      </c>
    </row>
    <row r="5432" spans="11:13" x14ac:dyDescent="0.2">
      <c r="K5432" t="s">
        <v>41</v>
      </c>
      <c r="L5432" t="s">
        <v>37</v>
      </c>
      <c r="M5432">
        <v>0</v>
      </c>
    </row>
    <row r="5433" spans="11:13" x14ac:dyDescent="0.2">
      <c r="K5433" t="s">
        <v>42</v>
      </c>
      <c r="L5433" t="s">
        <v>38</v>
      </c>
      <c r="M5433">
        <v>0</v>
      </c>
    </row>
    <row r="5434" spans="11:13" x14ac:dyDescent="0.2">
      <c r="K5434" t="s">
        <v>41</v>
      </c>
      <c r="L5434" t="s">
        <v>37</v>
      </c>
      <c r="M5434">
        <v>0</v>
      </c>
    </row>
    <row r="5435" spans="11:13" x14ac:dyDescent="0.2">
      <c r="K5435" t="s">
        <v>41</v>
      </c>
      <c r="L5435" t="s">
        <v>37</v>
      </c>
      <c r="M5435">
        <v>0</v>
      </c>
    </row>
    <row r="5436" spans="11:13" x14ac:dyDescent="0.2">
      <c r="K5436" t="s">
        <v>41</v>
      </c>
      <c r="L5436" t="s">
        <v>37</v>
      </c>
      <c r="M5436">
        <v>0</v>
      </c>
    </row>
    <row r="5437" spans="11:13" x14ac:dyDescent="0.2">
      <c r="K5437" t="s">
        <v>41</v>
      </c>
      <c r="L5437" t="s">
        <v>37</v>
      </c>
      <c r="M5437">
        <v>0</v>
      </c>
    </row>
    <row r="5438" spans="11:13" x14ac:dyDescent="0.2">
      <c r="K5438" t="s">
        <v>41</v>
      </c>
      <c r="L5438" t="s">
        <v>37</v>
      </c>
      <c r="M5438">
        <v>0</v>
      </c>
    </row>
    <row r="5439" spans="11:13" x14ac:dyDescent="0.2">
      <c r="K5439" t="s">
        <v>42</v>
      </c>
      <c r="L5439" t="s">
        <v>38</v>
      </c>
      <c r="M5439">
        <v>0</v>
      </c>
    </row>
    <row r="5440" spans="11:13" x14ac:dyDescent="0.2">
      <c r="K5440" t="s">
        <v>42</v>
      </c>
      <c r="L5440" t="s">
        <v>38</v>
      </c>
      <c r="M5440">
        <v>0</v>
      </c>
    </row>
    <row r="5441" spans="11:13" x14ac:dyDescent="0.2">
      <c r="K5441" t="s">
        <v>42</v>
      </c>
      <c r="L5441" t="s">
        <v>38</v>
      </c>
      <c r="M5441">
        <v>0</v>
      </c>
    </row>
    <row r="5442" spans="11:13" x14ac:dyDescent="0.2">
      <c r="K5442" t="s">
        <v>41</v>
      </c>
      <c r="L5442" t="s">
        <v>37</v>
      </c>
      <c r="M5442">
        <v>0</v>
      </c>
    </row>
    <row r="5443" spans="11:13" x14ac:dyDescent="0.2">
      <c r="K5443" t="s">
        <v>42</v>
      </c>
      <c r="L5443" t="s">
        <v>38</v>
      </c>
      <c r="M5443">
        <v>0</v>
      </c>
    </row>
    <row r="5444" spans="11:13" x14ac:dyDescent="0.2">
      <c r="K5444" t="s">
        <v>41</v>
      </c>
      <c r="L5444" t="s">
        <v>37</v>
      </c>
      <c r="M5444">
        <v>0</v>
      </c>
    </row>
    <row r="5445" spans="11:13" x14ac:dyDescent="0.2">
      <c r="K5445" t="s">
        <v>42</v>
      </c>
      <c r="L5445" t="s">
        <v>38</v>
      </c>
      <c r="M5445">
        <v>0</v>
      </c>
    </row>
    <row r="5446" spans="11:13" x14ac:dyDescent="0.2">
      <c r="K5446" t="s">
        <v>42</v>
      </c>
      <c r="L5446" t="s">
        <v>38</v>
      </c>
      <c r="M5446">
        <v>1</v>
      </c>
    </row>
    <row r="5447" spans="11:13" x14ac:dyDescent="0.2">
      <c r="K5447" t="s">
        <v>41</v>
      </c>
      <c r="L5447" t="s">
        <v>37</v>
      </c>
      <c r="M5447">
        <v>0</v>
      </c>
    </row>
    <row r="5448" spans="11:13" x14ac:dyDescent="0.2">
      <c r="K5448" t="s">
        <v>41</v>
      </c>
      <c r="L5448" t="s">
        <v>37</v>
      </c>
      <c r="M5448">
        <v>0</v>
      </c>
    </row>
    <row r="5449" spans="11:13" x14ac:dyDescent="0.2">
      <c r="K5449" t="s">
        <v>41</v>
      </c>
      <c r="L5449" t="s">
        <v>37</v>
      </c>
      <c r="M5449">
        <v>0</v>
      </c>
    </row>
    <row r="5450" spans="11:13" x14ac:dyDescent="0.2">
      <c r="K5450" t="s">
        <v>42</v>
      </c>
      <c r="L5450" t="s">
        <v>38</v>
      </c>
      <c r="M5450">
        <v>0</v>
      </c>
    </row>
    <row r="5451" spans="11:13" x14ac:dyDescent="0.2">
      <c r="K5451" t="s">
        <v>42</v>
      </c>
      <c r="L5451" t="s">
        <v>38</v>
      </c>
      <c r="M5451">
        <v>0</v>
      </c>
    </row>
    <row r="5452" spans="11:13" x14ac:dyDescent="0.2">
      <c r="K5452" t="s">
        <v>42</v>
      </c>
      <c r="L5452" t="s">
        <v>38</v>
      </c>
      <c r="M5452">
        <v>0</v>
      </c>
    </row>
    <row r="5453" spans="11:13" x14ac:dyDescent="0.2">
      <c r="K5453" t="s">
        <v>41</v>
      </c>
      <c r="L5453" t="s">
        <v>37</v>
      </c>
      <c r="M5453">
        <v>0</v>
      </c>
    </row>
    <row r="5454" spans="11:13" x14ac:dyDescent="0.2">
      <c r="K5454" t="s">
        <v>42</v>
      </c>
      <c r="L5454" t="s">
        <v>38</v>
      </c>
      <c r="M5454">
        <v>0</v>
      </c>
    </row>
    <row r="5455" spans="11:13" x14ac:dyDescent="0.2">
      <c r="K5455" t="s">
        <v>41</v>
      </c>
      <c r="L5455" t="s">
        <v>37</v>
      </c>
      <c r="M5455">
        <v>0</v>
      </c>
    </row>
    <row r="5456" spans="11:13" x14ac:dyDescent="0.2">
      <c r="K5456" t="s">
        <v>41</v>
      </c>
      <c r="L5456" t="s">
        <v>37</v>
      </c>
      <c r="M5456">
        <v>0</v>
      </c>
    </row>
    <row r="5457" spans="11:13" x14ac:dyDescent="0.2">
      <c r="K5457" t="s">
        <v>42</v>
      </c>
      <c r="L5457" t="s">
        <v>38</v>
      </c>
      <c r="M5457">
        <v>0</v>
      </c>
    </row>
    <row r="5458" spans="11:13" x14ac:dyDescent="0.2">
      <c r="K5458" t="s">
        <v>42</v>
      </c>
      <c r="L5458" t="s">
        <v>38</v>
      </c>
      <c r="M5458">
        <v>0</v>
      </c>
    </row>
    <row r="5459" spans="11:13" x14ac:dyDescent="0.2">
      <c r="K5459" t="s">
        <v>41</v>
      </c>
      <c r="L5459" t="s">
        <v>37</v>
      </c>
      <c r="M5459">
        <v>0</v>
      </c>
    </row>
    <row r="5460" spans="11:13" x14ac:dyDescent="0.2">
      <c r="K5460" t="s">
        <v>42</v>
      </c>
      <c r="L5460" t="s">
        <v>38</v>
      </c>
      <c r="M5460">
        <v>0</v>
      </c>
    </row>
    <row r="5461" spans="11:13" x14ac:dyDescent="0.2">
      <c r="K5461" t="s">
        <v>42</v>
      </c>
      <c r="L5461" t="s">
        <v>38</v>
      </c>
      <c r="M5461">
        <v>0</v>
      </c>
    </row>
    <row r="5462" spans="11:13" x14ac:dyDescent="0.2">
      <c r="K5462" t="s">
        <v>42</v>
      </c>
      <c r="L5462" t="s">
        <v>38</v>
      </c>
      <c r="M5462">
        <v>0</v>
      </c>
    </row>
    <row r="5463" spans="11:13" x14ac:dyDescent="0.2">
      <c r="K5463" t="s">
        <v>42</v>
      </c>
      <c r="L5463" t="s">
        <v>38</v>
      </c>
      <c r="M5463">
        <v>0</v>
      </c>
    </row>
    <row r="5464" spans="11:13" x14ac:dyDescent="0.2">
      <c r="K5464" t="s">
        <v>42</v>
      </c>
      <c r="L5464" t="s">
        <v>38</v>
      </c>
      <c r="M5464">
        <v>0</v>
      </c>
    </row>
    <row r="5465" spans="11:13" x14ac:dyDescent="0.2">
      <c r="K5465" t="s">
        <v>41</v>
      </c>
      <c r="L5465" t="s">
        <v>37</v>
      </c>
      <c r="M5465">
        <v>0</v>
      </c>
    </row>
    <row r="5466" spans="11:13" x14ac:dyDescent="0.2">
      <c r="K5466" t="s">
        <v>41</v>
      </c>
      <c r="L5466" t="s">
        <v>37</v>
      </c>
      <c r="M5466">
        <v>0</v>
      </c>
    </row>
    <row r="5467" spans="11:13" x14ac:dyDescent="0.2">
      <c r="K5467" t="s">
        <v>41</v>
      </c>
      <c r="L5467" t="s">
        <v>37</v>
      </c>
      <c r="M5467">
        <v>0</v>
      </c>
    </row>
    <row r="5468" spans="11:13" x14ac:dyDescent="0.2">
      <c r="K5468" t="s">
        <v>41</v>
      </c>
      <c r="L5468" t="s">
        <v>37</v>
      </c>
      <c r="M5468">
        <v>0</v>
      </c>
    </row>
    <row r="5469" spans="11:13" x14ac:dyDescent="0.2">
      <c r="K5469" t="s">
        <v>42</v>
      </c>
      <c r="L5469" t="s">
        <v>38</v>
      </c>
      <c r="M5469">
        <v>0</v>
      </c>
    </row>
    <row r="5470" spans="11:13" x14ac:dyDescent="0.2">
      <c r="K5470" t="s">
        <v>41</v>
      </c>
      <c r="L5470" t="s">
        <v>37</v>
      </c>
      <c r="M5470">
        <v>0</v>
      </c>
    </row>
    <row r="5471" spans="11:13" x14ac:dyDescent="0.2">
      <c r="K5471" t="s">
        <v>42</v>
      </c>
      <c r="L5471" t="s">
        <v>38</v>
      </c>
      <c r="M5471">
        <v>0</v>
      </c>
    </row>
    <row r="5472" spans="11:13" x14ac:dyDescent="0.2">
      <c r="K5472" t="s">
        <v>41</v>
      </c>
      <c r="L5472" t="s">
        <v>37</v>
      </c>
      <c r="M5472">
        <v>0</v>
      </c>
    </row>
    <row r="5473" spans="11:13" x14ac:dyDescent="0.2">
      <c r="K5473" t="s">
        <v>41</v>
      </c>
      <c r="L5473" t="s">
        <v>37</v>
      </c>
      <c r="M5473">
        <v>0</v>
      </c>
    </row>
    <row r="5474" spans="11:13" x14ac:dyDescent="0.2">
      <c r="K5474" t="s">
        <v>42</v>
      </c>
      <c r="L5474" t="s">
        <v>38</v>
      </c>
      <c r="M5474">
        <v>0</v>
      </c>
    </row>
    <row r="5475" spans="11:13" x14ac:dyDescent="0.2">
      <c r="K5475" t="s">
        <v>41</v>
      </c>
      <c r="L5475" t="s">
        <v>37</v>
      </c>
      <c r="M5475">
        <v>0</v>
      </c>
    </row>
    <row r="5476" spans="11:13" x14ac:dyDescent="0.2">
      <c r="K5476" t="s">
        <v>41</v>
      </c>
      <c r="L5476" t="s">
        <v>37</v>
      </c>
      <c r="M5476">
        <v>0</v>
      </c>
    </row>
    <row r="5477" spans="11:13" x14ac:dyDescent="0.2">
      <c r="K5477" t="s">
        <v>41</v>
      </c>
      <c r="L5477" t="s">
        <v>37</v>
      </c>
      <c r="M5477">
        <v>0</v>
      </c>
    </row>
    <row r="5478" spans="11:13" x14ac:dyDescent="0.2">
      <c r="K5478" t="s">
        <v>41</v>
      </c>
      <c r="L5478" t="s">
        <v>37</v>
      </c>
      <c r="M5478">
        <v>0</v>
      </c>
    </row>
    <row r="5479" spans="11:13" x14ac:dyDescent="0.2">
      <c r="K5479" t="s">
        <v>42</v>
      </c>
      <c r="L5479" t="s">
        <v>38</v>
      </c>
      <c r="M5479">
        <v>0</v>
      </c>
    </row>
    <row r="5480" spans="11:13" x14ac:dyDescent="0.2">
      <c r="K5480" t="s">
        <v>42</v>
      </c>
      <c r="L5480" t="s">
        <v>38</v>
      </c>
      <c r="M5480">
        <v>0</v>
      </c>
    </row>
    <row r="5481" spans="11:13" x14ac:dyDescent="0.2">
      <c r="K5481" t="s">
        <v>42</v>
      </c>
      <c r="L5481" t="s">
        <v>38</v>
      </c>
      <c r="M5481">
        <v>0</v>
      </c>
    </row>
    <row r="5482" spans="11:13" x14ac:dyDescent="0.2">
      <c r="K5482" t="s">
        <v>42</v>
      </c>
      <c r="L5482" t="s">
        <v>38</v>
      </c>
      <c r="M5482">
        <v>0</v>
      </c>
    </row>
    <row r="5483" spans="11:13" x14ac:dyDescent="0.2">
      <c r="K5483" t="s">
        <v>41</v>
      </c>
      <c r="L5483" t="s">
        <v>37</v>
      </c>
      <c r="M5483">
        <v>0</v>
      </c>
    </row>
    <row r="5484" spans="11:13" x14ac:dyDescent="0.2">
      <c r="K5484" t="s">
        <v>42</v>
      </c>
      <c r="L5484" t="s">
        <v>38</v>
      </c>
      <c r="M5484">
        <v>0</v>
      </c>
    </row>
    <row r="5485" spans="11:13" x14ac:dyDescent="0.2">
      <c r="K5485" t="s">
        <v>42</v>
      </c>
      <c r="L5485" t="s">
        <v>38</v>
      </c>
      <c r="M5485">
        <v>0</v>
      </c>
    </row>
    <row r="5486" spans="11:13" x14ac:dyDescent="0.2">
      <c r="K5486" t="s">
        <v>41</v>
      </c>
      <c r="L5486" t="s">
        <v>37</v>
      </c>
      <c r="M5486">
        <v>0</v>
      </c>
    </row>
    <row r="5487" spans="11:13" x14ac:dyDescent="0.2">
      <c r="K5487" t="s">
        <v>42</v>
      </c>
      <c r="L5487" t="s">
        <v>38</v>
      </c>
      <c r="M5487">
        <v>0</v>
      </c>
    </row>
    <row r="5488" spans="11:13" x14ac:dyDescent="0.2">
      <c r="K5488" t="s">
        <v>42</v>
      </c>
      <c r="L5488" t="s">
        <v>38</v>
      </c>
      <c r="M5488">
        <v>0</v>
      </c>
    </row>
    <row r="5489" spans="11:13" x14ac:dyDescent="0.2">
      <c r="K5489" t="s">
        <v>42</v>
      </c>
      <c r="L5489" t="s">
        <v>38</v>
      </c>
      <c r="M5489">
        <v>1</v>
      </c>
    </row>
    <row r="5490" spans="11:13" x14ac:dyDescent="0.2">
      <c r="K5490" t="s">
        <v>41</v>
      </c>
      <c r="L5490" t="s">
        <v>37</v>
      </c>
      <c r="M5490">
        <v>0</v>
      </c>
    </row>
    <row r="5491" spans="11:13" x14ac:dyDescent="0.2">
      <c r="K5491" t="s">
        <v>41</v>
      </c>
      <c r="L5491" t="s">
        <v>37</v>
      </c>
      <c r="M5491">
        <v>0</v>
      </c>
    </row>
    <row r="5492" spans="11:13" x14ac:dyDescent="0.2">
      <c r="K5492" t="s">
        <v>42</v>
      </c>
      <c r="L5492" t="s">
        <v>38</v>
      </c>
      <c r="M5492">
        <v>0</v>
      </c>
    </row>
    <row r="5493" spans="11:13" x14ac:dyDescent="0.2">
      <c r="K5493" t="s">
        <v>41</v>
      </c>
      <c r="L5493" t="s">
        <v>37</v>
      </c>
      <c r="M5493">
        <v>0</v>
      </c>
    </row>
    <row r="5494" spans="11:13" x14ac:dyDescent="0.2">
      <c r="K5494" t="s">
        <v>42</v>
      </c>
      <c r="L5494" t="s">
        <v>38</v>
      </c>
      <c r="M5494">
        <v>0</v>
      </c>
    </row>
    <row r="5495" spans="11:13" x14ac:dyDescent="0.2">
      <c r="K5495" t="s">
        <v>42</v>
      </c>
      <c r="L5495" t="s">
        <v>38</v>
      </c>
      <c r="M5495">
        <v>0</v>
      </c>
    </row>
    <row r="5496" spans="11:13" x14ac:dyDescent="0.2">
      <c r="K5496" t="s">
        <v>42</v>
      </c>
      <c r="L5496" t="s">
        <v>38</v>
      </c>
      <c r="M5496">
        <v>0</v>
      </c>
    </row>
    <row r="5497" spans="11:13" x14ac:dyDescent="0.2">
      <c r="K5497" t="s">
        <v>42</v>
      </c>
      <c r="L5497" t="s">
        <v>38</v>
      </c>
      <c r="M5497">
        <v>0</v>
      </c>
    </row>
    <row r="5498" spans="11:13" x14ac:dyDescent="0.2">
      <c r="K5498" t="s">
        <v>41</v>
      </c>
      <c r="L5498" t="s">
        <v>37</v>
      </c>
      <c r="M5498">
        <v>0</v>
      </c>
    </row>
    <row r="5499" spans="11:13" x14ac:dyDescent="0.2">
      <c r="K5499" t="s">
        <v>41</v>
      </c>
      <c r="L5499" t="s">
        <v>37</v>
      </c>
      <c r="M5499">
        <v>0</v>
      </c>
    </row>
    <row r="5500" spans="11:13" x14ac:dyDescent="0.2">
      <c r="K5500" t="s">
        <v>41</v>
      </c>
      <c r="L5500" t="s">
        <v>37</v>
      </c>
      <c r="M5500">
        <v>0</v>
      </c>
    </row>
    <row r="5501" spans="11:13" x14ac:dyDescent="0.2">
      <c r="K5501" t="s">
        <v>42</v>
      </c>
      <c r="L5501" t="s">
        <v>38</v>
      </c>
      <c r="M5501">
        <v>0</v>
      </c>
    </row>
    <row r="5502" spans="11:13" x14ac:dyDescent="0.2">
      <c r="K5502" t="s">
        <v>41</v>
      </c>
      <c r="L5502" t="s">
        <v>37</v>
      </c>
      <c r="M5502">
        <v>0</v>
      </c>
    </row>
    <row r="5503" spans="11:13" x14ac:dyDescent="0.2">
      <c r="K5503" t="s">
        <v>42</v>
      </c>
      <c r="L5503" t="s">
        <v>38</v>
      </c>
      <c r="M5503">
        <v>0</v>
      </c>
    </row>
    <row r="5504" spans="11:13" x14ac:dyDescent="0.2">
      <c r="K5504" t="s">
        <v>42</v>
      </c>
      <c r="L5504" t="s">
        <v>38</v>
      </c>
      <c r="M5504">
        <v>0</v>
      </c>
    </row>
    <row r="5505" spans="11:13" x14ac:dyDescent="0.2">
      <c r="K5505" t="s">
        <v>41</v>
      </c>
      <c r="L5505" t="s">
        <v>37</v>
      </c>
      <c r="M5505">
        <v>0</v>
      </c>
    </row>
    <row r="5506" spans="11:13" x14ac:dyDescent="0.2">
      <c r="K5506" t="s">
        <v>42</v>
      </c>
      <c r="L5506" t="s">
        <v>38</v>
      </c>
      <c r="M5506">
        <v>0</v>
      </c>
    </row>
    <row r="5507" spans="11:13" x14ac:dyDescent="0.2">
      <c r="K5507" t="s">
        <v>41</v>
      </c>
      <c r="L5507" t="s">
        <v>37</v>
      </c>
      <c r="M5507">
        <v>0</v>
      </c>
    </row>
    <row r="5508" spans="11:13" x14ac:dyDescent="0.2">
      <c r="K5508" t="s">
        <v>42</v>
      </c>
      <c r="L5508" t="s">
        <v>38</v>
      </c>
      <c r="M5508">
        <v>0</v>
      </c>
    </row>
    <row r="5509" spans="11:13" x14ac:dyDescent="0.2">
      <c r="K5509" t="s">
        <v>41</v>
      </c>
      <c r="L5509" t="s">
        <v>37</v>
      </c>
      <c r="M5509">
        <v>0</v>
      </c>
    </row>
    <row r="5510" spans="11:13" x14ac:dyDescent="0.2">
      <c r="K5510" t="s">
        <v>41</v>
      </c>
      <c r="L5510" t="s">
        <v>37</v>
      </c>
      <c r="M5510">
        <v>0</v>
      </c>
    </row>
    <row r="5511" spans="11:13" x14ac:dyDescent="0.2">
      <c r="K5511" t="s">
        <v>42</v>
      </c>
      <c r="L5511" t="s">
        <v>38</v>
      </c>
      <c r="M5511">
        <v>0</v>
      </c>
    </row>
    <row r="5512" spans="11:13" x14ac:dyDescent="0.2">
      <c r="K5512" t="s">
        <v>42</v>
      </c>
      <c r="L5512" t="s">
        <v>38</v>
      </c>
      <c r="M5512">
        <v>0</v>
      </c>
    </row>
    <row r="5513" spans="11:13" x14ac:dyDescent="0.2">
      <c r="K5513" t="s">
        <v>41</v>
      </c>
      <c r="L5513" t="s">
        <v>37</v>
      </c>
      <c r="M5513">
        <v>0</v>
      </c>
    </row>
    <row r="5514" spans="11:13" x14ac:dyDescent="0.2">
      <c r="K5514" t="s">
        <v>42</v>
      </c>
      <c r="L5514" t="s">
        <v>38</v>
      </c>
      <c r="M5514">
        <v>0</v>
      </c>
    </row>
    <row r="5515" spans="11:13" x14ac:dyDescent="0.2">
      <c r="K5515" t="s">
        <v>41</v>
      </c>
      <c r="L5515" t="s">
        <v>37</v>
      </c>
      <c r="M5515">
        <v>0</v>
      </c>
    </row>
    <row r="5516" spans="11:13" x14ac:dyDescent="0.2">
      <c r="K5516" t="s">
        <v>42</v>
      </c>
      <c r="L5516" t="s">
        <v>38</v>
      </c>
      <c r="M5516">
        <v>0</v>
      </c>
    </row>
    <row r="5517" spans="11:13" x14ac:dyDescent="0.2">
      <c r="K5517" t="s">
        <v>41</v>
      </c>
      <c r="L5517" t="s">
        <v>37</v>
      </c>
      <c r="M5517">
        <v>0</v>
      </c>
    </row>
    <row r="5518" spans="11:13" x14ac:dyDescent="0.2">
      <c r="K5518" t="s">
        <v>41</v>
      </c>
      <c r="L5518" t="s">
        <v>37</v>
      </c>
      <c r="M5518">
        <v>0</v>
      </c>
    </row>
    <row r="5519" spans="11:13" x14ac:dyDescent="0.2">
      <c r="K5519" t="s">
        <v>41</v>
      </c>
      <c r="L5519" t="s">
        <v>37</v>
      </c>
      <c r="M5519">
        <v>0</v>
      </c>
    </row>
    <row r="5520" spans="11:13" x14ac:dyDescent="0.2">
      <c r="K5520" t="s">
        <v>42</v>
      </c>
      <c r="L5520" t="s">
        <v>38</v>
      </c>
      <c r="M5520">
        <v>0</v>
      </c>
    </row>
    <row r="5521" spans="11:13" x14ac:dyDescent="0.2">
      <c r="K5521" t="s">
        <v>41</v>
      </c>
      <c r="L5521" t="s">
        <v>37</v>
      </c>
      <c r="M5521">
        <v>0</v>
      </c>
    </row>
    <row r="5522" spans="11:13" x14ac:dyDescent="0.2">
      <c r="K5522" t="s">
        <v>42</v>
      </c>
      <c r="L5522" t="s">
        <v>38</v>
      </c>
      <c r="M5522">
        <v>0</v>
      </c>
    </row>
    <row r="5523" spans="11:13" x14ac:dyDescent="0.2">
      <c r="K5523" t="s">
        <v>41</v>
      </c>
      <c r="L5523" t="s">
        <v>37</v>
      </c>
      <c r="M5523">
        <v>0</v>
      </c>
    </row>
    <row r="5524" spans="11:13" x14ac:dyDescent="0.2">
      <c r="K5524" t="s">
        <v>41</v>
      </c>
      <c r="L5524" t="s">
        <v>37</v>
      </c>
      <c r="M5524">
        <v>1</v>
      </c>
    </row>
    <row r="5525" spans="11:13" x14ac:dyDescent="0.2">
      <c r="K5525" t="s">
        <v>42</v>
      </c>
      <c r="L5525" t="s">
        <v>38</v>
      </c>
      <c r="M5525">
        <v>0</v>
      </c>
    </row>
    <row r="5526" spans="11:13" x14ac:dyDescent="0.2">
      <c r="K5526" t="s">
        <v>41</v>
      </c>
      <c r="L5526" t="s">
        <v>37</v>
      </c>
      <c r="M5526">
        <v>0</v>
      </c>
    </row>
    <row r="5527" spans="11:13" x14ac:dyDescent="0.2">
      <c r="K5527" t="s">
        <v>41</v>
      </c>
      <c r="L5527" t="s">
        <v>37</v>
      </c>
      <c r="M5527">
        <v>1</v>
      </c>
    </row>
    <row r="5528" spans="11:13" x14ac:dyDescent="0.2">
      <c r="K5528" t="s">
        <v>42</v>
      </c>
      <c r="L5528" t="s">
        <v>38</v>
      </c>
      <c r="M5528">
        <v>0</v>
      </c>
    </row>
    <row r="5529" spans="11:13" x14ac:dyDescent="0.2">
      <c r="K5529" t="s">
        <v>41</v>
      </c>
      <c r="L5529" t="s">
        <v>37</v>
      </c>
      <c r="M5529">
        <v>0</v>
      </c>
    </row>
    <row r="5530" spans="11:13" x14ac:dyDescent="0.2">
      <c r="K5530" t="s">
        <v>42</v>
      </c>
      <c r="L5530" t="s">
        <v>38</v>
      </c>
      <c r="M5530">
        <v>0</v>
      </c>
    </row>
    <row r="5531" spans="11:13" x14ac:dyDescent="0.2">
      <c r="K5531" t="s">
        <v>42</v>
      </c>
      <c r="L5531" t="s">
        <v>38</v>
      </c>
      <c r="M5531">
        <v>0</v>
      </c>
    </row>
    <row r="5532" spans="11:13" x14ac:dyDescent="0.2">
      <c r="K5532" t="s">
        <v>42</v>
      </c>
      <c r="L5532" t="s">
        <v>38</v>
      </c>
      <c r="M5532">
        <v>0</v>
      </c>
    </row>
    <row r="5533" spans="11:13" x14ac:dyDescent="0.2">
      <c r="K5533" t="s">
        <v>41</v>
      </c>
      <c r="L5533" t="s">
        <v>37</v>
      </c>
      <c r="M5533">
        <v>0</v>
      </c>
    </row>
    <row r="5534" spans="11:13" x14ac:dyDescent="0.2">
      <c r="K5534" t="s">
        <v>41</v>
      </c>
      <c r="L5534" t="s">
        <v>37</v>
      </c>
      <c r="M5534">
        <v>0</v>
      </c>
    </row>
    <row r="5535" spans="11:13" x14ac:dyDescent="0.2">
      <c r="K5535" t="s">
        <v>41</v>
      </c>
      <c r="L5535" t="s">
        <v>37</v>
      </c>
      <c r="M5535">
        <v>0</v>
      </c>
    </row>
    <row r="5536" spans="11:13" x14ac:dyDescent="0.2">
      <c r="K5536" t="s">
        <v>41</v>
      </c>
      <c r="L5536" t="s">
        <v>37</v>
      </c>
      <c r="M5536">
        <v>0</v>
      </c>
    </row>
    <row r="5537" spans="11:13" x14ac:dyDescent="0.2">
      <c r="K5537" t="s">
        <v>42</v>
      </c>
      <c r="L5537" t="s">
        <v>38</v>
      </c>
      <c r="M5537">
        <v>0</v>
      </c>
    </row>
    <row r="5538" spans="11:13" x14ac:dyDescent="0.2">
      <c r="K5538" t="s">
        <v>42</v>
      </c>
      <c r="L5538" t="s">
        <v>38</v>
      </c>
      <c r="M5538">
        <v>0</v>
      </c>
    </row>
    <row r="5539" spans="11:13" x14ac:dyDescent="0.2">
      <c r="K5539" t="s">
        <v>42</v>
      </c>
      <c r="L5539" t="s">
        <v>38</v>
      </c>
      <c r="M5539">
        <v>0</v>
      </c>
    </row>
    <row r="5540" spans="11:13" x14ac:dyDescent="0.2">
      <c r="K5540" t="s">
        <v>42</v>
      </c>
      <c r="L5540" t="s">
        <v>38</v>
      </c>
      <c r="M5540">
        <v>0</v>
      </c>
    </row>
    <row r="5541" spans="11:13" x14ac:dyDescent="0.2">
      <c r="K5541" t="s">
        <v>42</v>
      </c>
      <c r="L5541" t="s">
        <v>38</v>
      </c>
      <c r="M5541">
        <v>0</v>
      </c>
    </row>
    <row r="5542" spans="11:13" x14ac:dyDescent="0.2">
      <c r="K5542" t="s">
        <v>41</v>
      </c>
      <c r="L5542" t="s">
        <v>37</v>
      </c>
      <c r="M5542">
        <v>0</v>
      </c>
    </row>
    <row r="5543" spans="11:13" x14ac:dyDescent="0.2">
      <c r="K5543" t="s">
        <v>42</v>
      </c>
      <c r="L5543" t="s">
        <v>38</v>
      </c>
      <c r="M5543">
        <v>0</v>
      </c>
    </row>
    <row r="5544" spans="11:13" x14ac:dyDescent="0.2">
      <c r="K5544" t="s">
        <v>42</v>
      </c>
      <c r="L5544" t="s">
        <v>38</v>
      </c>
      <c r="M5544">
        <v>0</v>
      </c>
    </row>
    <row r="5545" spans="11:13" x14ac:dyDescent="0.2">
      <c r="K5545" t="s">
        <v>42</v>
      </c>
      <c r="L5545" t="s">
        <v>38</v>
      </c>
      <c r="M5545">
        <v>0</v>
      </c>
    </row>
    <row r="5546" spans="11:13" x14ac:dyDescent="0.2">
      <c r="K5546" t="s">
        <v>42</v>
      </c>
      <c r="L5546" t="s">
        <v>38</v>
      </c>
      <c r="M5546">
        <v>0</v>
      </c>
    </row>
    <row r="5547" spans="11:13" x14ac:dyDescent="0.2">
      <c r="K5547" t="s">
        <v>41</v>
      </c>
      <c r="L5547" t="s">
        <v>37</v>
      </c>
      <c r="M5547">
        <v>0</v>
      </c>
    </row>
    <row r="5548" spans="11:13" x14ac:dyDescent="0.2">
      <c r="K5548" t="s">
        <v>41</v>
      </c>
      <c r="L5548" t="s">
        <v>37</v>
      </c>
      <c r="M5548">
        <v>0</v>
      </c>
    </row>
    <row r="5549" spans="11:13" x14ac:dyDescent="0.2">
      <c r="K5549" t="s">
        <v>42</v>
      </c>
      <c r="L5549" t="s">
        <v>38</v>
      </c>
      <c r="M5549">
        <v>0</v>
      </c>
    </row>
    <row r="5550" spans="11:13" x14ac:dyDescent="0.2">
      <c r="K5550" t="s">
        <v>41</v>
      </c>
      <c r="L5550" t="s">
        <v>37</v>
      </c>
      <c r="M5550">
        <v>0</v>
      </c>
    </row>
    <row r="5551" spans="11:13" x14ac:dyDescent="0.2">
      <c r="K5551" t="s">
        <v>41</v>
      </c>
      <c r="L5551" t="s">
        <v>37</v>
      </c>
      <c r="M5551">
        <v>0</v>
      </c>
    </row>
    <row r="5552" spans="11:13" x14ac:dyDescent="0.2">
      <c r="K5552" t="s">
        <v>42</v>
      </c>
      <c r="L5552" t="s">
        <v>38</v>
      </c>
      <c r="M5552">
        <v>0</v>
      </c>
    </row>
    <row r="5553" spans="11:13" x14ac:dyDescent="0.2">
      <c r="K5553" t="s">
        <v>42</v>
      </c>
      <c r="L5553" t="s">
        <v>38</v>
      </c>
      <c r="M5553">
        <v>0</v>
      </c>
    </row>
    <row r="5554" spans="11:13" x14ac:dyDescent="0.2">
      <c r="K5554" t="s">
        <v>42</v>
      </c>
      <c r="L5554" t="s">
        <v>38</v>
      </c>
      <c r="M5554">
        <v>0</v>
      </c>
    </row>
    <row r="5555" spans="11:13" x14ac:dyDescent="0.2">
      <c r="K5555" t="s">
        <v>41</v>
      </c>
      <c r="L5555" t="s">
        <v>37</v>
      </c>
      <c r="M5555">
        <v>0</v>
      </c>
    </row>
    <row r="5556" spans="11:13" x14ac:dyDescent="0.2">
      <c r="K5556" t="s">
        <v>42</v>
      </c>
      <c r="L5556" t="s">
        <v>38</v>
      </c>
      <c r="M5556">
        <v>0</v>
      </c>
    </row>
    <row r="5557" spans="11:13" x14ac:dyDescent="0.2">
      <c r="K5557" t="s">
        <v>42</v>
      </c>
      <c r="L5557" t="s">
        <v>38</v>
      </c>
      <c r="M5557">
        <v>0</v>
      </c>
    </row>
    <row r="5558" spans="11:13" x14ac:dyDescent="0.2">
      <c r="K5558" t="s">
        <v>41</v>
      </c>
      <c r="L5558" t="s">
        <v>37</v>
      </c>
      <c r="M5558">
        <v>0</v>
      </c>
    </row>
    <row r="5559" spans="11:13" x14ac:dyDescent="0.2">
      <c r="K5559" t="s">
        <v>41</v>
      </c>
      <c r="L5559" t="s">
        <v>37</v>
      </c>
      <c r="M5559">
        <v>0</v>
      </c>
    </row>
    <row r="5560" spans="11:13" x14ac:dyDescent="0.2">
      <c r="K5560" t="s">
        <v>42</v>
      </c>
      <c r="L5560" t="s">
        <v>38</v>
      </c>
      <c r="M5560">
        <v>0</v>
      </c>
    </row>
    <row r="5561" spans="11:13" x14ac:dyDescent="0.2">
      <c r="K5561" t="s">
        <v>42</v>
      </c>
      <c r="L5561" t="s">
        <v>38</v>
      </c>
      <c r="M5561">
        <v>0</v>
      </c>
    </row>
    <row r="5562" spans="11:13" x14ac:dyDescent="0.2">
      <c r="K5562" t="s">
        <v>42</v>
      </c>
      <c r="L5562" t="s">
        <v>38</v>
      </c>
      <c r="M5562">
        <v>0</v>
      </c>
    </row>
    <row r="5563" spans="11:13" x14ac:dyDescent="0.2">
      <c r="K5563" t="s">
        <v>42</v>
      </c>
      <c r="L5563" t="s">
        <v>38</v>
      </c>
      <c r="M5563">
        <v>0</v>
      </c>
    </row>
    <row r="5564" spans="11:13" x14ac:dyDescent="0.2">
      <c r="K5564" t="s">
        <v>41</v>
      </c>
      <c r="L5564" t="s">
        <v>37</v>
      </c>
      <c r="M5564">
        <v>0</v>
      </c>
    </row>
    <row r="5565" spans="11:13" x14ac:dyDescent="0.2">
      <c r="K5565" t="s">
        <v>42</v>
      </c>
      <c r="L5565" t="s">
        <v>38</v>
      </c>
      <c r="M5565">
        <v>0</v>
      </c>
    </row>
    <row r="5566" spans="11:13" x14ac:dyDescent="0.2">
      <c r="K5566" t="s">
        <v>41</v>
      </c>
      <c r="L5566" t="s">
        <v>37</v>
      </c>
      <c r="M5566">
        <v>0</v>
      </c>
    </row>
    <row r="5567" spans="11:13" x14ac:dyDescent="0.2">
      <c r="K5567" t="s">
        <v>41</v>
      </c>
      <c r="L5567" t="s">
        <v>37</v>
      </c>
      <c r="M5567">
        <v>0</v>
      </c>
    </row>
    <row r="5568" spans="11:13" x14ac:dyDescent="0.2">
      <c r="K5568" t="s">
        <v>42</v>
      </c>
      <c r="L5568" t="s">
        <v>38</v>
      </c>
      <c r="M5568">
        <v>0</v>
      </c>
    </row>
    <row r="5569" spans="11:13" x14ac:dyDescent="0.2">
      <c r="K5569" t="s">
        <v>41</v>
      </c>
      <c r="L5569" t="s">
        <v>37</v>
      </c>
      <c r="M5569">
        <v>0</v>
      </c>
    </row>
    <row r="5570" spans="11:13" x14ac:dyDescent="0.2">
      <c r="K5570" t="s">
        <v>42</v>
      </c>
      <c r="L5570" t="s">
        <v>38</v>
      </c>
      <c r="M5570">
        <v>0</v>
      </c>
    </row>
    <row r="5571" spans="11:13" x14ac:dyDescent="0.2">
      <c r="K5571" t="s">
        <v>42</v>
      </c>
      <c r="L5571" t="s">
        <v>38</v>
      </c>
      <c r="M5571">
        <v>0</v>
      </c>
    </row>
    <row r="5572" spans="11:13" x14ac:dyDescent="0.2">
      <c r="K5572" t="s">
        <v>41</v>
      </c>
      <c r="L5572" t="s">
        <v>37</v>
      </c>
      <c r="M5572">
        <v>0</v>
      </c>
    </row>
    <row r="5573" spans="11:13" x14ac:dyDescent="0.2">
      <c r="K5573" t="s">
        <v>41</v>
      </c>
      <c r="L5573" t="s">
        <v>37</v>
      </c>
      <c r="M5573">
        <v>0</v>
      </c>
    </row>
    <row r="5574" spans="11:13" x14ac:dyDescent="0.2">
      <c r="K5574" t="s">
        <v>41</v>
      </c>
      <c r="L5574" t="s">
        <v>37</v>
      </c>
      <c r="M5574">
        <v>0</v>
      </c>
    </row>
    <row r="5575" spans="11:13" x14ac:dyDescent="0.2">
      <c r="K5575" t="s">
        <v>41</v>
      </c>
      <c r="L5575" t="s">
        <v>37</v>
      </c>
      <c r="M5575">
        <v>0</v>
      </c>
    </row>
    <row r="5576" spans="11:13" x14ac:dyDescent="0.2">
      <c r="K5576" t="s">
        <v>41</v>
      </c>
      <c r="L5576" t="s">
        <v>37</v>
      </c>
      <c r="M5576">
        <v>0</v>
      </c>
    </row>
    <row r="5577" spans="11:13" x14ac:dyDescent="0.2">
      <c r="K5577" t="s">
        <v>41</v>
      </c>
      <c r="L5577" t="s">
        <v>37</v>
      </c>
      <c r="M5577">
        <v>0</v>
      </c>
    </row>
    <row r="5578" spans="11:13" x14ac:dyDescent="0.2">
      <c r="K5578" t="s">
        <v>41</v>
      </c>
      <c r="L5578" t="s">
        <v>37</v>
      </c>
      <c r="M5578">
        <v>0</v>
      </c>
    </row>
    <row r="5579" spans="11:13" x14ac:dyDescent="0.2">
      <c r="K5579" t="s">
        <v>42</v>
      </c>
      <c r="L5579" t="s">
        <v>38</v>
      </c>
      <c r="M5579">
        <v>0</v>
      </c>
    </row>
    <row r="5580" spans="11:13" x14ac:dyDescent="0.2">
      <c r="K5580" t="s">
        <v>42</v>
      </c>
      <c r="L5580" t="s">
        <v>38</v>
      </c>
      <c r="M5580">
        <v>0</v>
      </c>
    </row>
    <row r="5581" spans="11:13" x14ac:dyDescent="0.2">
      <c r="K5581" t="s">
        <v>42</v>
      </c>
      <c r="L5581" t="s">
        <v>38</v>
      </c>
      <c r="M5581">
        <v>1</v>
      </c>
    </row>
    <row r="5582" spans="11:13" x14ac:dyDescent="0.2">
      <c r="K5582" t="s">
        <v>42</v>
      </c>
      <c r="L5582" t="s">
        <v>38</v>
      </c>
      <c r="M5582">
        <v>0</v>
      </c>
    </row>
    <row r="5583" spans="11:13" x14ac:dyDescent="0.2">
      <c r="K5583" t="s">
        <v>41</v>
      </c>
      <c r="L5583" t="s">
        <v>37</v>
      </c>
      <c r="M5583">
        <v>0</v>
      </c>
    </row>
    <row r="5584" spans="11:13" x14ac:dyDescent="0.2">
      <c r="K5584" t="s">
        <v>41</v>
      </c>
      <c r="L5584" t="s">
        <v>37</v>
      </c>
      <c r="M5584">
        <v>0</v>
      </c>
    </row>
    <row r="5585" spans="11:13" x14ac:dyDescent="0.2">
      <c r="K5585" t="s">
        <v>42</v>
      </c>
      <c r="L5585" t="s">
        <v>38</v>
      </c>
      <c r="M5585">
        <v>0</v>
      </c>
    </row>
    <row r="5586" spans="11:13" x14ac:dyDescent="0.2">
      <c r="K5586" t="s">
        <v>41</v>
      </c>
      <c r="L5586" t="s">
        <v>37</v>
      </c>
      <c r="M5586">
        <v>0</v>
      </c>
    </row>
    <row r="5587" spans="11:13" x14ac:dyDescent="0.2">
      <c r="K5587" t="s">
        <v>42</v>
      </c>
      <c r="L5587" t="s">
        <v>38</v>
      </c>
      <c r="M5587">
        <v>0</v>
      </c>
    </row>
    <row r="5588" spans="11:13" x14ac:dyDescent="0.2">
      <c r="K5588" t="s">
        <v>41</v>
      </c>
      <c r="L5588" t="s">
        <v>37</v>
      </c>
      <c r="M5588">
        <v>0</v>
      </c>
    </row>
    <row r="5589" spans="11:13" x14ac:dyDescent="0.2">
      <c r="K5589" t="s">
        <v>42</v>
      </c>
      <c r="L5589" t="s">
        <v>38</v>
      </c>
      <c r="M5589">
        <v>0</v>
      </c>
    </row>
    <row r="5590" spans="11:13" x14ac:dyDescent="0.2">
      <c r="K5590" t="s">
        <v>42</v>
      </c>
      <c r="L5590" t="s">
        <v>38</v>
      </c>
      <c r="M5590">
        <v>0</v>
      </c>
    </row>
    <row r="5591" spans="11:13" x14ac:dyDescent="0.2">
      <c r="K5591" t="s">
        <v>42</v>
      </c>
      <c r="L5591" t="s">
        <v>38</v>
      </c>
      <c r="M5591">
        <v>0</v>
      </c>
    </row>
    <row r="5592" spans="11:13" x14ac:dyDescent="0.2">
      <c r="K5592" t="s">
        <v>41</v>
      </c>
      <c r="L5592" t="s">
        <v>37</v>
      </c>
      <c r="M5592">
        <v>0</v>
      </c>
    </row>
    <row r="5593" spans="11:13" x14ac:dyDescent="0.2">
      <c r="K5593" t="s">
        <v>41</v>
      </c>
      <c r="L5593" t="s">
        <v>37</v>
      </c>
      <c r="M5593">
        <v>0</v>
      </c>
    </row>
    <row r="5594" spans="11:13" x14ac:dyDescent="0.2">
      <c r="K5594" t="s">
        <v>42</v>
      </c>
      <c r="L5594" t="s">
        <v>38</v>
      </c>
      <c r="M5594">
        <v>0</v>
      </c>
    </row>
    <row r="5595" spans="11:13" x14ac:dyDescent="0.2">
      <c r="K5595" t="s">
        <v>42</v>
      </c>
      <c r="L5595" t="s">
        <v>38</v>
      </c>
      <c r="M5595">
        <v>0</v>
      </c>
    </row>
    <row r="5596" spans="11:13" x14ac:dyDescent="0.2">
      <c r="K5596" t="s">
        <v>41</v>
      </c>
      <c r="L5596" t="s">
        <v>37</v>
      </c>
      <c r="M5596">
        <v>0</v>
      </c>
    </row>
    <row r="5597" spans="11:13" x14ac:dyDescent="0.2">
      <c r="K5597" t="s">
        <v>41</v>
      </c>
      <c r="L5597" t="s">
        <v>37</v>
      </c>
      <c r="M5597">
        <v>0</v>
      </c>
    </row>
    <row r="5598" spans="11:13" x14ac:dyDescent="0.2">
      <c r="K5598" t="s">
        <v>41</v>
      </c>
      <c r="L5598" t="s">
        <v>37</v>
      </c>
      <c r="M5598">
        <v>0</v>
      </c>
    </row>
    <row r="5599" spans="11:13" x14ac:dyDescent="0.2">
      <c r="K5599" t="s">
        <v>42</v>
      </c>
      <c r="L5599" t="s">
        <v>38</v>
      </c>
      <c r="M5599">
        <v>0</v>
      </c>
    </row>
    <row r="5600" spans="11:13" x14ac:dyDescent="0.2">
      <c r="K5600" t="s">
        <v>42</v>
      </c>
      <c r="L5600" t="s">
        <v>38</v>
      </c>
      <c r="M5600">
        <v>0</v>
      </c>
    </row>
    <row r="5601" spans="11:13" x14ac:dyDescent="0.2">
      <c r="K5601" t="s">
        <v>41</v>
      </c>
      <c r="L5601" t="s">
        <v>37</v>
      </c>
      <c r="M5601">
        <v>0</v>
      </c>
    </row>
    <row r="5602" spans="11:13" x14ac:dyDescent="0.2">
      <c r="K5602" t="s">
        <v>42</v>
      </c>
      <c r="L5602" t="s">
        <v>38</v>
      </c>
      <c r="M5602">
        <v>0</v>
      </c>
    </row>
    <row r="5603" spans="11:13" x14ac:dyDescent="0.2">
      <c r="K5603" t="s">
        <v>42</v>
      </c>
      <c r="L5603" t="s">
        <v>38</v>
      </c>
      <c r="M5603">
        <v>0</v>
      </c>
    </row>
    <row r="5604" spans="11:13" x14ac:dyDescent="0.2">
      <c r="K5604" t="s">
        <v>41</v>
      </c>
      <c r="L5604" t="s">
        <v>37</v>
      </c>
      <c r="M5604">
        <v>0</v>
      </c>
    </row>
    <row r="5605" spans="11:13" x14ac:dyDescent="0.2">
      <c r="K5605" t="s">
        <v>41</v>
      </c>
      <c r="L5605" t="s">
        <v>37</v>
      </c>
      <c r="M5605">
        <v>0</v>
      </c>
    </row>
    <row r="5606" spans="11:13" x14ac:dyDescent="0.2">
      <c r="K5606" t="s">
        <v>41</v>
      </c>
      <c r="L5606" t="s">
        <v>37</v>
      </c>
      <c r="M5606">
        <v>0</v>
      </c>
    </row>
    <row r="5607" spans="11:13" x14ac:dyDescent="0.2">
      <c r="K5607" t="s">
        <v>42</v>
      </c>
      <c r="L5607" t="s">
        <v>38</v>
      </c>
      <c r="M5607">
        <v>0</v>
      </c>
    </row>
    <row r="5608" spans="11:13" x14ac:dyDescent="0.2">
      <c r="K5608" t="s">
        <v>42</v>
      </c>
      <c r="L5608" t="s">
        <v>38</v>
      </c>
      <c r="M5608">
        <v>0</v>
      </c>
    </row>
    <row r="5609" spans="11:13" x14ac:dyDescent="0.2">
      <c r="K5609" t="s">
        <v>42</v>
      </c>
      <c r="L5609" t="s">
        <v>38</v>
      </c>
      <c r="M5609">
        <v>0</v>
      </c>
    </row>
    <row r="5610" spans="11:13" x14ac:dyDescent="0.2">
      <c r="K5610" t="s">
        <v>42</v>
      </c>
      <c r="L5610" t="s">
        <v>38</v>
      </c>
      <c r="M5610">
        <v>0</v>
      </c>
    </row>
    <row r="5611" spans="11:13" x14ac:dyDescent="0.2">
      <c r="K5611" t="s">
        <v>42</v>
      </c>
      <c r="L5611" t="s">
        <v>38</v>
      </c>
      <c r="M5611">
        <v>0</v>
      </c>
    </row>
    <row r="5612" spans="11:13" x14ac:dyDescent="0.2">
      <c r="K5612" t="s">
        <v>41</v>
      </c>
      <c r="L5612" t="s">
        <v>37</v>
      </c>
      <c r="M5612">
        <v>0</v>
      </c>
    </row>
    <row r="5613" spans="11:13" x14ac:dyDescent="0.2">
      <c r="K5613" t="s">
        <v>41</v>
      </c>
      <c r="L5613" t="s">
        <v>37</v>
      </c>
      <c r="M5613">
        <v>0</v>
      </c>
    </row>
    <row r="5614" spans="11:13" x14ac:dyDescent="0.2">
      <c r="K5614" t="s">
        <v>42</v>
      </c>
      <c r="L5614" t="s">
        <v>38</v>
      </c>
      <c r="M5614">
        <v>0</v>
      </c>
    </row>
    <row r="5615" spans="11:13" x14ac:dyDescent="0.2">
      <c r="K5615" t="s">
        <v>42</v>
      </c>
      <c r="L5615" t="s">
        <v>38</v>
      </c>
      <c r="M5615">
        <v>0</v>
      </c>
    </row>
    <row r="5616" spans="11:13" x14ac:dyDescent="0.2">
      <c r="K5616" t="s">
        <v>41</v>
      </c>
      <c r="L5616" t="s">
        <v>37</v>
      </c>
      <c r="M5616">
        <v>1</v>
      </c>
    </row>
    <row r="5617" spans="11:13" x14ac:dyDescent="0.2">
      <c r="K5617" t="s">
        <v>41</v>
      </c>
      <c r="L5617" t="s">
        <v>37</v>
      </c>
      <c r="M5617">
        <v>0</v>
      </c>
    </row>
    <row r="5618" spans="11:13" x14ac:dyDescent="0.2">
      <c r="K5618" t="s">
        <v>42</v>
      </c>
      <c r="L5618" t="s">
        <v>38</v>
      </c>
      <c r="M5618">
        <v>0</v>
      </c>
    </row>
    <row r="5619" spans="11:13" x14ac:dyDescent="0.2">
      <c r="K5619" t="s">
        <v>42</v>
      </c>
      <c r="L5619" t="s">
        <v>38</v>
      </c>
      <c r="M5619">
        <v>0</v>
      </c>
    </row>
    <row r="5620" spans="11:13" x14ac:dyDescent="0.2">
      <c r="K5620" t="s">
        <v>41</v>
      </c>
      <c r="L5620" t="s">
        <v>37</v>
      </c>
      <c r="M5620">
        <v>0</v>
      </c>
    </row>
    <row r="5621" spans="11:13" x14ac:dyDescent="0.2">
      <c r="K5621" t="s">
        <v>42</v>
      </c>
      <c r="L5621" t="s">
        <v>38</v>
      </c>
      <c r="M5621">
        <v>0</v>
      </c>
    </row>
    <row r="5622" spans="11:13" x14ac:dyDescent="0.2">
      <c r="K5622" t="s">
        <v>41</v>
      </c>
      <c r="L5622" t="s">
        <v>37</v>
      </c>
      <c r="M5622">
        <v>0</v>
      </c>
    </row>
    <row r="5623" spans="11:13" x14ac:dyDescent="0.2">
      <c r="K5623" t="s">
        <v>42</v>
      </c>
      <c r="L5623" t="s">
        <v>38</v>
      </c>
      <c r="M5623">
        <v>0</v>
      </c>
    </row>
    <row r="5624" spans="11:13" x14ac:dyDescent="0.2">
      <c r="K5624" t="s">
        <v>42</v>
      </c>
      <c r="L5624" t="s">
        <v>38</v>
      </c>
      <c r="M5624">
        <v>0</v>
      </c>
    </row>
    <row r="5625" spans="11:13" x14ac:dyDescent="0.2">
      <c r="K5625" t="s">
        <v>41</v>
      </c>
      <c r="L5625" t="s">
        <v>37</v>
      </c>
      <c r="M5625">
        <v>0</v>
      </c>
    </row>
    <row r="5626" spans="11:13" x14ac:dyDescent="0.2">
      <c r="K5626" t="s">
        <v>42</v>
      </c>
      <c r="L5626" t="s">
        <v>38</v>
      </c>
      <c r="M5626">
        <v>0</v>
      </c>
    </row>
    <row r="5627" spans="11:13" x14ac:dyDescent="0.2">
      <c r="K5627" t="s">
        <v>42</v>
      </c>
      <c r="L5627" t="s">
        <v>38</v>
      </c>
      <c r="M5627">
        <v>0</v>
      </c>
    </row>
    <row r="5628" spans="11:13" x14ac:dyDescent="0.2">
      <c r="K5628" t="s">
        <v>42</v>
      </c>
      <c r="L5628" t="s">
        <v>38</v>
      </c>
      <c r="M5628">
        <v>0</v>
      </c>
    </row>
    <row r="5629" spans="11:13" x14ac:dyDescent="0.2">
      <c r="K5629" t="s">
        <v>42</v>
      </c>
      <c r="L5629" t="s">
        <v>38</v>
      </c>
      <c r="M5629">
        <v>0</v>
      </c>
    </row>
    <row r="5630" spans="11:13" x14ac:dyDescent="0.2">
      <c r="K5630" t="s">
        <v>42</v>
      </c>
      <c r="L5630" t="s">
        <v>38</v>
      </c>
      <c r="M5630">
        <v>0</v>
      </c>
    </row>
    <row r="5631" spans="11:13" x14ac:dyDescent="0.2">
      <c r="K5631" t="s">
        <v>42</v>
      </c>
      <c r="L5631" t="s">
        <v>38</v>
      </c>
      <c r="M5631">
        <v>0</v>
      </c>
    </row>
    <row r="5632" spans="11:13" x14ac:dyDescent="0.2">
      <c r="K5632" t="s">
        <v>41</v>
      </c>
      <c r="L5632" t="s">
        <v>37</v>
      </c>
      <c r="M5632">
        <v>0</v>
      </c>
    </row>
    <row r="5633" spans="11:13" x14ac:dyDescent="0.2">
      <c r="K5633" t="s">
        <v>42</v>
      </c>
      <c r="L5633" t="s">
        <v>38</v>
      </c>
      <c r="M5633">
        <v>0</v>
      </c>
    </row>
    <row r="5634" spans="11:13" x14ac:dyDescent="0.2">
      <c r="K5634" t="s">
        <v>41</v>
      </c>
      <c r="L5634" t="s">
        <v>37</v>
      </c>
      <c r="M5634">
        <v>0</v>
      </c>
    </row>
    <row r="5635" spans="11:13" x14ac:dyDescent="0.2">
      <c r="K5635" t="s">
        <v>41</v>
      </c>
      <c r="L5635" t="s">
        <v>37</v>
      </c>
      <c r="M5635">
        <v>0</v>
      </c>
    </row>
    <row r="5636" spans="11:13" x14ac:dyDescent="0.2">
      <c r="K5636" t="s">
        <v>41</v>
      </c>
      <c r="L5636" t="s">
        <v>37</v>
      </c>
      <c r="M5636">
        <v>0</v>
      </c>
    </row>
    <row r="5637" spans="11:13" x14ac:dyDescent="0.2">
      <c r="K5637" t="s">
        <v>41</v>
      </c>
      <c r="L5637" t="s">
        <v>37</v>
      </c>
      <c r="M5637">
        <v>0</v>
      </c>
    </row>
    <row r="5638" spans="11:13" x14ac:dyDescent="0.2">
      <c r="K5638" t="s">
        <v>41</v>
      </c>
      <c r="L5638" t="s">
        <v>37</v>
      </c>
      <c r="M5638">
        <v>0</v>
      </c>
    </row>
    <row r="5639" spans="11:13" x14ac:dyDescent="0.2">
      <c r="K5639" t="s">
        <v>42</v>
      </c>
      <c r="L5639" t="s">
        <v>38</v>
      </c>
      <c r="M5639">
        <v>0</v>
      </c>
    </row>
    <row r="5640" spans="11:13" x14ac:dyDescent="0.2">
      <c r="K5640" t="s">
        <v>42</v>
      </c>
      <c r="L5640" t="s">
        <v>38</v>
      </c>
      <c r="M5640">
        <v>0</v>
      </c>
    </row>
    <row r="5641" spans="11:13" x14ac:dyDescent="0.2">
      <c r="K5641" t="s">
        <v>42</v>
      </c>
      <c r="L5641" t="s">
        <v>38</v>
      </c>
      <c r="M5641">
        <v>0</v>
      </c>
    </row>
    <row r="5642" spans="11:13" x14ac:dyDescent="0.2">
      <c r="K5642" t="s">
        <v>42</v>
      </c>
      <c r="L5642" t="s">
        <v>38</v>
      </c>
      <c r="M5642">
        <v>0</v>
      </c>
    </row>
    <row r="5643" spans="11:13" x14ac:dyDescent="0.2">
      <c r="K5643" t="s">
        <v>41</v>
      </c>
      <c r="L5643" t="s">
        <v>37</v>
      </c>
      <c r="M5643">
        <v>0</v>
      </c>
    </row>
    <row r="5644" spans="11:13" x14ac:dyDescent="0.2">
      <c r="K5644" t="s">
        <v>42</v>
      </c>
      <c r="L5644" t="s">
        <v>38</v>
      </c>
      <c r="M5644">
        <v>0</v>
      </c>
    </row>
    <row r="5645" spans="11:13" x14ac:dyDescent="0.2">
      <c r="K5645" t="s">
        <v>41</v>
      </c>
      <c r="L5645" t="s">
        <v>37</v>
      </c>
      <c r="M5645">
        <v>0</v>
      </c>
    </row>
    <row r="5646" spans="11:13" x14ac:dyDescent="0.2">
      <c r="K5646" t="s">
        <v>42</v>
      </c>
      <c r="L5646" t="s">
        <v>38</v>
      </c>
      <c r="M5646">
        <v>0</v>
      </c>
    </row>
    <row r="5647" spans="11:13" x14ac:dyDescent="0.2">
      <c r="K5647" t="s">
        <v>42</v>
      </c>
      <c r="L5647" t="s">
        <v>38</v>
      </c>
      <c r="M5647">
        <v>0</v>
      </c>
    </row>
    <row r="5648" spans="11:13" x14ac:dyDescent="0.2">
      <c r="K5648" t="s">
        <v>41</v>
      </c>
      <c r="L5648" t="s">
        <v>37</v>
      </c>
      <c r="M5648">
        <v>0</v>
      </c>
    </row>
    <row r="5649" spans="11:13" x14ac:dyDescent="0.2">
      <c r="K5649" t="s">
        <v>41</v>
      </c>
      <c r="L5649" t="s">
        <v>37</v>
      </c>
      <c r="M5649">
        <v>0</v>
      </c>
    </row>
    <row r="5650" spans="11:13" x14ac:dyDescent="0.2">
      <c r="K5650" t="s">
        <v>42</v>
      </c>
      <c r="L5650" t="s">
        <v>38</v>
      </c>
      <c r="M5650">
        <v>0</v>
      </c>
    </row>
    <row r="5651" spans="11:13" x14ac:dyDescent="0.2">
      <c r="K5651" t="s">
        <v>42</v>
      </c>
      <c r="L5651" t="s">
        <v>38</v>
      </c>
      <c r="M5651">
        <v>0</v>
      </c>
    </row>
    <row r="5652" spans="11:13" x14ac:dyDescent="0.2">
      <c r="K5652" t="s">
        <v>42</v>
      </c>
      <c r="L5652" t="s">
        <v>38</v>
      </c>
      <c r="M5652">
        <v>0</v>
      </c>
    </row>
    <row r="5653" spans="11:13" x14ac:dyDescent="0.2">
      <c r="K5653" t="s">
        <v>42</v>
      </c>
      <c r="L5653" t="s">
        <v>38</v>
      </c>
      <c r="M5653">
        <v>0</v>
      </c>
    </row>
    <row r="5654" spans="11:13" x14ac:dyDescent="0.2">
      <c r="K5654" t="s">
        <v>41</v>
      </c>
      <c r="L5654" t="s">
        <v>37</v>
      </c>
      <c r="M5654">
        <v>0</v>
      </c>
    </row>
    <row r="5655" spans="11:13" x14ac:dyDescent="0.2">
      <c r="K5655" t="s">
        <v>42</v>
      </c>
      <c r="L5655" t="s">
        <v>38</v>
      </c>
      <c r="M5655">
        <v>0</v>
      </c>
    </row>
    <row r="5656" spans="11:13" x14ac:dyDescent="0.2">
      <c r="K5656" t="s">
        <v>41</v>
      </c>
      <c r="L5656" t="s">
        <v>37</v>
      </c>
      <c r="M5656">
        <v>0</v>
      </c>
    </row>
    <row r="5657" spans="11:13" x14ac:dyDescent="0.2">
      <c r="K5657" t="s">
        <v>42</v>
      </c>
      <c r="L5657" t="s">
        <v>38</v>
      </c>
      <c r="M5657">
        <v>0</v>
      </c>
    </row>
    <row r="5658" spans="11:13" x14ac:dyDescent="0.2">
      <c r="K5658" t="s">
        <v>42</v>
      </c>
      <c r="L5658" t="s">
        <v>38</v>
      </c>
      <c r="M5658">
        <v>0</v>
      </c>
    </row>
    <row r="5659" spans="11:13" x14ac:dyDescent="0.2">
      <c r="K5659" t="s">
        <v>41</v>
      </c>
      <c r="L5659" t="s">
        <v>37</v>
      </c>
      <c r="M5659">
        <v>0</v>
      </c>
    </row>
    <row r="5660" spans="11:13" x14ac:dyDescent="0.2">
      <c r="K5660" t="s">
        <v>42</v>
      </c>
      <c r="L5660" t="s">
        <v>38</v>
      </c>
      <c r="M5660">
        <v>0</v>
      </c>
    </row>
    <row r="5661" spans="11:13" x14ac:dyDescent="0.2">
      <c r="K5661" t="s">
        <v>42</v>
      </c>
      <c r="L5661" t="s">
        <v>38</v>
      </c>
      <c r="M5661">
        <v>0</v>
      </c>
    </row>
    <row r="5662" spans="11:13" x14ac:dyDescent="0.2">
      <c r="K5662" t="s">
        <v>41</v>
      </c>
      <c r="L5662" t="s">
        <v>37</v>
      </c>
      <c r="M5662">
        <v>0</v>
      </c>
    </row>
    <row r="5663" spans="11:13" x14ac:dyDescent="0.2">
      <c r="K5663" t="s">
        <v>41</v>
      </c>
      <c r="L5663" t="s">
        <v>37</v>
      </c>
      <c r="M5663">
        <v>0</v>
      </c>
    </row>
    <row r="5664" spans="11:13" x14ac:dyDescent="0.2">
      <c r="K5664" t="s">
        <v>42</v>
      </c>
      <c r="L5664" t="s">
        <v>38</v>
      </c>
      <c r="M5664">
        <v>0</v>
      </c>
    </row>
    <row r="5665" spans="11:13" x14ac:dyDescent="0.2">
      <c r="K5665" t="s">
        <v>42</v>
      </c>
      <c r="L5665" t="s">
        <v>38</v>
      </c>
      <c r="M5665">
        <v>0</v>
      </c>
    </row>
    <row r="5666" spans="11:13" x14ac:dyDescent="0.2">
      <c r="K5666" t="s">
        <v>42</v>
      </c>
      <c r="L5666" t="s">
        <v>38</v>
      </c>
      <c r="M5666">
        <v>0</v>
      </c>
    </row>
    <row r="5667" spans="11:13" x14ac:dyDescent="0.2">
      <c r="K5667" t="s">
        <v>42</v>
      </c>
      <c r="L5667" t="s">
        <v>38</v>
      </c>
      <c r="M5667">
        <v>0</v>
      </c>
    </row>
    <row r="5668" spans="11:13" x14ac:dyDescent="0.2">
      <c r="K5668" t="s">
        <v>41</v>
      </c>
      <c r="L5668" t="s">
        <v>37</v>
      </c>
      <c r="M5668">
        <v>0</v>
      </c>
    </row>
    <row r="5669" spans="11:13" x14ac:dyDescent="0.2">
      <c r="K5669" t="s">
        <v>42</v>
      </c>
      <c r="L5669" t="s">
        <v>38</v>
      </c>
      <c r="M5669">
        <v>0</v>
      </c>
    </row>
    <row r="5670" spans="11:13" x14ac:dyDescent="0.2">
      <c r="K5670" t="s">
        <v>41</v>
      </c>
      <c r="L5670" t="s">
        <v>37</v>
      </c>
      <c r="M5670">
        <v>0</v>
      </c>
    </row>
    <row r="5671" spans="11:13" x14ac:dyDescent="0.2">
      <c r="K5671" t="s">
        <v>42</v>
      </c>
      <c r="L5671" t="s">
        <v>38</v>
      </c>
      <c r="M5671">
        <v>0</v>
      </c>
    </row>
    <row r="5672" spans="11:13" x14ac:dyDescent="0.2">
      <c r="K5672" t="s">
        <v>42</v>
      </c>
      <c r="L5672" t="s">
        <v>38</v>
      </c>
      <c r="M5672">
        <v>0</v>
      </c>
    </row>
    <row r="5673" spans="11:13" x14ac:dyDescent="0.2">
      <c r="K5673" t="s">
        <v>42</v>
      </c>
      <c r="L5673" t="s">
        <v>38</v>
      </c>
      <c r="M5673">
        <v>1</v>
      </c>
    </row>
    <row r="5674" spans="11:13" x14ac:dyDescent="0.2">
      <c r="K5674" t="s">
        <v>42</v>
      </c>
      <c r="L5674" t="s">
        <v>38</v>
      </c>
      <c r="M5674">
        <v>0</v>
      </c>
    </row>
    <row r="5675" spans="11:13" x14ac:dyDescent="0.2">
      <c r="K5675" t="s">
        <v>42</v>
      </c>
      <c r="L5675" t="s">
        <v>38</v>
      </c>
      <c r="M5675">
        <v>0</v>
      </c>
    </row>
    <row r="5676" spans="11:13" x14ac:dyDescent="0.2">
      <c r="K5676" t="s">
        <v>41</v>
      </c>
      <c r="L5676" t="s">
        <v>37</v>
      </c>
      <c r="M5676">
        <v>0</v>
      </c>
    </row>
    <row r="5677" spans="11:13" x14ac:dyDescent="0.2">
      <c r="K5677" t="s">
        <v>41</v>
      </c>
      <c r="L5677" t="s">
        <v>37</v>
      </c>
      <c r="M5677">
        <v>0</v>
      </c>
    </row>
    <row r="5678" spans="11:13" x14ac:dyDescent="0.2">
      <c r="K5678" t="s">
        <v>41</v>
      </c>
      <c r="L5678" t="s">
        <v>37</v>
      </c>
      <c r="M5678">
        <v>0</v>
      </c>
    </row>
    <row r="5679" spans="11:13" x14ac:dyDescent="0.2">
      <c r="K5679" t="s">
        <v>42</v>
      </c>
      <c r="L5679" t="s">
        <v>38</v>
      </c>
      <c r="M5679">
        <v>0</v>
      </c>
    </row>
    <row r="5680" spans="11:13" x14ac:dyDescent="0.2">
      <c r="K5680" t="s">
        <v>41</v>
      </c>
      <c r="L5680" t="s">
        <v>37</v>
      </c>
      <c r="M5680">
        <v>0</v>
      </c>
    </row>
    <row r="5681" spans="11:13" x14ac:dyDescent="0.2">
      <c r="K5681" t="s">
        <v>42</v>
      </c>
      <c r="L5681" t="s">
        <v>38</v>
      </c>
      <c r="M5681">
        <v>0</v>
      </c>
    </row>
    <row r="5682" spans="11:13" x14ac:dyDescent="0.2">
      <c r="K5682" t="s">
        <v>42</v>
      </c>
      <c r="L5682" t="s">
        <v>38</v>
      </c>
      <c r="M5682">
        <v>0</v>
      </c>
    </row>
    <row r="5683" spans="11:13" x14ac:dyDescent="0.2">
      <c r="K5683" t="s">
        <v>42</v>
      </c>
      <c r="L5683" t="s">
        <v>38</v>
      </c>
      <c r="M5683">
        <v>0</v>
      </c>
    </row>
    <row r="5684" spans="11:13" x14ac:dyDescent="0.2">
      <c r="K5684" t="s">
        <v>41</v>
      </c>
      <c r="L5684" t="s">
        <v>37</v>
      </c>
      <c r="M5684">
        <v>0</v>
      </c>
    </row>
    <row r="5685" spans="11:13" x14ac:dyDescent="0.2">
      <c r="K5685" t="s">
        <v>42</v>
      </c>
      <c r="L5685" t="s">
        <v>38</v>
      </c>
      <c r="M5685">
        <v>0</v>
      </c>
    </row>
    <row r="5686" spans="11:13" x14ac:dyDescent="0.2">
      <c r="K5686" t="s">
        <v>41</v>
      </c>
      <c r="L5686" t="s">
        <v>37</v>
      </c>
      <c r="M5686">
        <v>0</v>
      </c>
    </row>
    <row r="5687" spans="11:13" x14ac:dyDescent="0.2">
      <c r="K5687" t="s">
        <v>42</v>
      </c>
      <c r="L5687" t="s">
        <v>38</v>
      </c>
      <c r="M5687">
        <v>0</v>
      </c>
    </row>
    <row r="5688" spans="11:13" x14ac:dyDescent="0.2">
      <c r="K5688" t="s">
        <v>42</v>
      </c>
      <c r="L5688" t="s">
        <v>38</v>
      </c>
      <c r="M5688">
        <v>0</v>
      </c>
    </row>
    <row r="5689" spans="11:13" x14ac:dyDescent="0.2">
      <c r="K5689" t="s">
        <v>42</v>
      </c>
      <c r="L5689" t="s">
        <v>38</v>
      </c>
      <c r="M5689">
        <v>0</v>
      </c>
    </row>
    <row r="5690" spans="11:13" x14ac:dyDescent="0.2">
      <c r="K5690" t="s">
        <v>41</v>
      </c>
      <c r="L5690" t="s">
        <v>37</v>
      </c>
      <c r="M5690">
        <v>0</v>
      </c>
    </row>
    <row r="5691" spans="11:13" x14ac:dyDescent="0.2">
      <c r="K5691" t="s">
        <v>42</v>
      </c>
      <c r="L5691" t="s">
        <v>38</v>
      </c>
      <c r="M5691">
        <v>0</v>
      </c>
    </row>
    <row r="5692" spans="11:13" x14ac:dyDescent="0.2">
      <c r="K5692" t="s">
        <v>42</v>
      </c>
      <c r="L5692" t="s">
        <v>38</v>
      </c>
      <c r="M5692">
        <v>0</v>
      </c>
    </row>
    <row r="5693" spans="11:13" x14ac:dyDescent="0.2">
      <c r="K5693" t="s">
        <v>42</v>
      </c>
      <c r="L5693" t="s">
        <v>38</v>
      </c>
      <c r="M5693">
        <v>0</v>
      </c>
    </row>
    <row r="5694" spans="11:13" x14ac:dyDescent="0.2">
      <c r="K5694" t="s">
        <v>41</v>
      </c>
      <c r="L5694" t="s">
        <v>37</v>
      </c>
      <c r="M5694">
        <v>0</v>
      </c>
    </row>
    <row r="5695" spans="11:13" x14ac:dyDescent="0.2">
      <c r="K5695" t="s">
        <v>42</v>
      </c>
      <c r="L5695" t="s">
        <v>38</v>
      </c>
      <c r="M5695">
        <v>0</v>
      </c>
    </row>
    <row r="5696" spans="11:13" x14ac:dyDescent="0.2">
      <c r="K5696" t="s">
        <v>41</v>
      </c>
      <c r="L5696" t="s">
        <v>37</v>
      </c>
      <c r="M5696">
        <v>0</v>
      </c>
    </row>
    <row r="5697" spans="11:13" x14ac:dyDescent="0.2">
      <c r="K5697" t="s">
        <v>42</v>
      </c>
      <c r="L5697" t="s">
        <v>38</v>
      </c>
      <c r="M5697">
        <v>0</v>
      </c>
    </row>
    <row r="5698" spans="11:13" x14ac:dyDescent="0.2">
      <c r="K5698" t="s">
        <v>42</v>
      </c>
      <c r="L5698" t="s">
        <v>38</v>
      </c>
      <c r="M5698">
        <v>0</v>
      </c>
    </row>
    <row r="5699" spans="11:13" x14ac:dyDescent="0.2">
      <c r="K5699" t="s">
        <v>41</v>
      </c>
      <c r="L5699" t="s">
        <v>37</v>
      </c>
      <c r="M5699">
        <v>0</v>
      </c>
    </row>
    <row r="5700" spans="11:13" x14ac:dyDescent="0.2">
      <c r="K5700" t="s">
        <v>41</v>
      </c>
      <c r="L5700" t="s">
        <v>37</v>
      </c>
      <c r="M5700">
        <v>0</v>
      </c>
    </row>
    <row r="5701" spans="11:13" x14ac:dyDescent="0.2">
      <c r="K5701" t="s">
        <v>41</v>
      </c>
      <c r="L5701" t="s">
        <v>37</v>
      </c>
      <c r="M5701">
        <v>0</v>
      </c>
    </row>
    <row r="5702" spans="11:13" x14ac:dyDescent="0.2">
      <c r="K5702" t="s">
        <v>42</v>
      </c>
      <c r="L5702" t="s">
        <v>38</v>
      </c>
      <c r="M5702">
        <v>0</v>
      </c>
    </row>
    <row r="5703" spans="11:13" x14ac:dyDescent="0.2">
      <c r="K5703" t="s">
        <v>42</v>
      </c>
      <c r="L5703" t="s">
        <v>38</v>
      </c>
      <c r="M5703">
        <v>0</v>
      </c>
    </row>
    <row r="5704" spans="11:13" x14ac:dyDescent="0.2">
      <c r="K5704" t="s">
        <v>41</v>
      </c>
      <c r="L5704" t="s">
        <v>37</v>
      </c>
      <c r="M5704">
        <v>0</v>
      </c>
    </row>
    <row r="5705" spans="11:13" x14ac:dyDescent="0.2">
      <c r="K5705" t="s">
        <v>42</v>
      </c>
      <c r="L5705" t="s">
        <v>38</v>
      </c>
      <c r="M5705">
        <v>0</v>
      </c>
    </row>
    <row r="5706" spans="11:13" x14ac:dyDescent="0.2">
      <c r="K5706" t="s">
        <v>41</v>
      </c>
      <c r="L5706" t="s">
        <v>37</v>
      </c>
      <c r="M5706">
        <v>0</v>
      </c>
    </row>
    <row r="5707" spans="11:13" x14ac:dyDescent="0.2">
      <c r="K5707" t="s">
        <v>41</v>
      </c>
      <c r="L5707" t="s">
        <v>37</v>
      </c>
      <c r="M5707">
        <v>0</v>
      </c>
    </row>
    <row r="5708" spans="11:13" x14ac:dyDescent="0.2">
      <c r="K5708" t="s">
        <v>41</v>
      </c>
      <c r="L5708" t="s">
        <v>37</v>
      </c>
      <c r="M5708">
        <v>0</v>
      </c>
    </row>
    <row r="5709" spans="11:13" x14ac:dyDescent="0.2">
      <c r="K5709" t="s">
        <v>42</v>
      </c>
      <c r="L5709" t="s">
        <v>38</v>
      </c>
      <c r="M5709">
        <v>0</v>
      </c>
    </row>
    <row r="5710" spans="11:13" x14ac:dyDescent="0.2">
      <c r="K5710" t="s">
        <v>41</v>
      </c>
      <c r="L5710" t="s">
        <v>37</v>
      </c>
      <c r="M5710">
        <v>0</v>
      </c>
    </row>
    <row r="5711" spans="11:13" x14ac:dyDescent="0.2">
      <c r="K5711" t="s">
        <v>42</v>
      </c>
      <c r="L5711" t="s">
        <v>38</v>
      </c>
      <c r="M5711">
        <v>0</v>
      </c>
    </row>
    <row r="5712" spans="11:13" x14ac:dyDescent="0.2">
      <c r="K5712" t="s">
        <v>41</v>
      </c>
      <c r="L5712" t="s">
        <v>37</v>
      </c>
      <c r="M5712">
        <v>0</v>
      </c>
    </row>
    <row r="5713" spans="11:13" x14ac:dyDescent="0.2">
      <c r="K5713" t="s">
        <v>41</v>
      </c>
      <c r="L5713" t="s">
        <v>37</v>
      </c>
      <c r="M5713">
        <v>0</v>
      </c>
    </row>
    <row r="5714" spans="11:13" x14ac:dyDescent="0.2">
      <c r="K5714" t="s">
        <v>42</v>
      </c>
      <c r="L5714" t="s">
        <v>38</v>
      </c>
      <c r="M5714">
        <v>0</v>
      </c>
    </row>
    <row r="5715" spans="11:13" x14ac:dyDescent="0.2">
      <c r="K5715" t="s">
        <v>41</v>
      </c>
      <c r="L5715" t="s">
        <v>37</v>
      </c>
      <c r="M5715">
        <v>0</v>
      </c>
    </row>
    <row r="5716" spans="11:13" x14ac:dyDescent="0.2">
      <c r="K5716" t="s">
        <v>42</v>
      </c>
      <c r="L5716" t="s">
        <v>38</v>
      </c>
      <c r="M5716">
        <v>0</v>
      </c>
    </row>
    <row r="5717" spans="11:13" x14ac:dyDescent="0.2">
      <c r="K5717" t="s">
        <v>42</v>
      </c>
      <c r="L5717" t="s">
        <v>38</v>
      </c>
      <c r="M5717">
        <v>0</v>
      </c>
    </row>
    <row r="5718" spans="11:13" x14ac:dyDescent="0.2">
      <c r="K5718" t="s">
        <v>41</v>
      </c>
      <c r="L5718" t="s">
        <v>37</v>
      </c>
      <c r="M5718">
        <v>0</v>
      </c>
    </row>
    <row r="5719" spans="11:13" x14ac:dyDescent="0.2">
      <c r="K5719" t="s">
        <v>42</v>
      </c>
      <c r="L5719" t="s">
        <v>38</v>
      </c>
      <c r="M5719">
        <v>1</v>
      </c>
    </row>
    <row r="5720" spans="11:13" x14ac:dyDescent="0.2">
      <c r="K5720" t="s">
        <v>42</v>
      </c>
      <c r="L5720" t="s">
        <v>38</v>
      </c>
      <c r="M5720">
        <v>0</v>
      </c>
    </row>
    <row r="5721" spans="11:13" x14ac:dyDescent="0.2">
      <c r="K5721" t="s">
        <v>42</v>
      </c>
      <c r="L5721" t="s">
        <v>38</v>
      </c>
      <c r="M5721">
        <v>0</v>
      </c>
    </row>
    <row r="5722" spans="11:13" x14ac:dyDescent="0.2">
      <c r="K5722" t="s">
        <v>41</v>
      </c>
      <c r="L5722" t="s">
        <v>37</v>
      </c>
      <c r="M5722">
        <v>0</v>
      </c>
    </row>
    <row r="5723" spans="11:13" x14ac:dyDescent="0.2">
      <c r="K5723" t="s">
        <v>42</v>
      </c>
      <c r="L5723" t="s">
        <v>38</v>
      </c>
      <c r="M5723">
        <v>0</v>
      </c>
    </row>
    <row r="5724" spans="11:13" x14ac:dyDescent="0.2">
      <c r="K5724" t="s">
        <v>42</v>
      </c>
      <c r="L5724" t="s">
        <v>38</v>
      </c>
      <c r="M5724">
        <v>0</v>
      </c>
    </row>
    <row r="5725" spans="11:13" x14ac:dyDescent="0.2">
      <c r="K5725" t="s">
        <v>42</v>
      </c>
      <c r="L5725" t="s">
        <v>38</v>
      </c>
      <c r="M5725">
        <v>0</v>
      </c>
    </row>
    <row r="5726" spans="11:13" x14ac:dyDescent="0.2">
      <c r="K5726" t="s">
        <v>41</v>
      </c>
      <c r="L5726" t="s">
        <v>37</v>
      </c>
      <c r="M5726">
        <v>0</v>
      </c>
    </row>
    <row r="5727" spans="11:13" x14ac:dyDescent="0.2">
      <c r="K5727" t="s">
        <v>41</v>
      </c>
      <c r="L5727" t="s">
        <v>37</v>
      </c>
      <c r="M5727">
        <v>0</v>
      </c>
    </row>
    <row r="5728" spans="11:13" x14ac:dyDescent="0.2">
      <c r="K5728" t="s">
        <v>42</v>
      </c>
      <c r="L5728" t="s">
        <v>38</v>
      </c>
      <c r="M5728">
        <v>0</v>
      </c>
    </row>
    <row r="5729" spans="11:13" x14ac:dyDescent="0.2">
      <c r="K5729" t="s">
        <v>42</v>
      </c>
      <c r="L5729" t="s">
        <v>38</v>
      </c>
      <c r="M5729">
        <v>0</v>
      </c>
    </row>
    <row r="5730" spans="11:13" x14ac:dyDescent="0.2">
      <c r="K5730" t="s">
        <v>42</v>
      </c>
      <c r="L5730" t="s">
        <v>38</v>
      </c>
      <c r="M5730">
        <v>0</v>
      </c>
    </row>
    <row r="5731" spans="11:13" x14ac:dyDescent="0.2">
      <c r="K5731" t="s">
        <v>41</v>
      </c>
      <c r="L5731" t="s">
        <v>37</v>
      </c>
      <c r="M5731">
        <v>0</v>
      </c>
    </row>
    <row r="5732" spans="11:13" x14ac:dyDescent="0.2">
      <c r="K5732" t="s">
        <v>42</v>
      </c>
      <c r="L5732" t="s">
        <v>38</v>
      </c>
      <c r="M5732">
        <v>0</v>
      </c>
    </row>
    <row r="5733" spans="11:13" x14ac:dyDescent="0.2">
      <c r="K5733" t="s">
        <v>41</v>
      </c>
      <c r="L5733" t="s">
        <v>37</v>
      </c>
      <c r="M5733">
        <v>0</v>
      </c>
    </row>
    <row r="5734" spans="11:13" x14ac:dyDescent="0.2">
      <c r="K5734" t="s">
        <v>41</v>
      </c>
      <c r="L5734" t="s">
        <v>37</v>
      </c>
      <c r="M5734">
        <v>0</v>
      </c>
    </row>
    <row r="5735" spans="11:13" x14ac:dyDescent="0.2">
      <c r="K5735" t="s">
        <v>42</v>
      </c>
      <c r="L5735" t="s">
        <v>38</v>
      </c>
      <c r="M5735">
        <v>0</v>
      </c>
    </row>
    <row r="5736" spans="11:13" x14ac:dyDescent="0.2">
      <c r="K5736" t="s">
        <v>41</v>
      </c>
      <c r="L5736" t="s">
        <v>37</v>
      </c>
      <c r="M5736">
        <v>0</v>
      </c>
    </row>
    <row r="5737" spans="11:13" x14ac:dyDescent="0.2">
      <c r="K5737" t="s">
        <v>42</v>
      </c>
      <c r="L5737" t="s">
        <v>38</v>
      </c>
      <c r="M5737">
        <v>0</v>
      </c>
    </row>
    <row r="5738" spans="11:13" x14ac:dyDescent="0.2">
      <c r="K5738" t="s">
        <v>42</v>
      </c>
      <c r="L5738" t="s">
        <v>38</v>
      </c>
      <c r="M5738">
        <v>0</v>
      </c>
    </row>
    <row r="5739" spans="11:13" x14ac:dyDescent="0.2">
      <c r="K5739" t="s">
        <v>41</v>
      </c>
      <c r="L5739" t="s">
        <v>37</v>
      </c>
      <c r="M5739">
        <v>0</v>
      </c>
    </row>
    <row r="5740" spans="11:13" x14ac:dyDescent="0.2">
      <c r="K5740" t="s">
        <v>41</v>
      </c>
      <c r="L5740" t="s">
        <v>37</v>
      </c>
      <c r="M5740">
        <v>0</v>
      </c>
    </row>
    <row r="5741" spans="11:13" x14ac:dyDescent="0.2">
      <c r="K5741" t="s">
        <v>41</v>
      </c>
      <c r="L5741" t="s">
        <v>37</v>
      </c>
      <c r="M5741">
        <v>0</v>
      </c>
    </row>
    <row r="5742" spans="11:13" x14ac:dyDescent="0.2">
      <c r="K5742" t="s">
        <v>42</v>
      </c>
      <c r="L5742" t="s">
        <v>38</v>
      </c>
      <c r="M5742">
        <v>0</v>
      </c>
    </row>
    <row r="5743" spans="11:13" x14ac:dyDescent="0.2">
      <c r="K5743" t="s">
        <v>41</v>
      </c>
      <c r="L5743" t="s">
        <v>37</v>
      </c>
      <c r="M5743">
        <v>0</v>
      </c>
    </row>
    <row r="5744" spans="11:13" x14ac:dyDescent="0.2">
      <c r="K5744" t="s">
        <v>42</v>
      </c>
      <c r="L5744" t="s">
        <v>38</v>
      </c>
      <c r="M5744">
        <v>1</v>
      </c>
    </row>
    <row r="5745" spans="11:13" x14ac:dyDescent="0.2">
      <c r="K5745" t="s">
        <v>42</v>
      </c>
      <c r="L5745" t="s">
        <v>38</v>
      </c>
      <c r="M5745">
        <v>0</v>
      </c>
    </row>
    <row r="5746" spans="11:13" x14ac:dyDescent="0.2">
      <c r="K5746" t="s">
        <v>41</v>
      </c>
      <c r="L5746" t="s">
        <v>37</v>
      </c>
      <c r="M5746">
        <v>0</v>
      </c>
    </row>
    <row r="5747" spans="11:13" x14ac:dyDescent="0.2">
      <c r="K5747" t="s">
        <v>42</v>
      </c>
      <c r="L5747" t="s">
        <v>38</v>
      </c>
      <c r="M5747">
        <v>0</v>
      </c>
    </row>
    <row r="5748" spans="11:13" x14ac:dyDescent="0.2">
      <c r="K5748" t="s">
        <v>42</v>
      </c>
      <c r="L5748" t="s">
        <v>38</v>
      </c>
      <c r="M5748">
        <v>0</v>
      </c>
    </row>
    <row r="5749" spans="11:13" x14ac:dyDescent="0.2">
      <c r="K5749" t="s">
        <v>41</v>
      </c>
      <c r="L5749" t="s">
        <v>37</v>
      </c>
      <c r="M5749">
        <v>0</v>
      </c>
    </row>
    <row r="5750" spans="11:13" x14ac:dyDescent="0.2">
      <c r="K5750" t="s">
        <v>42</v>
      </c>
      <c r="L5750" t="s">
        <v>38</v>
      </c>
      <c r="M5750">
        <v>0</v>
      </c>
    </row>
    <row r="5751" spans="11:13" x14ac:dyDescent="0.2">
      <c r="K5751" t="s">
        <v>41</v>
      </c>
      <c r="L5751" t="s">
        <v>37</v>
      </c>
      <c r="M5751">
        <v>0</v>
      </c>
    </row>
    <row r="5752" spans="11:13" x14ac:dyDescent="0.2">
      <c r="K5752" t="s">
        <v>42</v>
      </c>
      <c r="L5752" t="s">
        <v>38</v>
      </c>
      <c r="M5752">
        <v>1</v>
      </c>
    </row>
    <row r="5753" spans="11:13" x14ac:dyDescent="0.2">
      <c r="K5753" t="s">
        <v>41</v>
      </c>
      <c r="L5753" t="s">
        <v>37</v>
      </c>
      <c r="M5753">
        <v>0</v>
      </c>
    </row>
    <row r="5754" spans="11:13" x14ac:dyDescent="0.2">
      <c r="K5754" t="s">
        <v>42</v>
      </c>
      <c r="L5754" t="s">
        <v>38</v>
      </c>
      <c r="M5754">
        <v>0</v>
      </c>
    </row>
    <row r="5755" spans="11:13" x14ac:dyDescent="0.2">
      <c r="K5755" t="s">
        <v>42</v>
      </c>
      <c r="L5755" t="s">
        <v>38</v>
      </c>
      <c r="M5755">
        <v>0</v>
      </c>
    </row>
    <row r="5756" spans="11:13" x14ac:dyDescent="0.2">
      <c r="K5756" t="s">
        <v>42</v>
      </c>
      <c r="L5756" t="s">
        <v>38</v>
      </c>
      <c r="M5756">
        <v>0</v>
      </c>
    </row>
    <row r="5757" spans="11:13" x14ac:dyDescent="0.2">
      <c r="K5757" t="s">
        <v>41</v>
      </c>
      <c r="L5757" t="s">
        <v>37</v>
      </c>
      <c r="M5757">
        <v>0</v>
      </c>
    </row>
    <row r="5758" spans="11:13" x14ac:dyDescent="0.2">
      <c r="K5758" t="s">
        <v>42</v>
      </c>
      <c r="L5758" t="s">
        <v>38</v>
      </c>
      <c r="M5758">
        <v>1</v>
      </c>
    </row>
    <row r="5759" spans="11:13" x14ac:dyDescent="0.2">
      <c r="K5759" t="s">
        <v>42</v>
      </c>
      <c r="L5759" t="s">
        <v>38</v>
      </c>
      <c r="M5759">
        <v>0</v>
      </c>
    </row>
    <row r="5760" spans="11:13" x14ac:dyDescent="0.2">
      <c r="K5760" t="s">
        <v>41</v>
      </c>
      <c r="L5760" t="s">
        <v>37</v>
      </c>
      <c r="M5760">
        <v>0</v>
      </c>
    </row>
    <row r="5761" spans="11:13" x14ac:dyDescent="0.2">
      <c r="K5761" t="s">
        <v>42</v>
      </c>
      <c r="L5761" t="s">
        <v>38</v>
      </c>
      <c r="M5761">
        <v>0</v>
      </c>
    </row>
    <row r="5762" spans="11:13" x14ac:dyDescent="0.2">
      <c r="K5762" t="s">
        <v>41</v>
      </c>
      <c r="L5762" t="s">
        <v>37</v>
      </c>
      <c r="M5762">
        <v>0</v>
      </c>
    </row>
    <row r="5763" spans="11:13" x14ac:dyDescent="0.2">
      <c r="K5763" t="s">
        <v>41</v>
      </c>
      <c r="L5763" t="s">
        <v>37</v>
      </c>
      <c r="M5763">
        <v>0</v>
      </c>
    </row>
    <row r="5764" spans="11:13" x14ac:dyDescent="0.2">
      <c r="K5764" t="s">
        <v>41</v>
      </c>
      <c r="L5764" t="s">
        <v>37</v>
      </c>
      <c r="M5764">
        <v>0</v>
      </c>
    </row>
    <row r="5765" spans="11:13" x14ac:dyDescent="0.2">
      <c r="K5765" t="s">
        <v>41</v>
      </c>
      <c r="L5765" t="s">
        <v>37</v>
      </c>
      <c r="M5765">
        <v>0</v>
      </c>
    </row>
    <row r="5766" spans="11:13" x14ac:dyDescent="0.2">
      <c r="K5766" t="s">
        <v>42</v>
      </c>
      <c r="L5766" t="s">
        <v>38</v>
      </c>
      <c r="M5766">
        <v>0</v>
      </c>
    </row>
    <row r="5767" spans="11:13" x14ac:dyDescent="0.2">
      <c r="K5767" t="s">
        <v>41</v>
      </c>
      <c r="L5767" t="s">
        <v>37</v>
      </c>
      <c r="M5767">
        <v>0</v>
      </c>
    </row>
    <row r="5768" spans="11:13" x14ac:dyDescent="0.2">
      <c r="K5768" t="s">
        <v>42</v>
      </c>
      <c r="L5768" t="s">
        <v>38</v>
      </c>
      <c r="M5768">
        <v>0</v>
      </c>
    </row>
    <row r="5769" spans="11:13" x14ac:dyDescent="0.2">
      <c r="K5769" t="s">
        <v>41</v>
      </c>
      <c r="L5769" t="s">
        <v>37</v>
      </c>
      <c r="M5769">
        <v>0</v>
      </c>
    </row>
    <row r="5770" spans="11:13" x14ac:dyDescent="0.2">
      <c r="K5770" t="s">
        <v>42</v>
      </c>
      <c r="L5770" t="s">
        <v>38</v>
      </c>
      <c r="M5770">
        <v>0</v>
      </c>
    </row>
    <row r="5771" spans="11:13" x14ac:dyDescent="0.2">
      <c r="K5771" t="s">
        <v>42</v>
      </c>
      <c r="L5771" t="s">
        <v>38</v>
      </c>
      <c r="M5771">
        <v>0</v>
      </c>
    </row>
    <row r="5772" spans="11:13" x14ac:dyDescent="0.2">
      <c r="K5772" t="s">
        <v>42</v>
      </c>
      <c r="L5772" t="s">
        <v>38</v>
      </c>
      <c r="M5772">
        <v>0</v>
      </c>
    </row>
    <row r="5773" spans="11:13" x14ac:dyDescent="0.2">
      <c r="K5773" t="s">
        <v>42</v>
      </c>
      <c r="L5773" t="s">
        <v>38</v>
      </c>
      <c r="M5773">
        <v>1</v>
      </c>
    </row>
    <row r="5774" spans="11:13" x14ac:dyDescent="0.2">
      <c r="K5774" t="s">
        <v>42</v>
      </c>
      <c r="L5774" t="s">
        <v>38</v>
      </c>
      <c r="M5774">
        <v>0</v>
      </c>
    </row>
    <row r="5775" spans="11:13" x14ac:dyDescent="0.2">
      <c r="K5775" t="s">
        <v>42</v>
      </c>
      <c r="L5775" t="s">
        <v>38</v>
      </c>
      <c r="M5775">
        <v>0</v>
      </c>
    </row>
    <row r="5776" spans="11:13" x14ac:dyDescent="0.2">
      <c r="K5776" t="s">
        <v>42</v>
      </c>
      <c r="L5776" t="s">
        <v>38</v>
      </c>
      <c r="M5776">
        <v>0</v>
      </c>
    </row>
    <row r="5777" spans="11:13" x14ac:dyDescent="0.2">
      <c r="K5777" t="s">
        <v>41</v>
      </c>
      <c r="L5777" t="s">
        <v>37</v>
      </c>
      <c r="M5777">
        <v>0</v>
      </c>
    </row>
    <row r="5778" spans="11:13" x14ac:dyDescent="0.2">
      <c r="K5778" t="s">
        <v>41</v>
      </c>
      <c r="L5778" t="s">
        <v>37</v>
      </c>
      <c r="M5778">
        <v>0</v>
      </c>
    </row>
    <row r="5779" spans="11:13" x14ac:dyDescent="0.2">
      <c r="K5779" t="s">
        <v>42</v>
      </c>
      <c r="L5779" t="s">
        <v>38</v>
      </c>
      <c r="M5779">
        <v>0</v>
      </c>
    </row>
    <row r="5780" spans="11:13" x14ac:dyDescent="0.2">
      <c r="K5780" t="s">
        <v>42</v>
      </c>
      <c r="L5780" t="s">
        <v>38</v>
      </c>
      <c r="M5780">
        <v>0</v>
      </c>
    </row>
    <row r="5781" spans="11:13" x14ac:dyDescent="0.2">
      <c r="K5781" t="s">
        <v>42</v>
      </c>
      <c r="L5781" t="s">
        <v>38</v>
      </c>
      <c r="M5781">
        <v>0</v>
      </c>
    </row>
    <row r="5782" spans="11:13" x14ac:dyDescent="0.2">
      <c r="K5782" t="s">
        <v>42</v>
      </c>
      <c r="L5782" t="s">
        <v>38</v>
      </c>
      <c r="M5782">
        <v>0</v>
      </c>
    </row>
    <row r="5783" spans="11:13" x14ac:dyDescent="0.2">
      <c r="K5783" t="s">
        <v>41</v>
      </c>
      <c r="L5783" t="s">
        <v>37</v>
      </c>
      <c r="M5783">
        <v>0</v>
      </c>
    </row>
    <row r="5784" spans="11:13" x14ac:dyDescent="0.2">
      <c r="K5784" t="s">
        <v>41</v>
      </c>
      <c r="L5784" t="s">
        <v>37</v>
      </c>
      <c r="M5784">
        <v>0</v>
      </c>
    </row>
    <row r="5785" spans="11:13" x14ac:dyDescent="0.2">
      <c r="K5785" t="s">
        <v>42</v>
      </c>
      <c r="L5785" t="s">
        <v>38</v>
      </c>
      <c r="M5785">
        <v>0</v>
      </c>
    </row>
    <row r="5786" spans="11:13" x14ac:dyDescent="0.2">
      <c r="K5786" t="s">
        <v>41</v>
      </c>
      <c r="L5786" t="s">
        <v>37</v>
      </c>
      <c r="M5786">
        <v>0</v>
      </c>
    </row>
    <row r="5787" spans="11:13" x14ac:dyDescent="0.2">
      <c r="K5787" t="s">
        <v>42</v>
      </c>
      <c r="L5787" t="s">
        <v>38</v>
      </c>
      <c r="M5787">
        <v>0</v>
      </c>
    </row>
    <row r="5788" spans="11:13" x14ac:dyDescent="0.2">
      <c r="K5788" t="s">
        <v>41</v>
      </c>
      <c r="L5788" t="s">
        <v>37</v>
      </c>
      <c r="M5788">
        <v>0</v>
      </c>
    </row>
    <row r="5789" spans="11:13" x14ac:dyDescent="0.2">
      <c r="K5789" t="s">
        <v>41</v>
      </c>
      <c r="L5789" t="s">
        <v>37</v>
      </c>
      <c r="M5789">
        <v>0</v>
      </c>
    </row>
    <row r="5790" spans="11:13" x14ac:dyDescent="0.2">
      <c r="K5790" t="s">
        <v>41</v>
      </c>
      <c r="L5790" t="s">
        <v>37</v>
      </c>
      <c r="M5790">
        <v>0</v>
      </c>
    </row>
    <row r="5791" spans="11:13" x14ac:dyDescent="0.2">
      <c r="K5791" t="s">
        <v>42</v>
      </c>
      <c r="L5791" t="s">
        <v>38</v>
      </c>
      <c r="M5791">
        <v>0</v>
      </c>
    </row>
    <row r="5792" spans="11:13" x14ac:dyDescent="0.2">
      <c r="K5792" t="s">
        <v>41</v>
      </c>
      <c r="L5792" t="s">
        <v>37</v>
      </c>
      <c r="M5792">
        <v>0</v>
      </c>
    </row>
    <row r="5793" spans="11:13" x14ac:dyDescent="0.2">
      <c r="K5793" t="s">
        <v>41</v>
      </c>
      <c r="L5793" t="s">
        <v>37</v>
      </c>
      <c r="M5793">
        <v>0</v>
      </c>
    </row>
    <row r="5794" spans="11:13" x14ac:dyDescent="0.2">
      <c r="K5794" t="s">
        <v>41</v>
      </c>
      <c r="L5794" t="s">
        <v>37</v>
      </c>
      <c r="M5794">
        <v>0</v>
      </c>
    </row>
    <row r="5795" spans="11:13" x14ac:dyDescent="0.2">
      <c r="K5795" t="s">
        <v>42</v>
      </c>
      <c r="L5795" t="s">
        <v>38</v>
      </c>
      <c r="M5795">
        <v>0</v>
      </c>
    </row>
    <row r="5796" spans="11:13" x14ac:dyDescent="0.2">
      <c r="K5796" t="s">
        <v>42</v>
      </c>
      <c r="L5796" t="s">
        <v>38</v>
      </c>
      <c r="M5796">
        <v>1</v>
      </c>
    </row>
    <row r="5797" spans="11:13" x14ac:dyDescent="0.2">
      <c r="K5797" t="s">
        <v>41</v>
      </c>
      <c r="L5797" t="s">
        <v>37</v>
      </c>
      <c r="M5797">
        <v>0</v>
      </c>
    </row>
    <row r="5798" spans="11:13" x14ac:dyDescent="0.2">
      <c r="K5798" t="s">
        <v>41</v>
      </c>
      <c r="L5798" t="s">
        <v>37</v>
      </c>
      <c r="M5798">
        <v>0</v>
      </c>
    </row>
    <row r="5799" spans="11:13" x14ac:dyDescent="0.2">
      <c r="K5799" t="s">
        <v>42</v>
      </c>
      <c r="L5799" t="s">
        <v>38</v>
      </c>
      <c r="M5799">
        <v>0</v>
      </c>
    </row>
    <row r="5800" spans="11:13" x14ac:dyDescent="0.2">
      <c r="K5800" t="s">
        <v>42</v>
      </c>
      <c r="L5800" t="s">
        <v>38</v>
      </c>
      <c r="M5800">
        <v>0</v>
      </c>
    </row>
    <row r="5801" spans="11:13" x14ac:dyDescent="0.2">
      <c r="K5801" t="s">
        <v>42</v>
      </c>
      <c r="L5801" t="s">
        <v>38</v>
      </c>
      <c r="M5801">
        <v>0</v>
      </c>
    </row>
    <row r="5802" spans="11:13" x14ac:dyDescent="0.2">
      <c r="K5802" t="s">
        <v>41</v>
      </c>
      <c r="L5802" t="s">
        <v>37</v>
      </c>
      <c r="M5802">
        <v>1</v>
      </c>
    </row>
    <row r="5803" spans="11:13" x14ac:dyDescent="0.2">
      <c r="K5803" t="s">
        <v>41</v>
      </c>
      <c r="L5803" t="s">
        <v>37</v>
      </c>
      <c r="M5803">
        <v>0</v>
      </c>
    </row>
    <row r="5804" spans="11:13" x14ac:dyDescent="0.2">
      <c r="K5804" t="s">
        <v>41</v>
      </c>
      <c r="L5804" t="s">
        <v>37</v>
      </c>
      <c r="M5804">
        <v>0</v>
      </c>
    </row>
    <row r="5805" spans="11:13" x14ac:dyDescent="0.2">
      <c r="K5805" t="s">
        <v>42</v>
      </c>
      <c r="L5805" t="s">
        <v>38</v>
      </c>
      <c r="M5805">
        <v>0</v>
      </c>
    </row>
    <row r="5806" spans="11:13" x14ac:dyDescent="0.2">
      <c r="K5806" t="s">
        <v>42</v>
      </c>
      <c r="L5806" t="s">
        <v>38</v>
      </c>
      <c r="M5806">
        <v>0</v>
      </c>
    </row>
    <row r="5807" spans="11:13" x14ac:dyDescent="0.2">
      <c r="K5807" t="s">
        <v>42</v>
      </c>
      <c r="L5807" t="s">
        <v>38</v>
      </c>
      <c r="M5807">
        <v>0</v>
      </c>
    </row>
    <row r="5808" spans="11:13" x14ac:dyDescent="0.2">
      <c r="K5808" t="s">
        <v>41</v>
      </c>
      <c r="L5808" t="s">
        <v>37</v>
      </c>
      <c r="M5808">
        <v>0</v>
      </c>
    </row>
    <row r="5809" spans="11:13" x14ac:dyDescent="0.2">
      <c r="K5809" t="s">
        <v>41</v>
      </c>
      <c r="L5809" t="s">
        <v>37</v>
      </c>
      <c r="M5809">
        <v>0</v>
      </c>
    </row>
    <row r="5810" spans="11:13" x14ac:dyDescent="0.2">
      <c r="K5810" t="s">
        <v>41</v>
      </c>
      <c r="L5810" t="s">
        <v>37</v>
      </c>
      <c r="M5810">
        <v>0</v>
      </c>
    </row>
    <row r="5811" spans="11:13" x14ac:dyDescent="0.2">
      <c r="K5811" t="s">
        <v>41</v>
      </c>
      <c r="L5811" t="s">
        <v>37</v>
      </c>
      <c r="M5811">
        <v>0</v>
      </c>
    </row>
    <row r="5812" spans="11:13" x14ac:dyDescent="0.2">
      <c r="K5812" t="s">
        <v>42</v>
      </c>
      <c r="L5812" t="s">
        <v>38</v>
      </c>
      <c r="M5812">
        <v>0</v>
      </c>
    </row>
    <row r="5813" spans="11:13" x14ac:dyDescent="0.2">
      <c r="K5813" t="s">
        <v>42</v>
      </c>
      <c r="L5813" t="s">
        <v>38</v>
      </c>
      <c r="M5813">
        <v>0</v>
      </c>
    </row>
    <row r="5814" spans="11:13" x14ac:dyDescent="0.2">
      <c r="K5814" t="s">
        <v>41</v>
      </c>
      <c r="L5814" t="s">
        <v>37</v>
      </c>
      <c r="M5814">
        <v>0</v>
      </c>
    </row>
    <row r="5815" spans="11:13" x14ac:dyDescent="0.2">
      <c r="K5815" t="s">
        <v>41</v>
      </c>
      <c r="L5815" t="s">
        <v>37</v>
      </c>
      <c r="M5815">
        <v>0</v>
      </c>
    </row>
    <row r="5816" spans="11:13" x14ac:dyDescent="0.2">
      <c r="K5816" t="s">
        <v>42</v>
      </c>
      <c r="L5816" t="s">
        <v>38</v>
      </c>
      <c r="M5816">
        <v>0</v>
      </c>
    </row>
    <row r="5817" spans="11:13" x14ac:dyDescent="0.2">
      <c r="K5817" t="s">
        <v>42</v>
      </c>
      <c r="L5817" t="s">
        <v>38</v>
      </c>
      <c r="M5817">
        <v>0</v>
      </c>
    </row>
    <row r="5818" spans="11:13" x14ac:dyDescent="0.2">
      <c r="K5818" t="s">
        <v>41</v>
      </c>
      <c r="L5818" t="s">
        <v>37</v>
      </c>
      <c r="M5818">
        <v>0</v>
      </c>
    </row>
    <row r="5819" spans="11:13" x14ac:dyDescent="0.2">
      <c r="K5819" t="s">
        <v>41</v>
      </c>
      <c r="L5819" t="s">
        <v>37</v>
      </c>
      <c r="M5819">
        <v>0</v>
      </c>
    </row>
    <row r="5820" spans="11:13" x14ac:dyDescent="0.2">
      <c r="K5820" t="s">
        <v>41</v>
      </c>
      <c r="L5820" t="s">
        <v>37</v>
      </c>
      <c r="M5820">
        <v>0</v>
      </c>
    </row>
    <row r="5821" spans="11:13" x14ac:dyDescent="0.2">
      <c r="K5821" t="s">
        <v>41</v>
      </c>
      <c r="L5821" t="s">
        <v>37</v>
      </c>
      <c r="M5821">
        <v>0</v>
      </c>
    </row>
    <row r="5822" spans="11:13" x14ac:dyDescent="0.2">
      <c r="K5822" t="s">
        <v>41</v>
      </c>
      <c r="L5822" t="s">
        <v>37</v>
      </c>
      <c r="M5822">
        <v>0</v>
      </c>
    </row>
    <row r="5823" spans="11:13" x14ac:dyDescent="0.2">
      <c r="K5823" t="s">
        <v>42</v>
      </c>
      <c r="L5823" t="s">
        <v>38</v>
      </c>
      <c r="M5823">
        <v>0</v>
      </c>
    </row>
    <row r="5824" spans="11:13" x14ac:dyDescent="0.2">
      <c r="K5824" t="s">
        <v>42</v>
      </c>
      <c r="L5824" t="s">
        <v>38</v>
      </c>
      <c r="M5824">
        <v>0</v>
      </c>
    </row>
    <row r="5825" spans="11:13" x14ac:dyDescent="0.2">
      <c r="K5825" t="s">
        <v>41</v>
      </c>
      <c r="L5825" t="s">
        <v>37</v>
      </c>
      <c r="M5825">
        <v>0</v>
      </c>
    </row>
    <row r="5826" spans="11:13" x14ac:dyDescent="0.2">
      <c r="K5826" t="s">
        <v>41</v>
      </c>
      <c r="L5826" t="s">
        <v>37</v>
      </c>
      <c r="M5826">
        <v>0</v>
      </c>
    </row>
    <row r="5827" spans="11:13" x14ac:dyDescent="0.2">
      <c r="K5827" t="s">
        <v>42</v>
      </c>
      <c r="L5827" t="s">
        <v>38</v>
      </c>
      <c r="M5827">
        <v>0</v>
      </c>
    </row>
    <row r="5828" spans="11:13" x14ac:dyDescent="0.2">
      <c r="K5828" t="s">
        <v>41</v>
      </c>
      <c r="L5828" t="s">
        <v>37</v>
      </c>
      <c r="M5828">
        <v>0</v>
      </c>
    </row>
    <row r="5829" spans="11:13" x14ac:dyDescent="0.2">
      <c r="K5829" t="s">
        <v>41</v>
      </c>
      <c r="L5829" t="s">
        <v>37</v>
      </c>
      <c r="M5829">
        <v>0</v>
      </c>
    </row>
    <row r="5830" spans="11:13" x14ac:dyDescent="0.2">
      <c r="K5830" t="s">
        <v>41</v>
      </c>
      <c r="L5830" t="s">
        <v>37</v>
      </c>
      <c r="M5830">
        <v>0</v>
      </c>
    </row>
    <row r="5831" spans="11:13" x14ac:dyDescent="0.2">
      <c r="K5831" t="s">
        <v>42</v>
      </c>
      <c r="L5831" t="s">
        <v>38</v>
      </c>
      <c r="M5831">
        <v>0</v>
      </c>
    </row>
    <row r="5832" spans="11:13" x14ac:dyDescent="0.2">
      <c r="K5832" t="s">
        <v>42</v>
      </c>
      <c r="L5832" t="s">
        <v>38</v>
      </c>
      <c r="M5832">
        <v>0</v>
      </c>
    </row>
    <row r="5833" spans="11:13" x14ac:dyDescent="0.2">
      <c r="K5833" t="s">
        <v>41</v>
      </c>
      <c r="L5833" t="s">
        <v>37</v>
      </c>
      <c r="M5833">
        <v>0</v>
      </c>
    </row>
    <row r="5834" spans="11:13" x14ac:dyDescent="0.2">
      <c r="K5834" t="s">
        <v>42</v>
      </c>
      <c r="L5834" t="s">
        <v>38</v>
      </c>
      <c r="M5834">
        <v>0</v>
      </c>
    </row>
    <row r="5835" spans="11:13" x14ac:dyDescent="0.2">
      <c r="K5835" t="s">
        <v>42</v>
      </c>
      <c r="L5835" t="s">
        <v>38</v>
      </c>
      <c r="M5835">
        <v>0</v>
      </c>
    </row>
    <row r="5836" spans="11:13" x14ac:dyDescent="0.2">
      <c r="K5836" t="s">
        <v>42</v>
      </c>
      <c r="L5836" t="s">
        <v>38</v>
      </c>
      <c r="M5836">
        <v>0</v>
      </c>
    </row>
    <row r="5837" spans="11:13" x14ac:dyDescent="0.2">
      <c r="K5837" t="s">
        <v>41</v>
      </c>
      <c r="L5837" t="s">
        <v>37</v>
      </c>
      <c r="M5837">
        <v>0</v>
      </c>
    </row>
    <row r="5838" spans="11:13" x14ac:dyDescent="0.2">
      <c r="K5838" t="s">
        <v>41</v>
      </c>
      <c r="L5838" t="s">
        <v>37</v>
      </c>
      <c r="M5838">
        <v>0</v>
      </c>
    </row>
    <row r="5839" spans="11:13" x14ac:dyDescent="0.2">
      <c r="K5839" t="s">
        <v>42</v>
      </c>
      <c r="L5839" t="s">
        <v>38</v>
      </c>
      <c r="M5839">
        <v>0</v>
      </c>
    </row>
    <row r="5840" spans="11:13" x14ac:dyDescent="0.2">
      <c r="K5840" t="s">
        <v>41</v>
      </c>
      <c r="L5840" t="s">
        <v>37</v>
      </c>
      <c r="M5840">
        <v>0</v>
      </c>
    </row>
    <row r="5841" spans="11:13" x14ac:dyDescent="0.2">
      <c r="K5841" t="s">
        <v>42</v>
      </c>
      <c r="L5841" t="s">
        <v>38</v>
      </c>
      <c r="M5841">
        <v>0</v>
      </c>
    </row>
    <row r="5842" spans="11:13" x14ac:dyDescent="0.2">
      <c r="K5842" t="s">
        <v>41</v>
      </c>
      <c r="L5842" t="s">
        <v>37</v>
      </c>
      <c r="M5842">
        <v>0</v>
      </c>
    </row>
    <row r="5843" spans="11:13" x14ac:dyDescent="0.2">
      <c r="K5843" t="s">
        <v>42</v>
      </c>
      <c r="L5843" t="s">
        <v>38</v>
      </c>
      <c r="M5843">
        <v>0</v>
      </c>
    </row>
    <row r="5844" spans="11:13" x14ac:dyDescent="0.2">
      <c r="K5844" t="s">
        <v>41</v>
      </c>
      <c r="L5844" t="s">
        <v>37</v>
      </c>
      <c r="M5844">
        <v>0</v>
      </c>
    </row>
    <row r="5845" spans="11:13" x14ac:dyDescent="0.2">
      <c r="K5845" t="s">
        <v>42</v>
      </c>
      <c r="L5845" t="s">
        <v>38</v>
      </c>
      <c r="M5845">
        <v>0</v>
      </c>
    </row>
    <row r="5846" spans="11:13" x14ac:dyDescent="0.2">
      <c r="K5846" t="s">
        <v>41</v>
      </c>
      <c r="L5846" t="s">
        <v>37</v>
      </c>
      <c r="M5846">
        <v>0</v>
      </c>
    </row>
    <row r="5847" spans="11:13" x14ac:dyDescent="0.2">
      <c r="K5847" t="s">
        <v>41</v>
      </c>
      <c r="L5847" t="s">
        <v>37</v>
      </c>
      <c r="M5847">
        <v>0</v>
      </c>
    </row>
    <row r="5848" spans="11:13" x14ac:dyDescent="0.2">
      <c r="K5848" t="s">
        <v>42</v>
      </c>
      <c r="L5848" t="s">
        <v>38</v>
      </c>
      <c r="M5848">
        <v>0</v>
      </c>
    </row>
    <row r="5849" spans="11:13" x14ac:dyDescent="0.2">
      <c r="K5849" t="s">
        <v>42</v>
      </c>
      <c r="L5849" t="s">
        <v>38</v>
      </c>
      <c r="M5849">
        <v>1</v>
      </c>
    </row>
    <row r="5850" spans="11:13" x14ac:dyDescent="0.2">
      <c r="K5850" t="s">
        <v>41</v>
      </c>
      <c r="L5850" t="s">
        <v>37</v>
      </c>
      <c r="M5850">
        <v>0</v>
      </c>
    </row>
    <row r="5851" spans="11:13" x14ac:dyDescent="0.2">
      <c r="K5851" t="s">
        <v>42</v>
      </c>
      <c r="L5851" t="s">
        <v>38</v>
      </c>
      <c r="M5851">
        <v>0</v>
      </c>
    </row>
    <row r="5852" spans="11:13" x14ac:dyDescent="0.2">
      <c r="K5852" t="s">
        <v>41</v>
      </c>
      <c r="L5852" t="s">
        <v>37</v>
      </c>
      <c r="M5852">
        <v>0</v>
      </c>
    </row>
    <row r="5853" spans="11:13" x14ac:dyDescent="0.2">
      <c r="K5853" t="s">
        <v>42</v>
      </c>
      <c r="L5853" t="s">
        <v>38</v>
      </c>
      <c r="M5853">
        <v>0</v>
      </c>
    </row>
    <row r="5854" spans="11:13" x14ac:dyDescent="0.2">
      <c r="K5854" t="s">
        <v>41</v>
      </c>
      <c r="L5854" t="s">
        <v>37</v>
      </c>
      <c r="M5854">
        <v>0</v>
      </c>
    </row>
    <row r="5855" spans="11:13" x14ac:dyDescent="0.2">
      <c r="K5855" t="s">
        <v>41</v>
      </c>
      <c r="L5855" t="s">
        <v>37</v>
      </c>
      <c r="M5855">
        <v>0</v>
      </c>
    </row>
    <row r="5856" spans="11:13" x14ac:dyDescent="0.2">
      <c r="K5856" t="s">
        <v>41</v>
      </c>
      <c r="L5856" t="s">
        <v>37</v>
      </c>
      <c r="M5856">
        <v>0</v>
      </c>
    </row>
    <row r="5857" spans="11:13" x14ac:dyDescent="0.2">
      <c r="K5857" t="s">
        <v>41</v>
      </c>
      <c r="L5857" t="s">
        <v>37</v>
      </c>
      <c r="M5857">
        <v>0</v>
      </c>
    </row>
    <row r="5858" spans="11:13" x14ac:dyDescent="0.2">
      <c r="K5858" t="s">
        <v>42</v>
      </c>
      <c r="L5858" t="s">
        <v>38</v>
      </c>
      <c r="M5858">
        <v>0</v>
      </c>
    </row>
    <row r="5859" spans="11:13" x14ac:dyDescent="0.2">
      <c r="K5859" t="s">
        <v>42</v>
      </c>
      <c r="L5859" t="s">
        <v>38</v>
      </c>
      <c r="M5859">
        <v>0</v>
      </c>
    </row>
    <row r="5860" spans="11:13" x14ac:dyDescent="0.2">
      <c r="K5860" t="s">
        <v>42</v>
      </c>
      <c r="L5860" t="s">
        <v>38</v>
      </c>
      <c r="M5860">
        <v>0</v>
      </c>
    </row>
    <row r="5861" spans="11:13" x14ac:dyDescent="0.2">
      <c r="K5861" t="s">
        <v>42</v>
      </c>
      <c r="L5861" t="s">
        <v>38</v>
      </c>
      <c r="M5861">
        <v>0</v>
      </c>
    </row>
    <row r="5862" spans="11:13" x14ac:dyDescent="0.2">
      <c r="K5862" t="s">
        <v>41</v>
      </c>
      <c r="L5862" t="s">
        <v>37</v>
      </c>
      <c r="M5862">
        <v>0</v>
      </c>
    </row>
    <row r="5863" spans="11:13" x14ac:dyDescent="0.2">
      <c r="K5863" t="s">
        <v>41</v>
      </c>
      <c r="L5863" t="s">
        <v>37</v>
      </c>
      <c r="M5863">
        <v>0</v>
      </c>
    </row>
    <row r="5864" spans="11:13" x14ac:dyDescent="0.2">
      <c r="K5864" t="s">
        <v>42</v>
      </c>
      <c r="L5864" t="s">
        <v>38</v>
      </c>
      <c r="M5864">
        <v>0</v>
      </c>
    </row>
    <row r="5865" spans="11:13" x14ac:dyDescent="0.2">
      <c r="K5865" t="s">
        <v>42</v>
      </c>
      <c r="L5865" t="s">
        <v>38</v>
      </c>
      <c r="M5865">
        <v>1</v>
      </c>
    </row>
    <row r="5866" spans="11:13" x14ac:dyDescent="0.2">
      <c r="K5866" t="s">
        <v>41</v>
      </c>
      <c r="L5866" t="s">
        <v>37</v>
      </c>
      <c r="M5866">
        <v>0</v>
      </c>
    </row>
    <row r="5867" spans="11:13" x14ac:dyDescent="0.2">
      <c r="K5867" t="s">
        <v>42</v>
      </c>
      <c r="L5867" t="s">
        <v>38</v>
      </c>
      <c r="M5867">
        <v>0</v>
      </c>
    </row>
    <row r="5868" spans="11:13" x14ac:dyDescent="0.2">
      <c r="K5868" t="s">
        <v>41</v>
      </c>
      <c r="L5868" t="s">
        <v>37</v>
      </c>
      <c r="M5868">
        <v>0</v>
      </c>
    </row>
    <row r="5869" spans="11:13" x14ac:dyDescent="0.2">
      <c r="K5869" t="s">
        <v>42</v>
      </c>
      <c r="L5869" t="s">
        <v>38</v>
      </c>
      <c r="M5869">
        <v>0</v>
      </c>
    </row>
    <row r="5870" spans="11:13" x14ac:dyDescent="0.2">
      <c r="K5870" t="s">
        <v>42</v>
      </c>
      <c r="L5870" t="s">
        <v>38</v>
      </c>
      <c r="M5870">
        <v>0</v>
      </c>
    </row>
    <row r="5871" spans="11:13" x14ac:dyDescent="0.2">
      <c r="K5871" t="s">
        <v>41</v>
      </c>
      <c r="L5871" t="s">
        <v>37</v>
      </c>
      <c r="M5871">
        <v>0</v>
      </c>
    </row>
    <row r="5872" spans="11:13" x14ac:dyDescent="0.2">
      <c r="K5872" t="s">
        <v>41</v>
      </c>
      <c r="L5872" t="s">
        <v>37</v>
      </c>
      <c r="M5872">
        <v>0</v>
      </c>
    </row>
    <row r="5873" spans="11:13" x14ac:dyDescent="0.2">
      <c r="K5873" t="s">
        <v>41</v>
      </c>
      <c r="L5873" t="s">
        <v>37</v>
      </c>
      <c r="M5873">
        <v>0</v>
      </c>
    </row>
    <row r="5874" spans="11:13" x14ac:dyDescent="0.2">
      <c r="K5874" t="s">
        <v>42</v>
      </c>
      <c r="L5874" t="s">
        <v>38</v>
      </c>
      <c r="M5874">
        <v>0</v>
      </c>
    </row>
    <row r="5875" spans="11:13" x14ac:dyDescent="0.2">
      <c r="K5875" t="s">
        <v>42</v>
      </c>
      <c r="L5875" t="s">
        <v>38</v>
      </c>
      <c r="M5875">
        <v>0</v>
      </c>
    </row>
    <row r="5876" spans="11:13" x14ac:dyDescent="0.2">
      <c r="K5876" t="s">
        <v>42</v>
      </c>
      <c r="L5876" t="s">
        <v>38</v>
      </c>
      <c r="M5876">
        <v>0</v>
      </c>
    </row>
    <row r="5877" spans="11:13" x14ac:dyDescent="0.2">
      <c r="K5877" t="s">
        <v>41</v>
      </c>
      <c r="L5877" t="s">
        <v>37</v>
      </c>
      <c r="M5877">
        <v>0</v>
      </c>
    </row>
    <row r="5878" spans="11:13" x14ac:dyDescent="0.2">
      <c r="K5878" t="s">
        <v>42</v>
      </c>
      <c r="L5878" t="s">
        <v>38</v>
      </c>
      <c r="M5878">
        <v>0</v>
      </c>
    </row>
    <row r="5879" spans="11:13" x14ac:dyDescent="0.2">
      <c r="K5879" t="s">
        <v>42</v>
      </c>
      <c r="L5879" t="s">
        <v>38</v>
      </c>
      <c r="M5879">
        <v>0</v>
      </c>
    </row>
    <row r="5880" spans="11:13" x14ac:dyDescent="0.2">
      <c r="K5880" t="s">
        <v>41</v>
      </c>
      <c r="L5880" t="s">
        <v>37</v>
      </c>
      <c r="M5880">
        <v>0</v>
      </c>
    </row>
    <row r="5881" spans="11:13" x14ac:dyDescent="0.2">
      <c r="K5881" t="s">
        <v>42</v>
      </c>
      <c r="L5881" t="s">
        <v>38</v>
      </c>
      <c r="M5881">
        <v>0</v>
      </c>
    </row>
    <row r="5882" spans="11:13" x14ac:dyDescent="0.2">
      <c r="K5882" t="s">
        <v>41</v>
      </c>
      <c r="L5882" t="s">
        <v>37</v>
      </c>
      <c r="M5882">
        <v>0</v>
      </c>
    </row>
    <row r="5883" spans="11:13" x14ac:dyDescent="0.2">
      <c r="K5883" t="s">
        <v>41</v>
      </c>
      <c r="L5883" t="s">
        <v>37</v>
      </c>
      <c r="M5883">
        <v>0</v>
      </c>
    </row>
    <row r="5884" spans="11:13" x14ac:dyDescent="0.2">
      <c r="K5884" t="s">
        <v>42</v>
      </c>
      <c r="L5884" t="s">
        <v>38</v>
      </c>
      <c r="M5884">
        <v>0</v>
      </c>
    </row>
    <row r="5885" spans="11:13" x14ac:dyDescent="0.2">
      <c r="K5885" t="s">
        <v>42</v>
      </c>
      <c r="L5885" t="s">
        <v>38</v>
      </c>
      <c r="M5885">
        <v>0</v>
      </c>
    </row>
    <row r="5886" spans="11:13" x14ac:dyDescent="0.2">
      <c r="K5886" t="s">
        <v>42</v>
      </c>
      <c r="L5886" t="s">
        <v>38</v>
      </c>
      <c r="M5886">
        <v>0</v>
      </c>
    </row>
    <row r="5887" spans="11:13" x14ac:dyDescent="0.2">
      <c r="K5887" t="s">
        <v>42</v>
      </c>
      <c r="L5887" t="s">
        <v>38</v>
      </c>
      <c r="M5887">
        <v>0</v>
      </c>
    </row>
    <row r="5888" spans="11:13" x14ac:dyDescent="0.2">
      <c r="K5888" t="s">
        <v>42</v>
      </c>
      <c r="L5888" t="s">
        <v>38</v>
      </c>
      <c r="M5888">
        <v>0</v>
      </c>
    </row>
    <row r="5889" spans="11:13" x14ac:dyDescent="0.2">
      <c r="K5889" t="s">
        <v>42</v>
      </c>
      <c r="L5889" t="s">
        <v>38</v>
      </c>
      <c r="M5889">
        <v>0</v>
      </c>
    </row>
    <row r="5890" spans="11:13" x14ac:dyDescent="0.2">
      <c r="K5890" t="s">
        <v>42</v>
      </c>
      <c r="L5890" t="s">
        <v>38</v>
      </c>
      <c r="M5890">
        <v>0</v>
      </c>
    </row>
    <row r="5891" spans="11:13" x14ac:dyDescent="0.2">
      <c r="K5891" t="s">
        <v>41</v>
      </c>
      <c r="L5891" t="s">
        <v>37</v>
      </c>
      <c r="M5891">
        <v>0</v>
      </c>
    </row>
    <row r="5892" spans="11:13" x14ac:dyDescent="0.2">
      <c r="K5892" t="s">
        <v>42</v>
      </c>
      <c r="L5892" t="s">
        <v>38</v>
      </c>
      <c r="M5892">
        <v>1</v>
      </c>
    </row>
    <row r="5893" spans="11:13" x14ac:dyDescent="0.2">
      <c r="K5893" t="s">
        <v>42</v>
      </c>
      <c r="L5893" t="s">
        <v>38</v>
      </c>
      <c r="M5893">
        <v>0</v>
      </c>
    </row>
    <row r="5894" spans="11:13" x14ac:dyDescent="0.2">
      <c r="K5894" t="s">
        <v>42</v>
      </c>
      <c r="L5894" t="s">
        <v>38</v>
      </c>
      <c r="M5894">
        <v>0</v>
      </c>
    </row>
    <row r="5895" spans="11:13" x14ac:dyDescent="0.2">
      <c r="K5895" t="s">
        <v>41</v>
      </c>
      <c r="L5895" t="s">
        <v>37</v>
      </c>
      <c r="M5895">
        <v>0</v>
      </c>
    </row>
    <row r="5896" spans="11:13" x14ac:dyDescent="0.2">
      <c r="K5896" t="s">
        <v>42</v>
      </c>
      <c r="L5896" t="s">
        <v>38</v>
      </c>
      <c r="M5896">
        <v>0</v>
      </c>
    </row>
    <row r="5897" spans="11:13" x14ac:dyDescent="0.2">
      <c r="K5897" t="s">
        <v>42</v>
      </c>
      <c r="L5897" t="s">
        <v>38</v>
      </c>
      <c r="M5897">
        <v>0</v>
      </c>
    </row>
    <row r="5898" spans="11:13" x14ac:dyDescent="0.2">
      <c r="K5898" t="s">
        <v>42</v>
      </c>
      <c r="L5898" t="s">
        <v>38</v>
      </c>
      <c r="M5898">
        <v>0</v>
      </c>
    </row>
    <row r="5899" spans="11:13" x14ac:dyDescent="0.2">
      <c r="K5899" t="s">
        <v>41</v>
      </c>
      <c r="L5899" t="s">
        <v>37</v>
      </c>
      <c r="M5899">
        <v>0</v>
      </c>
    </row>
    <row r="5900" spans="11:13" x14ac:dyDescent="0.2">
      <c r="K5900" t="s">
        <v>41</v>
      </c>
      <c r="L5900" t="s">
        <v>37</v>
      </c>
      <c r="M5900">
        <v>1</v>
      </c>
    </row>
    <row r="5901" spans="11:13" x14ac:dyDescent="0.2">
      <c r="K5901" t="s">
        <v>41</v>
      </c>
      <c r="L5901" t="s">
        <v>37</v>
      </c>
      <c r="M5901">
        <v>1</v>
      </c>
    </row>
    <row r="5902" spans="11:13" x14ac:dyDescent="0.2">
      <c r="K5902" t="s">
        <v>41</v>
      </c>
      <c r="L5902" t="s">
        <v>37</v>
      </c>
      <c r="M5902">
        <v>0</v>
      </c>
    </row>
    <row r="5903" spans="11:13" x14ac:dyDescent="0.2">
      <c r="K5903" t="s">
        <v>42</v>
      </c>
      <c r="L5903" t="s">
        <v>38</v>
      </c>
      <c r="M5903">
        <v>0</v>
      </c>
    </row>
    <row r="5904" spans="11:13" x14ac:dyDescent="0.2">
      <c r="K5904" t="s">
        <v>41</v>
      </c>
      <c r="L5904" t="s">
        <v>37</v>
      </c>
      <c r="M5904">
        <v>0</v>
      </c>
    </row>
    <row r="5905" spans="11:13" x14ac:dyDescent="0.2">
      <c r="K5905" t="s">
        <v>42</v>
      </c>
      <c r="L5905" t="s">
        <v>38</v>
      </c>
      <c r="M5905">
        <v>1</v>
      </c>
    </row>
    <row r="5906" spans="11:13" x14ac:dyDescent="0.2">
      <c r="K5906" t="s">
        <v>41</v>
      </c>
      <c r="L5906" t="s">
        <v>37</v>
      </c>
      <c r="M5906">
        <v>1</v>
      </c>
    </row>
    <row r="5907" spans="11:13" x14ac:dyDescent="0.2">
      <c r="K5907" t="s">
        <v>41</v>
      </c>
      <c r="L5907" t="s">
        <v>37</v>
      </c>
      <c r="M5907">
        <v>0</v>
      </c>
    </row>
    <row r="5908" spans="11:13" x14ac:dyDescent="0.2">
      <c r="K5908" t="s">
        <v>41</v>
      </c>
      <c r="L5908" t="s">
        <v>37</v>
      </c>
      <c r="M5908">
        <v>0</v>
      </c>
    </row>
    <row r="5909" spans="11:13" x14ac:dyDescent="0.2">
      <c r="K5909" t="s">
        <v>42</v>
      </c>
      <c r="L5909" t="s">
        <v>38</v>
      </c>
      <c r="M5909">
        <v>0</v>
      </c>
    </row>
    <row r="5910" spans="11:13" x14ac:dyDescent="0.2">
      <c r="K5910" t="s">
        <v>41</v>
      </c>
      <c r="L5910" t="s">
        <v>37</v>
      </c>
      <c r="M5910">
        <v>0</v>
      </c>
    </row>
    <row r="5911" spans="11:13" x14ac:dyDescent="0.2">
      <c r="K5911" t="s">
        <v>42</v>
      </c>
      <c r="L5911" t="s">
        <v>38</v>
      </c>
      <c r="M5911">
        <v>0</v>
      </c>
    </row>
    <row r="5912" spans="11:13" x14ac:dyDescent="0.2">
      <c r="K5912" t="s">
        <v>42</v>
      </c>
      <c r="L5912" t="s">
        <v>38</v>
      </c>
      <c r="M5912">
        <v>0</v>
      </c>
    </row>
    <row r="5913" spans="11:13" x14ac:dyDescent="0.2">
      <c r="K5913" t="s">
        <v>42</v>
      </c>
      <c r="L5913" t="s">
        <v>38</v>
      </c>
      <c r="M5913">
        <v>0</v>
      </c>
    </row>
    <row r="5914" spans="11:13" x14ac:dyDescent="0.2">
      <c r="K5914" t="s">
        <v>41</v>
      </c>
      <c r="L5914" t="s">
        <v>37</v>
      </c>
      <c r="M5914">
        <v>0</v>
      </c>
    </row>
    <row r="5915" spans="11:13" x14ac:dyDescent="0.2">
      <c r="K5915" t="s">
        <v>42</v>
      </c>
      <c r="L5915" t="s">
        <v>38</v>
      </c>
      <c r="M5915">
        <v>0</v>
      </c>
    </row>
    <row r="5916" spans="11:13" x14ac:dyDescent="0.2">
      <c r="K5916" t="s">
        <v>41</v>
      </c>
      <c r="L5916" t="s">
        <v>37</v>
      </c>
      <c r="M5916">
        <v>0</v>
      </c>
    </row>
    <row r="5917" spans="11:13" x14ac:dyDescent="0.2">
      <c r="K5917" t="s">
        <v>42</v>
      </c>
      <c r="L5917" t="s">
        <v>38</v>
      </c>
      <c r="M5917">
        <v>0</v>
      </c>
    </row>
    <row r="5918" spans="11:13" x14ac:dyDescent="0.2">
      <c r="K5918" t="s">
        <v>42</v>
      </c>
      <c r="L5918" t="s">
        <v>38</v>
      </c>
      <c r="M5918">
        <v>0</v>
      </c>
    </row>
    <row r="5919" spans="11:13" x14ac:dyDescent="0.2">
      <c r="K5919" t="s">
        <v>42</v>
      </c>
      <c r="L5919" t="s">
        <v>38</v>
      </c>
      <c r="M5919">
        <v>0</v>
      </c>
    </row>
    <row r="5920" spans="11:13" x14ac:dyDescent="0.2">
      <c r="K5920" t="s">
        <v>42</v>
      </c>
      <c r="L5920" t="s">
        <v>38</v>
      </c>
      <c r="M5920">
        <v>0</v>
      </c>
    </row>
    <row r="5921" spans="11:13" x14ac:dyDescent="0.2">
      <c r="K5921" t="s">
        <v>41</v>
      </c>
      <c r="L5921" t="s">
        <v>37</v>
      </c>
      <c r="M5921">
        <v>0</v>
      </c>
    </row>
    <row r="5922" spans="11:13" x14ac:dyDescent="0.2">
      <c r="K5922" t="s">
        <v>42</v>
      </c>
      <c r="L5922" t="s">
        <v>38</v>
      </c>
      <c r="M5922">
        <v>0</v>
      </c>
    </row>
    <row r="5923" spans="11:13" x14ac:dyDescent="0.2">
      <c r="K5923" t="s">
        <v>42</v>
      </c>
      <c r="L5923" t="s">
        <v>38</v>
      </c>
      <c r="M5923">
        <v>0</v>
      </c>
    </row>
    <row r="5924" spans="11:13" x14ac:dyDescent="0.2">
      <c r="K5924" t="s">
        <v>41</v>
      </c>
      <c r="L5924" t="s">
        <v>37</v>
      </c>
      <c r="M5924">
        <v>0</v>
      </c>
    </row>
    <row r="5925" spans="11:13" x14ac:dyDescent="0.2">
      <c r="K5925" t="s">
        <v>42</v>
      </c>
      <c r="L5925" t="s">
        <v>38</v>
      </c>
      <c r="M5925">
        <v>0</v>
      </c>
    </row>
    <row r="5926" spans="11:13" x14ac:dyDescent="0.2">
      <c r="K5926" t="s">
        <v>42</v>
      </c>
      <c r="L5926" t="s">
        <v>38</v>
      </c>
      <c r="M5926">
        <v>0</v>
      </c>
    </row>
    <row r="5927" spans="11:13" x14ac:dyDescent="0.2">
      <c r="K5927" t="s">
        <v>42</v>
      </c>
      <c r="L5927" t="s">
        <v>38</v>
      </c>
      <c r="M5927">
        <v>0</v>
      </c>
    </row>
    <row r="5928" spans="11:13" x14ac:dyDescent="0.2">
      <c r="K5928" t="s">
        <v>42</v>
      </c>
      <c r="L5928" t="s">
        <v>38</v>
      </c>
      <c r="M5928">
        <v>0</v>
      </c>
    </row>
    <row r="5929" spans="11:13" x14ac:dyDescent="0.2">
      <c r="K5929" t="s">
        <v>42</v>
      </c>
      <c r="L5929" t="s">
        <v>38</v>
      </c>
      <c r="M5929">
        <v>0</v>
      </c>
    </row>
    <row r="5930" spans="11:13" x14ac:dyDescent="0.2">
      <c r="K5930" t="s">
        <v>42</v>
      </c>
      <c r="L5930" t="s">
        <v>38</v>
      </c>
      <c r="M5930">
        <v>0</v>
      </c>
    </row>
    <row r="5931" spans="11:13" x14ac:dyDescent="0.2">
      <c r="K5931" t="s">
        <v>42</v>
      </c>
      <c r="L5931" t="s">
        <v>38</v>
      </c>
      <c r="M5931">
        <v>0</v>
      </c>
    </row>
    <row r="5932" spans="11:13" x14ac:dyDescent="0.2">
      <c r="K5932" t="s">
        <v>42</v>
      </c>
      <c r="L5932" t="s">
        <v>38</v>
      </c>
      <c r="M5932">
        <v>0</v>
      </c>
    </row>
    <row r="5933" spans="11:13" x14ac:dyDescent="0.2">
      <c r="K5933" t="s">
        <v>41</v>
      </c>
      <c r="L5933" t="s">
        <v>37</v>
      </c>
      <c r="M5933">
        <v>0</v>
      </c>
    </row>
    <row r="5934" spans="11:13" x14ac:dyDescent="0.2">
      <c r="K5934" t="s">
        <v>42</v>
      </c>
      <c r="L5934" t="s">
        <v>38</v>
      </c>
      <c r="M5934">
        <v>1</v>
      </c>
    </row>
    <row r="5935" spans="11:13" x14ac:dyDescent="0.2">
      <c r="K5935" t="s">
        <v>42</v>
      </c>
      <c r="L5935" t="s">
        <v>38</v>
      </c>
      <c r="M5935">
        <v>0</v>
      </c>
    </row>
    <row r="5936" spans="11:13" x14ac:dyDescent="0.2">
      <c r="K5936" t="s">
        <v>41</v>
      </c>
      <c r="L5936" t="s">
        <v>37</v>
      </c>
      <c r="M5936">
        <v>0</v>
      </c>
    </row>
    <row r="5937" spans="11:13" x14ac:dyDescent="0.2">
      <c r="K5937" t="s">
        <v>41</v>
      </c>
      <c r="L5937" t="s">
        <v>37</v>
      </c>
      <c r="M5937">
        <v>0</v>
      </c>
    </row>
    <row r="5938" spans="11:13" x14ac:dyDescent="0.2">
      <c r="K5938" t="s">
        <v>41</v>
      </c>
      <c r="L5938" t="s">
        <v>37</v>
      </c>
      <c r="M5938">
        <v>0</v>
      </c>
    </row>
    <row r="5939" spans="11:13" x14ac:dyDescent="0.2">
      <c r="K5939" t="s">
        <v>42</v>
      </c>
      <c r="L5939" t="s">
        <v>38</v>
      </c>
      <c r="M5939">
        <v>0</v>
      </c>
    </row>
    <row r="5940" spans="11:13" x14ac:dyDescent="0.2">
      <c r="K5940" t="s">
        <v>42</v>
      </c>
      <c r="L5940" t="s">
        <v>38</v>
      </c>
      <c r="M5940">
        <v>0</v>
      </c>
    </row>
    <row r="5941" spans="11:13" x14ac:dyDescent="0.2">
      <c r="K5941" t="s">
        <v>41</v>
      </c>
      <c r="L5941" t="s">
        <v>37</v>
      </c>
      <c r="M5941">
        <v>0</v>
      </c>
    </row>
    <row r="5942" spans="11:13" x14ac:dyDescent="0.2">
      <c r="K5942" t="s">
        <v>42</v>
      </c>
      <c r="L5942" t="s">
        <v>38</v>
      </c>
      <c r="M5942">
        <v>0</v>
      </c>
    </row>
    <row r="5943" spans="11:13" x14ac:dyDescent="0.2">
      <c r="K5943" t="s">
        <v>41</v>
      </c>
      <c r="L5943" t="s">
        <v>37</v>
      </c>
      <c r="M5943">
        <v>0</v>
      </c>
    </row>
    <row r="5944" spans="11:13" x14ac:dyDescent="0.2">
      <c r="K5944" t="s">
        <v>42</v>
      </c>
      <c r="L5944" t="s">
        <v>38</v>
      </c>
      <c r="M5944">
        <v>0</v>
      </c>
    </row>
    <row r="5945" spans="11:13" x14ac:dyDescent="0.2">
      <c r="K5945" t="s">
        <v>42</v>
      </c>
      <c r="L5945" t="s">
        <v>38</v>
      </c>
      <c r="M5945">
        <v>0</v>
      </c>
    </row>
    <row r="5946" spans="11:13" x14ac:dyDescent="0.2">
      <c r="K5946" t="s">
        <v>41</v>
      </c>
      <c r="L5946" t="s">
        <v>37</v>
      </c>
      <c r="M5946">
        <v>0</v>
      </c>
    </row>
    <row r="5947" spans="11:13" x14ac:dyDescent="0.2">
      <c r="K5947" t="s">
        <v>41</v>
      </c>
      <c r="L5947" t="s">
        <v>37</v>
      </c>
      <c r="M5947">
        <v>0</v>
      </c>
    </row>
    <row r="5948" spans="11:13" x14ac:dyDescent="0.2">
      <c r="K5948" t="s">
        <v>41</v>
      </c>
      <c r="L5948" t="s">
        <v>37</v>
      </c>
      <c r="M5948">
        <v>0</v>
      </c>
    </row>
    <row r="5949" spans="11:13" x14ac:dyDescent="0.2">
      <c r="K5949" t="s">
        <v>41</v>
      </c>
      <c r="L5949" t="s">
        <v>37</v>
      </c>
      <c r="M5949">
        <v>0</v>
      </c>
    </row>
    <row r="5950" spans="11:13" x14ac:dyDescent="0.2">
      <c r="K5950" t="s">
        <v>41</v>
      </c>
      <c r="L5950" t="s">
        <v>37</v>
      </c>
      <c r="M5950">
        <v>0</v>
      </c>
    </row>
    <row r="5951" spans="11:13" x14ac:dyDescent="0.2">
      <c r="K5951" t="s">
        <v>42</v>
      </c>
      <c r="L5951" t="s">
        <v>38</v>
      </c>
      <c r="M5951">
        <v>1</v>
      </c>
    </row>
    <row r="5952" spans="11:13" x14ac:dyDescent="0.2">
      <c r="K5952" t="s">
        <v>42</v>
      </c>
      <c r="L5952" t="s">
        <v>38</v>
      </c>
      <c r="M5952">
        <v>0</v>
      </c>
    </row>
    <row r="5953" spans="11:13" x14ac:dyDescent="0.2">
      <c r="K5953" t="s">
        <v>42</v>
      </c>
      <c r="L5953" t="s">
        <v>38</v>
      </c>
      <c r="M5953">
        <v>0</v>
      </c>
    </row>
    <row r="5954" spans="11:13" x14ac:dyDescent="0.2">
      <c r="K5954" t="s">
        <v>42</v>
      </c>
      <c r="L5954" t="s">
        <v>38</v>
      </c>
      <c r="M5954">
        <v>0</v>
      </c>
    </row>
    <row r="5955" spans="11:13" x14ac:dyDescent="0.2">
      <c r="K5955" t="s">
        <v>42</v>
      </c>
      <c r="L5955" t="s">
        <v>38</v>
      </c>
      <c r="M5955">
        <v>0</v>
      </c>
    </row>
    <row r="5956" spans="11:13" x14ac:dyDescent="0.2">
      <c r="K5956" t="s">
        <v>42</v>
      </c>
      <c r="L5956" t="s">
        <v>38</v>
      </c>
      <c r="M5956">
        <v>0</v>
      </c>
    </row>
    <row r="5957" spans="11:13" x14ac:dyDescent="0.2">
      <c r="K5957" t="s">
        <v>42</v>
      </c>
      <c r="L5957" t="s">
        <v>38</v>
      </c>
      <c r="M5957">
        <v>0</v>
      </c>
    </row>
    <row r="5958" spans="11:13" x14ac:dyDescent="0.2">
      <c r="K5958" t="s">
        <v>42</v>
      </c>
      <c r="L5958" t="s">
        <v>38</v>
      </c>
      <c r="M5958">
        <v>0</v>
      </c>
    </row>
    <row r="5959" spans="11:13" x14ac:dyDescent="0.2">
      <c r="K5959" t="s">
        <v>42</v>
      </c>
      <c r="L5959" t="s">
        <v>38</v>
      </c>
      <c r="M5959">
        <v>0</v>
      </c>
    </row>
    <row r="5960" spans="11:13" x14ac:dyDescent="0.2">
      <c r="K5960" t="s">
        <v>41</v>
      </c>
      <c r="L5960" t="s">
        <v>37</v>
      </c>
      <c r="M5960">
        <v>0</v>
      </c>
    </row>
    <row r="5961" spans="11:13" x14ac:dyDescent="0.2">
      <c r="K5961" t="s">
        <v>42</v>
      </c>
      <c r="L5961" t="s">
        <v>38</v>
      </c>
      <c r="M5961">
        <v>0</v>
      </c>
    </row>
    <row r="5962" spans="11:13" x14ac:dyDescent="0.2">
      <c r="K5962" t="s">
        <v>41</v>
      </c>
      <c r="L5962" t="s">
        <v>37</v>
      </c>
      <c r="M5962">
        <v>0</v>
      </c>
    </row>
    <row r="5963" spans="11:13" x14ac:dyDescent="0.2">
      <c r="K5963" t="s">
        <v>42</v>
      </c>
      <c r="L5963" t="s">
        <v>38</v>
      </c>
      <c r="M5963">
        <v>0</v>
      </c>
    </row>
    <row r="5964" spans="11:13" x14ac:dyDescent="0.2">
      <c r="K5964" t="s">
        <v>41</v>
      </c>
      <c r="L5964" t="s">
        <v>37</v>
      </c>
      <c r="M5964">
        <v>0</v>
      </c>
    </row>
    <row r="5965" spans="11:13" x14ac:dyDescent="0.2">
      <c r="K5965" t="s">
        <v>42</v>
      </c>
      <c r="L5965" t="s">
        <v>38</v>
      </c>
      <c r="M5965">
        <v>0</v>
      </c>
    </row>
    <row r="5966" spans="11:13" x14ac:dyDescent="0.2">
      <c r="K5966" t="s">
        <v>42</v>
      </c>
      <c r="L5966" t="s">
        <v>38</v>
      </c>
      <c r="M5966">
        <v>0</v>
      </c>
    </row>
    <row r="5967" spans="11:13" x14ac:dyDescent="0.2">
      <c r="K5967" t="s">
        <v>42</v>
      </c>
      <c r="L5967" t="s">
        <v>38</v>
      </c>
      <c r="M5967">
        <v>0</v>
      </c>
    </row>
    <row r="5968" spans="11:13" x14ac:dyDescent="0.2">
      <c r="K5968" t="s">
        <v>42</v>
      </c>
      <c r="L5968" t="s">
        <v>38</v>
      </c>
      <c r="M5968">
        <v>0</v>
      </c>
    </row>
    <row r="5969" spans="11:13" x14ac:dyDescent="0.2">
      <c r="K5969" t="s">
        <v>42</v>
      </c>
      <c r="L5969" t="s">
        <v>38</v>
      </c>
      <c r="M5969">
        <v>0</v>
      </c>
    </row>
    <row r="5970" spans="11:13" x14ac:dyDescent="0.2">
      <c r="K5970" t="s">
        <v>42</v>
      </c>
      <c r="L5970" t="s">
        <v>38</v>
      </c>
      <c r="M5970">
        <v>0</v>
      </c>
    </row>
    <row r="5971" spans="11:13" x14ac:dyDescent="0.2">
      <c r="K5971" t="s">
        <v>42</v>
      </c>
      <c r="L5971" t="s">
        <v>38</v>
      </c>
      <c r="M5971">
        <v>0</v>
      </c>
    </row>
    <row r="5972" spans="11:13" x14ac:dyDescent="0.2">
      <c r="K5972" t="s">
        <v>42</v>
      </c>
      <c r="L5972" t="s">
        <v>38</v>
      </c>
      <c r="M5972">
        <v>0</v>
      </c>
    </row>
    <row r="5973" spans="11:13" x14ac:dyDescent="0.2">
      <c r="K5973" t="s">
        <v>42</v>
      </c>
      <c r="L5973" t="s">
        <v>38</v>
      </c>
      <c r="M5973">
        <v>0</v>
      </c>
    </row>
    <row r="5974" spans="11:13" x14ac:dyDescent="0.2">
      <c r="K5974" t="s">
        <v>42</v>
      </c>
      <c r="L5974" t="s">
        <v>38</v>
      </c>
      <c r="M5974">
        <v>0</v>
      </c>
    </row>
    <row r="5975" spans="11:13" x14ac:dyDescent="0.2">
      <c r="K5975" t="s">
        <v>42</v>
      </c>
      <c r="L5975" t="s">
        <v>38</v>
      </c>
      <c r="M5975">
        <v>0</v>
      </c>
    </row>
    <row r="5976" spans="11:13" x14ac:dyDescent="0.2">
      <c r="K5976" t="s">
        <v>41</v>
      </c>
      <c r="L5976" t="s">
        <v>37</v>
      </c>
      <c r="M5976">
        <v>0</v>
      </c>
    </row>
    <row r="5977" spans="11:13" x14ac:dyDescent="0.2">
      <c r="K5977" t="s">
        <v>42</v>
      </c>
      <c r="L5977" t="s">
        <v>38</v>
      </c>
      <c r="M5977">
        <v>0</v>
      </c>
    </row>
    <row r="5978" spans="11:13" x14ac:dyDescent="0.2">
      <c r="K5978" t="s">
        <v>41</v>
      </c>
      <c r="L5978" t="s">
        <v>37</v>
      </c>
      <c r="M5978">
        <v>0</v>
      </c>
    </row>
    <row r="5979" spans="11:13" x14ac:dyDescent="0.2">
      <c r="K5979" t="s">
        <v>42</v>
      </c>
      <c r="L5979" t="s">
        <v>38</v>
      </c>
      <c r="M5979">
        <v>0</v>
      </c>
    </row>
    <row r="5980" spans="11:13" x14ac:dyDescent="0.2">
      <c r="K5980" t="s">
        <v>42</v>
      </c>
      <c r="L5980" t="s">
        <v>38</v>
      </c>
      <c r="M5980">
        <v>0</v>
      </c>
    </row>
    <row r="5981" spans="11:13" x14ac:dyDescent="0.2">
      <c r="K5981" t="s">
        <v>41</v>
      </c>
      <c r="L5981" t="s">
        <v>37</v>
      </c>
      <c r="M5981">
        <v>0</v>
      </c>
    </row>
    <row r="5982" spans="11:13" x14ac:dyDescent="0.2">
      <c r="K5982" t="s">
        <v>41</v>
      </c>
      <c r="L5982" t="s">
        <v>37</v>
      </c>
      <c r="M5982">
        <v>0</v>
      </c>
    </row>
    <row r="5983" spans="11:13" x14ac:dyDescent="0.2">
      <c r="K5983" t="s">
        <v>42</v>
      </c>
      <c r="L5983" t="s">
        <v>38</v>
      </c>
      <c r="M5983">
        <v>0</v>
      </c>
    </row>
    <row r="5984" spans="11:13" x14ac:dyDescent="0.2">
      <c r="K5984" t="s">
        <v>42</v>
      </c>
      <c r="L5984" t="s">
        <v>38</v>
      </c>
      <c r="M5984">
        <v>0</v>
      </c>
    </row>
    <row r="5985" spans="11:13" x14ac:dyDescent="0.2">
      <c r="K5985" t="s">
        <v>42</v>
      </c>
      <c r="L5985" t="s">
        <v>38</v>
      </c>
      <c r="M5985">
        <v>0</v>
      </c>
    </row>
    <row r="5986" spans="11:13" x14ac:dyDescent="0.2">
      <c r="K5986" t="s">
        <v>41</v>
      </c>
      <c r="L5986" t="s">
        <v>37</v>
      </c>
      <c r="M5986">
        <v>0</v>
      </c>
    </row>
    <row r="5987" spans="11:13" x14ac:dyDescent="0.2">
      <c r="K5987" t="s">
        <v>42</v>
      </c>
      <c r="L5987" t="s">
        <v>38</v>
      </c>
      <c r="M5987">
        <v>0</v>
      </c>
    </row>
    <row r="5988" spans="11:13" x14ac:dyDescent="0.2">
      <c r="K5988" t="s">
        <v>42</v>
      </c>
      <c r="L5988" t="s">
        <v>38</v>
      </c>
      <c r="M5988">
        <v>0</v>
      </c>
    </row>
    <row r="5989" spans="11:13" x14ac:dyDescent="0.2">
      <c r="K5989" t="s">
        <v>42</v>
      </c>
      <c r="L5989" t="s">
        <v>38</v>
      </c>
      <c r="M5989">
        <v>0</v>
      </c>
    </row>
    <row r="5990" spans="11:13" x14ac:dyDescent="0.2">
      <c r="K5990" t="s">
        <v>42</v>
      </c>
      <c r="L5990" t="s">
        <v>38</v>
      </c>
      <c r="M5990">
        <v>0</v>
      </c>
    </row>
    <row r="5991" spans="11:13" x14ac:dyDescent="0.2">
      <c r="K5991" t="s">
        <v>41</v>
      </c>
      <c r="L5991" t="s">
        <v>37</v>
      </c>
      <c r="M5991">
        <v>0</v>
      </c>
    </row>
    <row r="5992" spans="11:13" x14ac:dyDescent="0.2">
      <c r="K5992" t="s">
        <v>42</v>
      </c>
      <c r="L5992" t="s">
        <v>38</v>
      </c>
      <c r="M5992">
        <v>0</v>
      </c>
    </row>
    <row r="5993" spans="11:13" x14ac:dyDescent="0.2">
      <c r="K5993" t="s">
        <v>42</v>
      </c>
      <c r="L5993" t="s">
        <v>38</v>
      </c>
      <c r="M5993">
        <v>0</v>
      </c>
    </row>
    <row r="5994" spans="11:13" x14ac:dyDescent="0.2">
      <c r="K5994" t="s">
        <v>41</v>
      </c>
      <c r="L5994" t="s">
        <v>37</v>
      </c>
      <c r="M5994">
        <v>0</v>
      </c>
    </row>
    <row r="5995" spans="11:13" x14ac:dyDescent="0.2">
      <c r="K5995" t="s">
        <v>42</v>
      </c>
      <c r="L5995" t="s">
        <v>38</v>
      </c>
      <c r="M5995">
        <v>0</v>
      </c>
    </row>
    <row r="5996" spans="11:13" x14ac:dyDescent="0.2">
      <c r="K5996" t="s">
        <v>42</v>
      </c>
      <c r="L5996" t="s">
        <v>38</v>
      </c>
      <c r="M5996">
        <v>0</v>
      </c>
    </row>
    <row r="5997" spans="11:13" x14ac:dyDescent="0.2">
      <c r="K5997" t="s">
        <v>42</v>
      </c>
      <c r="L5997" t="s">
        <v>38</v>
      </c>
      <c r="M5997">
        <v>0</v>
      </c>
    </row>
    <row r="5998" spans="11:13" x14ac:dyDescent="0.2">
      <c r="K5998" t="s">
        <v>42</v>
      </c>
      <c r="L5998" t="s">
        <v>38</v>
      </c>
      <c r="M5998">
        <v>0</v>
      </c>
    </row>
    <row r="5999" spans="11:13" x14ac:dyDescent="0.2">
      <c r="K5999" t="s">
        <v>42</v>
      </c>
      <c r="L5999" t="s">
        <v>38</v>
      </c>
      <c r="M5999">
        <v>0</v>
      </c>
    </row>
    <row r="6000" spans="11:13" x14ac:dyDescent="0.2">
      <c r="K6000" t="s">
        <v>41</v>
      </c>
      <c r="L6000" t="s">
        <v>37</v>
      </c>
      <c r="M6000">
        <v>0</v>
      </c>
    </row>
    <row r="6001" spans="11:13" x14ac:dyDescent="0.2">
      <c r="K6001" t="s">
        <v>42</v>
      </c>
      <c r="L6001" t="s">
        <v>38</v>
      </c>
      <c r="M6001">
        <v>0</v>
      </c>
    </row>
    <row r="6002" spans="11:13" x14ac:dyDescent="0.2">
      <c r="K6002" t="s">
        <v>42</v>
      </c>
      <c r="L6002" t="s">
        <v>38</v>
      </c>
      <c r="M6002">
        <v>0</v>
      </c>
    </row>
    <row r="6003" spans="11:13" x14ac:dyDescent="0.2">
      <c r="K6003" t="s">
        <v>41</v>
      </c>
      <c r="L6003" t="s">
        <v>37</v>
      </c>
      <c r="M6003">
        <v>0</v>
      </c>
    </row>
    <row r="6004" spans="11:13" x14ac:dyDescent="0.2">
      <c r="K6004" t="s">
        <v>41</v>
      </c>
      <c r="L6004" t="s">
        <v>37</v>
      </c>
      <c r="M6004">
        <v>0</v>
      </c>
    </row>
    <row r="6005" spans="11:13" x14ac:dyDescent="0.2">
      <c r="K6005" t="s">
        <v>42</v>
      </c>
      <c r="L6005" t="s">
        <v>38</v>
      </c>
      <c r="M6005">
        <v>0</v>
      </c>
    </row>
    <row r="6006" spans="11:13" x14ac:dyDescent="0.2">
      <c r="K6006" t="s">
        <v>41</v>
      </c>
      <c r="L6006" t="s">
        <v>37</v>
      </c>
      <c r="M6006">
        <v>0</v>
      </c>
    </row>
    <row r="6007" spans="11:13" x14ac:dyDescent="0.2">
      <c r="K6007" t="s">
        <v>41</v>
      </c>
      <c r="L6007" t="s">
        <v>37</v>
      </c>
      <c r="M6007">
        <v>0</v>
      </c>
    </row>
    <row r="6008" spans="11:13" x14ac:dyDescent="0.2">
      <c r="K6008" t="s">
        <v>42</v>
      </c>
      <c r="L6008" t="s">
        <v>38</v>
      </c>
      <c r="M6008">
        <v>0</v>
      </c>
    </row>
    <row r="6009" spans="11:13" x14ac:dyDescent="0.2">
      <c r="K6009" t="s">
        <v>42</v>
      </c>
      <c r="L6009" t="s">
        <v>38</v>
      </c>
      <c r="M6009">
        <v>0</v>
      </c>
    </row>
    <row r="6010" spans="11:13" x14ac:dyDescent="0.2">
      <c r="K6010" t="s">
        <v>41</v>
      </c>
      <c r="L6010" t="s">
        <v>37</v>
      </c>
      <c r="M6010">
        <v>0</v>
      </c>
    </row>
    <row r="6011" spans="11:13" x14ac:dyDescent="0.2">
      <c r="K6011" t="s">
        <v>42</v>
      </c>
      <c r="L6011" t="s">
        <v>38</v>
      </c>
      <c r="M6011">
        <v>1</v>
      </c>
    </row>
    <row r="6012" spans="11:13" x14ac:dyDescent="0.2">
      <c r="K6012" t="s">
        <v>42</v>
      </c>
      <c r="L6012" t="s">
        <v>38</v>
      </c>
      <c r="M6012">
        <v>0</v>
      </c>
    </row>
    <row r="6013" spans="11:13" x14ac:dyDescent="0.2">
      <c r="K6013" t="s">
        <v>42</v>
      </c>
      <c r="L6013" t="s">
        <v>38</v>
      </c>
      <c r="M6013">
        <v>0</v>
      </c>
    </row>
    <row r="6014" spans="11:13" x14ac:dyDescent="0.2">
      <c r="K6014" t="s">
        <v>42</v>
      </c>
      <c r="L6014" t="s">
        <v>38</v>
      </c>
      <c r="M6014">
        <v>0</v>
      </c>
    </row>
    <row r="6015" spans="11:13" x14ac:dyDescent="0.2">
      <c r="K6015" t="s">
        <v>41</v>
      </c>
      <c r="L6015" t="s">
        <v>37</v>
      </c>
      <c r="M6015">
        <v>0</v>
      </c>
    </row>
    <row r="6016" spans="11:13" x14ac:dyDescent="0.2">
      <c r="K6016" t="s">
        <v>42</v>
      </c>
      <c r="L6016" t="s">
        <v>38</v>
      </c>
      <c r="M6016">
        <v>0</v>
      </c>
    </row>
    <row r="6017" spans="11:13" x14ac:dyDescent="0.2">
      <c r="K6017" t="s">
        <v>41</v>
      </c>
      <c r="L6017" t="s">
        <v>37</v>
      </c>
      <c r="M6017">
        <v>0</v>
      </c>
    </row>
    <row r="6018" spans="11:13" x14ac:dyDescent="0.2">
      <c r="K6018" t="s">
        <v>42</v>
      </c>
      <c r="L6018" t="s">
        <v>38</v>
      </c>
      <c r="M6018">
        <v>0</v>
      </c>
    </row>
    <row r="6019" spans="11:13" x14ac:dyDescent="0.2">
      <c r="K6019" t="s">
        <v>42</v>
      </c>
      <c r="L6019" t="s">
        <v>38</v>
      </c>
      <c r="M6019">
        <v>0</v>
      </c>
    </row>
    <row r="6020" spans="11:13" x14ac:dyDescent="0.2">
      <c r="K6020" t="s">
        <v>42</v>
      </c>
      <c r="L6020" t="s">
        <v>38</v>
      </c>
      <c r="M6020">
        <v>0</v>
      </c>
    </row>
    <row r="6021" spans="11:13" x14ac:dyDescent="0.2">
      <c r="K6021" t="s">
        <v>41</v>
      </c>
      <c r="L6021" t="s">
        <v>37</v>
      </c>
      <c r="M6021">
        <v>0</v>
      </c>
    </row>
    <row r="6022" spans="11:13" x14ac:dyDescent="0.2">
      <c r="K6022" t="s">
        <v>42</v>
      </c>
      <c r="L6022" t="s">
        <v>38</v>
      </c>
      <c r="M6022">
        <v>0</v>
      </c>
    </row>
    <row r="6023" spans="11:13" x14ac:dyDescent="0.2">
      <c r="K6023" t="s">
        <v>42</v>
      </c>
      <c r="L6023" t="s">
        <v>38</v>
      </c>
      <c r="M6023">
        <v>0</v>
      </c>
    </row>
    <row r="6024" spans="11:13" x14ac:dyDescent="0.2">
      <c r="K6024" t="s">
        <v>42</v>
      </c>
      <c r="L6024" t="s">
        <v>38</v>
      </c>
      <c r="M6024">
        <v>0</v>
      </c>
    </row>
    <row r="6025" spans="11:13" x14ac:dyDescent="0.2">
      <c r="K6025" t="s">
        <v>42</v>
      </c>
      <c r="L6025" t="s">
        <v>38</v>
      </c>
      <c r="M6025">
        <v>0</v>
      </c>
    </row>
    <row r="6026" spans="11:13" x14ac:dyDescent="0.2">
      <c r="K6026" t="s">
        <v>41</v>
      </c>
      <c r="L6026" t="s">
        <v>37</v>
      </c>
      <c r="M6026">
        <v>0</v>
      </c>
    </row>
    <row r="6027" spans="11:13" x14ac:dyDescent="0.2">
      <c r="K6027" t="s">
        <v>42</v>
      </c>
      <c r="L6027" t="s">
        <v>38</v>
      </c>
      <c r="M6027">
        <v>0</v>
      </c>
    </row>
    <row r="6028" spans="11:13" x14ac:dyDescent="0.2">
      <c r="K6028" t="s">
        <v>41</v>
      </c>
      <c r="L6028" t="s">
        <v>37</v>
      </c>
      <c r="M6028">
        <v>0</v>
      </c>
    </row>
    <row r="6029" spans="11:13" x14ac:dyDescent="0.2">
      <c r="K6029" t="s">
        <v>41</v>
      </c>
      <c r="L6029" t="s">
        <v>37</v>
      </c>
      <c r="M6029">
        <v>0</v>
      </c>
    </row>
    <row r="6030" spans="11:13" x14ac:dyDescent="0.2">
      <c r="K6030" t="s">
        <v>41</v>
      </c>
      <c r="L6030" t="s">
        <v>37</v>
      </c>
      <c r="M6030">
        <v>0</v>
      </c>
    </row>
    <row r="6031" spans="11:13" x14ac:dyDescent="0.2">
      <c r="K6031" t="s">
        <v>41</v>
      </c>
      <c r="L6031" t="s">
        <v>37</v>
      </c>
      <c r="M6031">
        <v>0</v>
      </c>
    </row>
    <row r="6032" spans="11:13" x14ac:dyDescent="0.2">
      <c r="K6032" t="s">
        <v>42</v>
      </c>
      <c r="L6032" t="s">
        <v>38</v>
      </c>
      <c r="M6032">
        <v>0</v>
      </c>
    </row>
    <row r="6033" spans="11:13" x14ac:dyDescent="0.2">
      <c r="K6033" t="s">
        <v>41</v>
      </c>
      <c r="L6033" t="s">
        <v>37</v>
      </c>
      <c r="M6033">
        <v>0</v>
      </c>
    </row>
    <row r="6034" spans="11:13" x14ac:dyDescent="0.2">
      <c r="K6034" t="s">
        <v>41</v>
      </c>
      <c r="L6034" t="s">
        <v>37</v>
      </c>
      <c r="M6034">
        <v>0</v>
      </c>
    </row>
    <row r="6035" spans="11:13" x14ac:dyDescent="0.2">
      <c r="K6035" t="s">
        <v>42</v>
      </c>
      <c r="L6035" t="s">
        <v>38</v>
      </c>
      <c r="M6035">
        <v>0</v>
      </c>
    </row>
    <row r="6036" spans="11:13" x14ac:dyDescent="0.2">
      <c r="K6036" t="s">
        <v>41</v>
      </c>
      <c r="L6036" t="s">
        <v>37</v>
      </c>
      <c r="M6036">
        <v>0</v>
      </c>
    </row>
    <row r="6037" spans="11:13" x14ac:dyDescent="0.2">
      <c r="K6037" t="s">
        <v>41</v>
      </c>
      <c r="L6037" t="s">
        <v>37</v>
      </c>
      <c r="M6037">
        <v>0</v>
      </c>
    </row>
    <row r="6038" spans="11:13" x14ac:dyDescent="0.2">
      <c r="K6038" t="s">
        <v>42</v>
      </c>
      <c r="L6038" t="s">
        <v>38</v>
      </c>
      <c r="M6038">
        <v>0</v>
      </c>
    </row>
    <row r="6039" spans="11:13" x14ac:dyDescent="0.2">
      <c r="K6039" t="s">
        <v>41</v>
      </c>
      <c r="L6039" t="s">
        <v>37</v>
      </c>
      <c r="M6039">
        <v>0</v>
      </c>
    </row>
    <row r="6040" spans="11:13" x14ac:dyDescent="0.2">
      <c r="K6040" t="s">
        <v>42</v>
      </c>
      <c r="L6040" t="s">
        <v>38</v>
      </c>
      <c r="M6040">
        <v>0</v>
      </c>
    </row>
    <row r="6041" spans="11:13" x14ac:dyDescent="0.2">
      <c r="K6041" t="s">
        <v>42</v>
      </c>
      <c r="L6041" t="s">
        <v>38</v>
      </c>
      <c r="M6041">
        <v>0</v>
      </c>
    </row>
    <row r="6042" spans="11:13" x14ac:dyDescent="0.2">
      <c r="K6042" t="s">
        <v>41</v>
      </c>
      <c r="L6042" t="s">
        <v>37</v>
      </c>
      <c r="M6042">
        <v>0</v>
      </c>
    </row>
    <row r="6043" spans="11:13" x14ac:dyDescent="0.2">
      <c r="K6043" t="s">
        <v>42</v>
      </c>
      <c r="L6043" t="s">
        <v>38</v>
      </c>
      <c r="M6043">
        <v>0</v>
      </c>
    </row>
    <row r="6044" spans="11:13" x14ac:dyDescent="0.2">
      <c r="K6044" t="s">
        <v>42</v>
      </c>
      <c r="L6044" t="s">
        <v>38</v>
      </c>
      <c r="M6044">
        <v>0</v>
      </c>
    </row>
    <row r="6045" spans="11:13" x14ac:dyDescent="0.2">
      <c r="K6045" t="s">
        <v>42</v>
      </c>
      <c r="L6045" t="s">
        <v>38</v>
      </c>
      <c r="M6045">
        <v>0</v>
      </c>
    </row>
    <row r="6046" spans="11:13" x14ac:dyDescent="0.2">
      <c r="K6046" t="s">
        <v>41</v>
      </c>
      <c r="L6046" t="s">
        <v>37</v>
      </c>
      <c r="M6046">
        <v>0</v>
      </c>
    </row>
    <row r="6047" spans="11:13" x14ac:dyDescent="0.2">
      <c r="K6047" t="s">
        <v>42</v>
      </c>
      <c r="L6047" t="s">
        <v>38</v>
      </c>
      <c r="M6047">
        <v>1</v>
      </c>
    </row>
    <row r="6048" spans="11:13" x14ac:dyDescent="0.2">
      <c r="K6048" t="s">
        <v>42</v>
      </c>
      <c r="L6048" t="s">
        <v>38</v>
      </c>
      <c r="M6048">
        <v>0</v>
      </c>
    </row>
    <row r="6049" spans="11:13" x14ac:dyDescent="0.2">
      <c r="K6049" t="s">
        <v>41</v>
      </c>
      <c r="L6049" t="s">
        <v>37</v>
      </c>
      <c r="M6049">
        <v>0</v>
      </c>
    </row>
    <row r="6050" spans="11:13" x14ac:dyDescent="0.2">
      <c r="K6050" t="s">
        <v>41</v>
      </c>
      <c r="L6050" t="s">
        <v>37</v>
      </c>
      <c r="M6050">
        <v>0</v>
      </c>
    </row>
    <row r="6051" spans="11:13" x14ac:dyDescent="0.2">
      <c r="K6051" t="s">
        <v>41</v>
      </c>
      <c r="L6051" t="s">
        <v>37</v>
      </c>
      <c r="M6051">
        <v>0</v>
      </c>
    </row>
    <row r="6052" spans="11:13" x14ac:dyDescent="0.2">
      <c r="K6052" t="s">
        <v>41</v>
      </c>
      <c r="L6052" t="s">
        <v>37</v>
      </c>
      <c r="M6052">
        <v>0</v>
      </c>
    </row>
    <row r="6053" spans="11:13" x14ac:dyDescent="0.2">
      <c r="K6053" t="s">
        <v>42</v>
      </c>
      <c r="L6053" t="s">
        <v>38</v>
      </c>
      <c r="M6053">
        <v>0</v>
      </c>
    </row>
    <row r="6054" spans="11:13" x14ac:dyDescent="0.2">
      <c r="K6054" t="s">
        <v>41</v>
      </c>
      <c r="L6054" t="s">
        <v>37</v>
      </c>
      <c r="M6054">
        <v>0</v>
      </c>
    </row>
    <row r="6055" spans="11:13" x14ac:dyDescent="0.2">
      <c r="K6055" t="s">
        <v>42</v>
      </c>
      <c r="L6055" t="s">
        <v>38</v>
      </c>
      <c r="M6055">
        <v>0</v>
      </c>
    </row>
    <row r="6056" spans="11:13" x14ac:dyDescent="0.2">
      <c r="K6056" t="s">
        <v>41</v>
      </c>
      <c r="L6056" t="s">
        <v>37</v>
      </c>
      <c r="M6056">
        <v>1</v>
      </c>
    </row>
    <row r="6057" spans="11:13" x14ac:dyDescent="0.2">
      <c r="K6057" t="s">
        <v>41</v>
      </c>
      <c r="L6057" t="s">
        <v>37</v>
      </c>
      <c r="M6057">
        <v>0</v>
      </c>
    </row>
    <row r="6058" spans="11:13" x14ac:dyDescent="0.2">
      <c r="K6058" t="s">
        <v>41</v>
      </c>
      <c r="L6058" t="s">
        <v>37</v>
      </c>
      <c r="M6058">
        <v>0</v>
      </c>
    </row>
    <row r="6059" spans="11:13" x14ac:dyDescent="0.2">
      <c r="K6059" t="s">
        <v>42</v>
      </c>
      <c r="L6059" t="s">
        <v>38</v>
      </c>
      <c r="M6059">
        <v>0</v>
      </c>
    </row>
    <row r="6060" spans="11:13" x14ac:dyDescent="0.2">
      <c r="K6060" t="s">
        <v>42</v>
      </c>
      <c r="L6060" t="s">
        <v>38</v>
      </c>
      <c r="M6060">
        <v>0</v>
      </c>
    </row>
    <row r="6061" spans="11:13" x14ac:dyDescent="0.2">
      <c r="K6061" t="s">
        <v>42</v>
      </c>
      <c r="L6061" t="s">
        <v>38</v>
      </c>
      <c r="M6061">
        <v>0</v>
      </c>
    </row>
    <row r="6062" spans="11:13" x14ac:dyDescent="0.2">
      <c r="K6062" t="s">
        <v>42</v>
      </c>
      <c r="L6062" t="s">
        <v>38</v>
      </c>
      <c r="M6062">
        <v>0</v>
      </c>
    </row>
    <row r="6063" spans="11:13" x14ac:dyDescent="0.2">
      <c r="K6063" t="s">
        <v>41</v>
      </c>
      <c r="L6063" t="s">
        <v>37</v>
      </c>
      <c r="M6063">
        <v>0</v>
      </c>
    </row>
    <row r="6064" spans="11:13" x14ac:dyDescent="0.2">
      <c r="K6064" t="s">
        <v>41</v>
      </c>
      <c r="L6064" t="s">
        <v>37</v>
      </c>
      <c r="M6064">
        <v>0</v>
      </c>
    </row>
    <row r="6065" spans="11:13" x14ac:dyDescent="0.2">
      <c r="K6065" t="s">
        <v>42</v>
      </c>
      <c r="L6065" t="s">
        <v>38</v>
      </c>
      <c r="M6065">
        <v>0</v>
      </c>
    </row>
    <row r="6066" spans="11:13" x14ac:dyDescent="0.2">
      <c r="K6066" t="s">
        <v>41</v>
      </c>
      <c r="L6066" t="s">
        <v>37</v>
      </c>
      <c r="M6066">
        <v>0</v>
      </c>
    </row>
    <row r="6067" spans="11:13" x14ac:dyDescent="0.2">
      <c r="K6067" t="s">
        <v>42</v>
      </c>
      <c r="L6067" t="s">
        <v>38</v>
      </c>
      <c r="M6067">
        <v>0</v>
      </c>
    </row>
    <row r="6068" spans="11:13" x14ac:dyDescent="0.2">
      <c r="K6068" t="s">
        <v>41</v>
      </c>
      <c r="L6068" t="s">
        <v>37</v>
      </c>
      <c r="M6068">
        <v>0</v>
      </c>
    </row>
    <row r="6069" spans="11:13" x14ac:dyDescent="0.2">
      <c r="K6069" t="s">
        <v>42</v>
      </c>
      <c r="L6069" t="s">
        <v>38</v>
      </c>
      <c r="M6069">
        <v>0</v>
      </c>
    </row>
    <row r="6070" spans="11:13" x14ac:dyDescent="0.2">
      <c r="K6070" t="s">
        <v>41</v>
      </c>
      <c r="L6070" t="s">
        <v>37</v>
      </c>
      <c r="M6070">
        <v>0</v>
      </c>
    </row>
    <row r="6071" spans="11:13" x14ac:dyDescent="0.2">
      <c r="K6071" t="s">
        <v>41</v>
      </c>
      <c r="L6071" t="s">
        <v>37</v>
      </c>
      <c r="M6071">
        <v>0</v>
      </c>
    </row>
    <row r="6072" spans="11:13" x14ac:dyDescent="0.2">
      <c r="K6072" t="s">
        <v>41</v>
      </c>
      <c r="L6072" t="s">
        <v>37</v>
      </c>
      <c r="M6072">
        <v>0</v>
      </c>
    </row>
    <row r="6073" spans="11:13" x14ac:dyDescent="0.2">
      <c r="K6073" t="s">
        <v>41</v>
      </c>
      <c r="L6073" t="s">
        <v>37</v>
      </c>
      <c r="M6073">
        <v>0</v>
      </c>
    </row>
    <row r="6074" spans="11:13" x14ac:dyDescent="0.2">
      <c r="K6074" t="s">
        <v>42</v>
      </c>
      <c r="L6074" t="s">
        <v>38</v>
      </c>
      <c r="M6074">
        <v>0</v>
      </c>
    </row>
    <row r="6075" spans="11:13" x14ac:dyDescent="0.2">
      <c r="K6075" t="s">
        <v>42</v>
      </c>
      <c r="L6075" t="s">
        <v>38</v>
      </c>
      <c r="M6075">
        <v>0</v>
      </c>
    </row>
    <row r="6076" spans="11:13" x14ac:dyDescent="0.2">
      <c r="K6076" t="s">
        <v>42</v>
      </c>
      <c r="L6076" t="s">
        <v>38</v>
      </c>
      <c r="M6076">
        <v>0</v>
      </c>
    </row>
    <row r="6077" spans="11:13" x14ac:dyDescent="0.2">
      <c r="K6077" t="s">
        <v>42</v>
      </c>
      <c r="L6077" t="s">
        <v>38</v>
      </c>
      <c r="M6077">
        <v>0</v>
      </c>
    </row>
    <row r="6078" spans="11:13" x14ac:dyDescent="0.2">
      <c r="K6078" t="s">
        <v>42</v>
      </c>
      <c r="L6078" t="s">
        <v>38</v>
      </c>
      <c r="M6078">
        <v>0</v>
      </c>
    </row>
    <row r="6079" spans="11:13" x14ac:dyDescent="0.2">
      <c r="K6079" t="s">
        <v>41</v>
      </c>
      <c r="L6079" t="s">
        <v>37</v>
      </c>
      <c r="M6079">
        <v>0</v>
      </c>
    </row>
    <row r="6080" spans="11:13" x14ac:dyDescent="0.2">
      <c r="K6080" t="s">
        <v>41</v>
      </c>
      <c r="L6080" t="s">
        <v>37</v>
      </c>
      <c r="M6080">
        <v>0</v>
      </c>
    </row>
    <row r="6081" spans="11:13" x14ac:dyDescent="0.2">
      <c r="K6081" t="s">
        <v>41</v>
      </c>
      <c r="L6081" t="s">
        <v>37</v>
      </c>
      <c r="M6081">
        <v>0</v>
      </c>
    </row>
    <row r="6082" spans="11:13" x14ac:dyDescent="0.2">
      <c r="K6082" t="s">
        <v>41</v>
      </c>
      <c r="L6082" t="s">
        <v>37</v>
      </c>
      <c r="M6082">
        <v>0</v>
      </c>
    </row>
    <row r="6083" spans="11:13" x14ac:dyDescent="0.2">
      <c r="K6083" t="s">
        <v>42</v>
      </c>
      <c r="L6083" t="s">
        <v>38</v>
      </c>
      <c r="M6083">
        <v>0</v>
      </c>
    </row>
    <row r="6084" spans="11:13" x14ac:dyDescent="0.2">
      <c r="K6084" t="s">
        <v>41</v>
      </c>
      <c r="L6084" t="s">
        <v>37</v>
      </c>
      <c r="M6084">
        <v>0</v>
      </c>
    </row>
    <row r="6085" spans="11:13" x14ac:dyDescent="0.2">
      <c r="K6085" t="s">
        <v>41</v>
      </c>
      <c r="L6085" t="s">
        <v>37</v>
      </c>
      <c r="M6085">
        <v>0</v>
      </c>
    </row>
    <row r="6086" spans="11:13" x14ac:dyDescent="0.2">
      <c r="K6086" t="s">
        <v>42</v>
      </c>
      <c r="L6086" t="s">
        <v>38</v>
      </c>
      <c r="M6086">
        <v>0</v>
      </c>
    </row>
    <row r="6087" spans="11:13" x14ac:dyDescent="0.2">
      <c r="K6087" t="s">
        <v>41</v>
      </c>
      <c r="L6087" t="s">
        <v>37</v>
      </c>
      <c r="M6087">
        <v>0</v>
      </c>
    </row>
    <row r="6088" spans="11:13" x14ac:dyDescent="0.2">
      <c r="K6088" t="s">
        <v>41</v>
      </c>
      <c r="L6088" t="s">
        <v>37</v>
      </c>
      <c r="M6088">
        <v>0</v>
      </c>
    </row>
    <row r="6089" spans="11:13" x14ac:dyDescent="0.2">
      <c r="K6089" t="s">
        <v>42</v>
      </c>
      <c r="L6089" t="s">
        <v>38</v>
      </c>
      <c r="M6089">
        <v>0</v>
      </c>
    </row>
    <row r="6090" spans="11:13" x14ac:dyDescent="0.2">
      <c r="K6090" t="s">
        <v>42</v>
      </c>
      <c r="L6090" t="s">
        <v>38</v>
      </c>
      <c r="M6090">
        <v>0</v>
      </c>
    </row>
    <row r="6091" spans="11:13" x14ac:dyDescent="0.2">
      <c r="K6091" t="s">
        <v>42</v>
      </c>
      <c r="L6091" t="s">
        <v>38</v>
      </c>
      <c r="M6091">
        <v>0</v>
      </c>
    </row>
    <row r="6092" spans="11:13" x14ac:dyDescent="0.2">
      <c r="K6092" t="s">
        <v>42</v>
      </c>
      <c r="L6092" t="s">
        <v>38</v>
      </c>
      <c r="M6092">
        <v>0</v>
      </c>
    </row>
    <row r="6093" spans="11:13" x14ac:dyDescent="0.2">
      <c r="K6093" t="s">
        <v>42</v>
      </c>
      <c r="L6093" t="s">
        <v>38</v>
      </c>
      <c r="M6093">
        <v>0</v>
      </c>
    </row>
    <row r="6094" spans="11:13" x14ac:dyDescent="0.2">
      <c r="K6094" t="s">
        <v>42</v>
      </c>
      <c r="L6094" t="s">
        <v>38</v>
      </c>
      <c r="M6094">
        <v>0</v>
      </c>
    </row>
    <row r="6095" spans="11:13" x14ac:dyDescent="0.2">
      <c r="K6095" t="s">
        <v>42</v>
      </c>
      <c r="L6095" t="s">
        <v>38</v>
      </c>
      <c r="M6095">
        <v>0</v>
      </c>
    </row>
    <row r="6096" spans="11:13" x14ac:dyDescent="0.2">
      <c r="K6096" t="s">
        <v>42</v>
      </c>
      <c r="L6096" t="s">
        <v>38</v>
      </c>
      <c r="M6096">
        <v>0</v>
      </c>
    </row>
    <row r="6097" spans="11:13" x14ac:dyDescent="0.2">
      <c r="K6097" t="s">
        <v>42</v>
      </c>
      <c r="L6097" t="s">
        <v>38</v>
      </c>
      <c r="M6097">
        <v>0</v>
      </c>
    </row>
    <row r="6098" spans="11:13" x14ac:dyDescent="0.2">
      <c r="K6098" t="s">
        <v>42</v>
      </c>
      <c r="L6098" t="s">
        <v>38</v>
      </c>
      <c r="M6098">
        <v>0</v>
      </c>
    </row>
    <row r="6099" spans="11:13" x14ac:dyDescent="0.2">
      <c r="K6099" t="s">
        <v>41</v>
      </c>
      <c r="L6099" t="s">
        <v>37</v>
      </c>
      <c r="M6099">
        <v>0</v>
      </c>
    </row>
    <row r="6100" spans="11:13" x14ac:dyDescent="0.2">
      <c r="K6100" t="s">
        <v>42</v>
      </c>
      <c r="L6100" t="s">
        <v>38</v>
      </c>
      <c r="M6100">
        <v>0</v>
      </c>
    </row>
    <row r="6101" spans="11:13" x14ac:dyDescent="0.2">
      <c r="K6101" t="s">
        <v>42</v>
      </c>
      <c r="L6101" t="s">
        <v>38</v>
      </c>
      <c r="M6101">
        <v>0</v>
      </c>
    </row>
    <row r="6102" spans="11:13" x14ac:dyDescent="0.2">
      <c r="K6102" t="s">
        <v>42</v>
      </c>
      <c r="L6102" t="s">
        <v>38</v>
      </c>
      <c r="M6102">
        <v>0</v>
      </c>
    </row>
    <row r="6103" spans="11:13" x14ac:dyDescent="0.2">
      <c r="K6103" t="s">
        <v>41</v>
      </c>
      <c r="L6103" t="s">
        <v>37</v>
      </c>
      <c r="M6103">
        <v>0</v>
      </c>
    </row>
    <row r="6104" spans="11:13" x14ac:dyDescent="0.2">
      <c r="K6104" t="s">
        <v>41</v>
      </c>
      <c r="L6104" t="s">
        <v>37</v>
      </c>
      <c r="M6104">
        <v>0</v>
      </c>
    </row>
    <row r="6105" spans="11:13" x14ac:dyDescent="0.2">
      <c r="K6105" t="s">
        <v>41</v>
      </c>
      <c r="L6105" t="s">
        <v>37</v>
      </c>
      <c r="M6105">
        <v>0</v>
      </c>
    </row>
    <row r="6106" spans="11:13" x14ac:dyDescent="0.2">
      <c r="K6106" t="s">
        <v>41</v>
      </c>
      <c r="L6106" t="s">
        <v>37</v>
      </c>
      <c r="M6106">
        <v>0</v>
      </c>
    </row>
    <row r="6107" spans="11:13" x14ac:dyDescent="0.2">
      <c r="K6107" t="s">
        <v>41</v>
      </c>
      <c r="L6107" t="s">
        <v>37</v>
      </c>
      <c r="M6107">
        <v>0</v>
      </c>
    </row>
    <row r="6108" spans="11:13" x14ac:dyDescent="0.2">
      <c r="K6108" t="s">
        <v>41</v>
      </c>
      <c r="L6108" t="s">
        <v>37</v>
      </c>
      <c r="M6108">
        <v>0</v>
      </c>
    </row>
    <row r="6109" spans="11:13" x14ac:dyDescent="0.2">
      <c r="K6109" t="s">
        <v>42</v>
      </c>
      <c r="L6109" t="s">
        <v>38</v>
      </c>
      <c r="M6109">
        <v>0</v>
      </c>
    </row>
    <row r="6110" spans="11:13" x14ac:dyDescent="0.2">
      <c r="K6110" t="s">
        <v>42</v>
      </c>
      <c r="L6110" t="s">
        <v>38</v>
      </c>
      <c r="M6110">
        <v>0</v>
      </c>
    </row>
    <row r="6111" spans="11:13" x14ac:dyDescent="0.2">
      <c r="K6111" t="s">
        <v>41</v>
      </c>
      <c r="L6111" t="s">
        <v>37</v>
      </c>
      <c r="M6111">
        <v>0</v>
      </c>
    </row>
    <row r="6112" spans="11:13" x14ac:dyDescent="0.2">
      <c r="K6112" t="s">
        <v>42</v>
      </c>
      <c r="L6112" t="s">
        <v>38</v>
      </c>
      <c r="M6112">
        <v>0</v>
      </c>
    </row>
    <row r="6113" spans="11:13" x14ac:dyDescent="0.2">
      <c r="K6113" t="s">
        <v>42</v>
      </c>
      <c r="L6113" t="s">
        <v>38</v>
      </c>
      <c r="M6113">
        <v>0</v>
      </c>
    </row>
    <row r="6114" spans="11:13" x14ac:dyDescent="0.2">
      <c r="K6114" t="s">
        <v>42</v>
      </c>
      <c r="L6114" t="s">
        <v>38</v>
      </c>
      <c r="M6114">
        <v>0</v>
      </c>
    </row>
    <row r="6115" spans="11:13" x14ac:dyDescent="0.2">
      <c r="K6115" t="s">
        <v>42</v>
      </c>
      <c r="L6115" t="s">
        <v>38</v>
      </c>
      <c r="M6115">
        <v>0</v>
      </c>
    </row>
    <row r="6116" spans="11:13" x14ac:dyDescent="0.2">
      <c r="K6116" t="s">
        <v>42</v>
      </c>
      <c r="L6116" t="s">
        <v>38</v>
      </c>
      <c r="M6116">
        <v>0</v>
      </c>
    </row>
    <row r="6117" spans="11:13" x14ac:dyDescent="0.2">
      <c r="K6117" t="s">
        <v>42</v>
      </c>
      <c r="L6117" t="s">
        <v>38</v>
      </c>
      <c r="M6117">
        <v>0</v>
      </c>
    </row>
    <row r="6118" spans="11:13" x14ac:dyDescent="0.2">
      <c r="K6118" t="s">
        <v>41</v>
      </c>
      <c r="L6118" t="s">
        <v>37</v>
      </c>
      <c r="M6118">
        <v>0</v>
      </c>
    </row>
    <row r="6119" spans="11:13" x14ac:dyDescent="0.2">
      <c r="K6119" t="s">
        <v>41</v>
      </c>
      <c r="L6119" t="s">
        <v>37</v>
      </c>
      <c r="M6119">
        <v>1</v>
      </c>
    </row>
    <row r="6120" spans="11:13" x14ac:dyDescent="0.2">
      <c r="K6120" t="s">
        <v>41</v>
      </c>
      <c r="L6120" t="s">
        <v>37</v>
      </c>
      <c r="M6120">
        <v>0</v>
      </c>
    </row>
    <row r="6121" spans="11:13" x14ac:dyDescent="0.2">
      <c r="K6121" t="s">
        <v>42</v>
      </c>
      <c r="L6121" t="s">
        <v>38</v>
      </c>
      <c r="M6121">
        <v>0</v>
      </c>
    </row>
    <row r="6122" spans="11:13" x14ac:dyDescent="0.2">
      <c r="K6122" t="s">
        <v>41</v>
      </c>
      <c r="L6122" t="s">
        <v>37</v>
      </c>
      <c r="M6122">
        <v>0</v>
      </c>
    </row>
    <row r="6123" spans="11:13" x14ac:dyDescent="0.2">
      <c r="K6123" t="s">
        <v>41</v>
      </c>
      <c r="L6123" t="s">
        <v>37</v>
      </c>
      <c r="M6123">
        <v>0</v>
      </c>
    </row>
    <row r="6124" spans="11:13" x14ac:dyDescent="0.2">
      <c r="K6124" t="s">
        <v>41</v>
      </c>
      <c r="L6124" t="s">
        <v>37</v>
      </c>
      <c r="M6124">
        <v>0</v>
      </c>
    </row>
    <row r="6125" spans="11:13" x14ac:dyDescent="0.2">
      <c r="K6125" t="s">
        <v>41</v>
      </c>
      <c r="L6125" t="s">
        <v>37</v>
      </c>
      <c r="M6125">
        <v>0</v>
      </c>
    </row>
    <row r="6126" spans="11:13" x14ac:dyDescent="0.2">
      <c r="K6126" t="s">
        <v>42</v>
      </c>
      <c r="L6126" t="s">
        <v>38</v>
      </c>
      <c r="M6126">
        <v>0</v>
      </c>
    </row>
    <row r="6127" spans="11:13" x14ac:dyDescent="0.2">
      <c r="K6127" t="s">
        <v>41</v>
      </c>
      <c r="L6127" t="s">
        <v>37</v>
      </c>
      <c r="M6127">
        <v>0</v>
      </c>
    </row>
    <row r="6128" spans="11:13" x14ac:dyDescent="0.2">
      <c r="K6128" t="s">
        <v>41</v>
      </c>
      <c r="L6128" t="s">
        <v>37</v>
      </c>
      <c r="M6128">
        <v>0</v>
      </c>
    </row>
    <row r="6129" spans="11:13" x14ac:dyDescent="0.2">
      <c r="K6129" t="s">
        <v>42</v>
      </c>
      <c r="L6129" t="s">
        <v>38</v>
      </c>
      <c r="M6129">
        <v>0</v>
      </c>
    </row>
    <row r="6130" spans="11:13" x14ac:dyDescent="0.2">
      <c r="K6130" t="s">
        <v>41</v>
      </c>
      <c r="L6130" t="s">
        <v>37</v>
      </c>
      <c r="M6130">
        <v>0</v>
      </c>
    </row>
    <row r="6131" spans="11:13" x14ac:dyDescent="0.2">
      <c r="K6131" t="s">
        <v>42</v>
      </c>
      <c r="L6131" t="s">
        <v>38</v>
      </c>
      <c r="M6131">
        <v>0</v>
      </c>
    </row>
    <row r="6132" spans="11:13" x14ac:dyDescent="0.2">
      <c r="K6132" t="s">
        <v>42</v>
      </c>
      <c r="L6132" t="s">
        <v>38</v>
      </c>
      <c r="M6132">
        <v>0</v>
      </c>
    </row>
    <row r="6133" spans="11:13" x14ac:dyDescent="0.2">
      <c r="K6133" t="s">
        <v>41</v>
      </c>
      <c r="L6133" t="s">
        <v>37</v>
      </c>
      <c r="M6133">
        <v>0</v>
      </c>
    </row>
    <row r="6134" spans="11:13" x14ac:dyDescent="0.2">
      <c r="K6134" t="s">
        <v>42</v>
      </c>
      <c r="L6134" t="s">
        <v>38</v>
      </c>
      <c r="M6134">
        <v>0</v>
      </c>
    </row>
    <row r="6135" spans="11:13" x14ac:dyDescent="0.2">
      <c r="K6135" t="s">
        <v>41</v>
      </c>
      <c r="L6135" t="s">
        <v>37</v>
      </c>
      <c r="M6135">
        <v>0</v>
      </c>
    </row>
    <row r="6136" spans="11:13" x14ac:dyDescent="0.2">
      <c r="K6136" t="s">
        <v>42</v>
      </c>
      <c r="L6136" t="s">
        <v>38</v>
      </c>
      <c r="M6136">
        <v>0</v>
      </c>
    </row>
    <row r="6137" spans="11:13" x14ac:dyDescent="0.2">
      <c r="K6137" t="s">
        <v>41</v>
      </c>
      <c r="L6137" t="s">
        <v>37</v>
      </c>
      <c r="M6137">
        <v>0</v>
      </c>
    </row>
    <row r="6138" spans="11:13" x14ac:dyDescent="0.2">
      <c r="K6138" t="s">
        <v>42</v>
      </c>
      <c r="L6138" t="s">
        <v>38</v>
      </c>
      <c r="M6138">
        <v>0</v>
      </c>
    </row>
    <row r="6139" spans="11:13" x14ac:dyDescent="0.2">
      <c r="K6139" t="s">
        <v>42</v>
      </c>
      <c r="L6139" t="s">
        <v>38</v>
      </c>
      <c r="M6139">
        <v>0</v>
      </c>
    </row>
    <row r="6140" spans="11:13" x14ac:dyDescent="0.2">
      <c r="K6140" t="s">
        <v>41</v>
      </c>
      <c r="L6140" t="s">
        <v>37</v>
      </c>
      <c r="M6140">
        <v>0</v>
      </c>
    </row>
    <row r="6141" spans="11:13" x14ac:dyDescent="0.2">
      <c r="K6141" t="s">
        <v>42</v>
      </c>
      <c r="L6141" t="s">
        <v>38</v>
      </c>
      <c r="M6141">
        <v>0</v>
      </c>
    </row>
    <row r="6142" spans="11:13" x14ac:dyDescent="0.2">
      <c r="K6142" t="s">
        <v>42</v>
      </c>
      <c r="L6142" t="s">
        <v>38</v>
      </c>
      <c r="M6142">
        <v>0</v>
      </c>
    </row>
    <row r="6143" spans="11:13" x14ac:dyDescent="0.2">
      <c r="K6143" t="s">
        <v>41</v>
      </c>
      <c r="L6143" t="s">
        <v>37</v>
      </c>
      <c r="M6143">
        <v>0</v>
      </c>
    </row>
    <row r="6144" spans="11:13" x14ac:dyDescent="0.2">
      <c r="K6144" t="s">
        <v>42</v>
      </c>
      <c r="L6144" t="s">
        <v>38</v>
      </c>
      <c r="M6144">
        <v>0</v>
      </c>
    </row>
    <row r="6145" spans="11:13" x14ac:dyDescent="0.2">
      <c r="K6145" t="s">
        <v>41</v>
      </c>
      <c r="L6145" t="s">
        <v>37</v>
      </c>
      <c r="M6145">
        <v>0</v>
      </c>
    </row>
    <row r="6146" spans="11:13" x14ac:dyDescent="0.2">
      <c r="K6146" t="s">
        <v>41</v>
      </c>
      <c r="L6146" t="s">
        <v>37</v>
      </c>
      <c r="M6146">
        <v>0</v>
      </c>
    </row>
    <row r="6147" spans="11:13" x14ac:dyDescent="0.2">
      <c r="K6147" t="s">
        <v>42</v>
      </c>
      <c r="L6147" t="s">
        <v>38</v>
      </c>
      <c r="M6147">
        <v>0</v>
      </c>
    </row>
    <row r="6148" spans="11:13" x14ac:dyDescent="0.2">
      <c r="K6148" t="s">
        <v>41</v>
      </c>
      <c r="L6148" t="s">
        <v>37</v>
      </c>
      <c r="M6148">
        <v>0</v>
      </c>
    </row>
    <row r="6149" spans="11:13" x14ac:dyDescent="0.2">
      <c r="K6149" t="s">
        <v>41</v>
      </c>
      <c r="L6149" t="s">
        <v>37</v>
      </c>
      <c r="M6149">
        <v>0</v>
      </c>
    </row>
    <row r="6150" spans="11:13" x14ac:dyDescent="0.2">
      <c r="K6150" t="s">
        <v>42</v>
      </c>
      <c r="L6150" t="s">
        <v>38</v>
      </c>
      <c r="M6150">
        <v>0</v>
      </c>
    </row>
    <row r="6151" spans="11:13" x14ac:dyDescent="0.2">
      <c r="K6151" t="s">
        <v>42</v>
      </c>
      <c r="L6151" t="s">
        <v>38</v>
      </c>
      <c r="M6151">
        <v>0</v>
      </c>
    </row>
    <row r="6152" spans="11:13" x14ac:dyDescent="0.2">
      <c r="K6152" t="s">
        <v>42</v>
      </c>
      <c r="L6152" t="s">
        <v>38</v>
      </c>
      <c r="M6152">
        <v>0</v>
      </c>
    </row>
    <row r="6153" spans="11:13" x14ac:dyDescent="0.2">
      <c r="K6153" t="s">
        <v>41</v>
      </c>
      <c r="L6153" t="s">
        <v>37</v>
      </c>
      <c r="M6153">
        <v>0</v>
      </c>
    </row>
    <row r="6154" spans="11:13" x14ac:dyDescent="0.2">
      <c r="K6154" t="s">
        <v>42</v>
      </c>
      <c r="L6154" t="s">
        <v>38</v>
      </c>
      <c r="M6154">
        <v>0</v>
      </c>
    </row>
    <row r="6155" spans="11:13" x14ac:dyDescent="0.2">
      <c r="K6155" t="s">
        <v>42</v>
      </c>
      <c r="L6155" t="s">
        <v>38</v>
      </c>
      <c r="M6155">
        <v>0</v>
      </c>
    </row>
    <row r="6156" spans="11:13" x14ac:dyDescent="0.2">
      <c r="K6156" t="s">
        <v>41</v>
      </c>
      <c r="L6156" t="s">
        <v>37</v>
      </c>
      <c r="M6156">
        <v>0</v>
      </c>
    </row>
    <row r="6157" spans="11:13" x14ac:dyDescent="0.2">
      <c r="K6157" t="s">
        <v>41</v>
      </c>
      <c r="L6157" t="s">
        <v>37</v>
      </c>
      <c r="M6157">
        <v>0</v>
      </c>
    </row>
    <row r="6158" spans="11:13" x14ac:dyDescent="0.2">
      <c r="K6158" t="s">
        <v>41</v>
      </c>
      <c r="L6158" t="s">
        <v>37</v>
      </c>
      <c r="M6158">
        <v>0</v>
      </c>
    </row>
    <row r="6159" spans="11:13" x14ac:dyDescent="0.2">
      <c r="K6159" t="s">
        <v>41</v>
      </c>
      <c r="L6159" t="s">
        <v>37</v>
      </c>
      <c r="M6159">
        <v>0</v>
      </c>
    </row>
    <row r="6160" spans="11:13" x14ac:dyDescent="0.2">
      <c r="K6160" t="s">
        <v>42</v>
      </c>
      <c r="L6160" t="s">
        <v>38</v>
      </c>
      <c r="M6160">
        <v>0</v>
      </c>
    </row>
    <row r="6161" spans="11:13" x14ac:dyDescent="0.2">
      <c r="K6161" t="s">
        <v>41</v>
      </c>
      <c r="L6161" t="s">
        <v>37</v>
      </c>
      <c r="M6161">
        <v>0</v>
      </c>
    </row>
    <row r="6162" spans="11:13" x14ac:dyDescent="0.2">
      <c r="K6162" t="s">
        <v>42</v>
      </c>
      <c r="L6162" t="s">
        <v>38</v>
      </c>
      <c r="M6162">
        <v>0</v>
      </c>
    </row>
    <row r="6163" spans="11:13" x14ac:dyDescent="0.2">
      <c r="K6163" t="s">
        <v>42</v>
      </c>
      <c r="L6163" t="s">
        <v>38</v>
      </c>
      <c r="M6163">
        <v>0</v>
      </c>
    </row>
    <row r="6164" spans="11:13" x14ac:dyDescent="0.2">
      <c r="K6164" t="s">
        <v>41</v>
      </c>
      <c r="L6164" t="s">
        <v>37</v>
      </c>
      <c r="M6164">
        <v>0</v>
      </c>
    </row>
    <row r="6165" spans="11:13" x14ac:dyDescent="0.2">
      <c r="K6165" t="s">
        <v>42</v>
      </c>
      <c r="L6165" t="s">
        <v>38</v>
      </c>
      <c r="M6165">
        <v>0</v>
      </c>
    </row>
    <row r="6166" spans="11:13" x14ac:dyDescent="0.2">
      <c r="K6166" t="s">
        <v>42</v>
      </c>
      <c r="L6166" t="s">
        <v>38</v>
      </c>
      <c r="M6166">
        <v>0</v>
      </c>
    </row>
    <row r="6167" spans="11:13" x14ac:dyDescent="0.2">
      <c r="K6167" t="s">
        <v>42</v>
      </c>
      <c r="L6167" t="s">
        <v>38</v>
      </c>
      <c r="M6167">
        <v>0</v>
      </c>
    </row>
    <row r="6168" spans="11:13" x14ac:dyDescent="0.2">
      <c r="K6168" t="s">
        <v>42</v>
      </c>
      <c r="L6168" t="s">
        <v>38</v>
      </c>
      <c r="M6168">
        <v>0</v>
      </c>
    </row>
    <row r="6169" spans="11:13" x14ac:dyDescent="0.2">
      <c r="K6169" t="s">
        <v>42</v>
      </c>
      <c r="L6169" t="s">
        <v>38</v>
      </c>
      <c r="M6169">
        <v>0</v>
      </c>
    </row>
    <row r="6170" spans="11:13" x14ac:dyDescent="0.2">
      <c r="K6170" t="s">
        <v>41</v>
      </c>
      <c r="L6170" t="s">
        <v>37</v>
      </c>
      <c r="M6170">
        <v>0</v>
      </c>
    </row>
    <row r="6171" spans="11:13" x14ac:dyDescent="0.2">
      <c r="K6171" t="s">
        <v>41</v>
      </c>
      <c r="L6171" t="s">
        <v>37</v>
      </c>
      <c r="M6171">
        <v>0</v>
      </c>
    </row>
    <row r="6172" spans="11:13" x14ac:dyDescent="0.2">
      <c r="K6172" t="s">
        <v>42</v>
      </c>
      <c r="L6172" t="s">
        <v>38</v>
      </c>
      <c r="M6172">
        <v>0</v>
      </c>
    </row>
    <row r="6173" spans="11:13" x14ac:dyDescent="0.2">
      <c r="K6173" t="s">
        <v>42</v>
      </c>
      <c r="L6173" t="s">
        <v>38</v>
      </c>
      <c r="M6173">
        <v>0</v>
      </c>
    </row>
    <row r="6174" spans="11:13" x14ac:dyDescent="0.2">
      <c r="K6174" t="s">
        <v>41</v>
      </c>
      <c r="L6174" t="s">
        <v>37</v>
      </c>
      <c r="M6174">
        <v>0</v>
      </c>
    </row>
    <row r="6175" spans="11:13" x14ac:dyDescent="0.2">
      <c r="K6175" t="s">
        <v>41</v>
      </c>
      <c r="L6175" t="s">
        <v>37</v>
      </c>
      <c r="M6175">
        <v>0</v>
      </c>
    </row>
    <row r="6176" spans="11:13" x14ac:dyDescent="0.2">
      <c r="K6176" t="s">
        <v>42</v>
      </c>
      <c r="L6176" t="s">
        <v>38</v>
      </c>
      <c r="M6176">
        <v>0</v>
      </c>
    </row>
    <row r="6177" spans="11:13" x14ac:dyDescent="0.2">
      <c r="K6177" t="s">
        <v>42</v>
      </c>
      <c r="L6177" t="s">
        <v>38</v>
      </c>
      <c r="M6177">
        <v>0</v>
      </c>
    </row>
    <row r="6178" spans="11:13" x14ac:dyDescent="0.2">
      <c r="K6178" t="s">
        <v>42</v>
      </c>
      <c r="L6178" t="s">
        <v>38</v>
      </c>
      <c r="M6178">
        <v>0</v>
      </c>
    </row>
    <row r="6179" spans="11:13" x14ac:dyDescent="0.2">
      <c r="K6179" t="s">
        <v>42</v>
      </c>
      <c r="L6179" t="s">
        <v>38</v>
      </c>
      <c r="M6179">
        <v>0</v>
      </c>
    </row>
    <row r="6180" spans="11:13" x14ac:dyDescent="0.2">
      <c r="K6180" t="s">
        <v>41</v>
      </c>
      <c r="L6180" t="s">
        <v>37</v>
      </c>
      <c r="M6180">
        <v>1</v>
      </c>
    </row>
    <row r="6181" spans="11:13" x14ac:dyDescent="0.2">
      <c r="K6181" t="s">
        <v>41</v>
      </c>
      <c r="L6181" t="s">
        <v>37</v>
      </c>
      <c r="M6181">
        <v>0</v>
      </c>
    </row>
    <row r="6182" spans="11:13" x14ac:dyDescent="0.2">
      <c r="K6182" t="s">
        <v>41</v>
      </c>
      <c r="L6182" t="s">
        <v>37</v>
      </c>
      <c r="M6182">
        <v>0</v>
      </c>
    </row>
    <row r="6183" spans="11:13" x14ac:dyDescent="0.2">
      <c r="K6183" t="s">
        <v>42</v>
      </c>
      <c r="L6183" t="s">
        <v>38</v>
      </c>
      <c r="M6183">
        <v>0</v>
      </c>
    </row>
    <row r="6184" spans="11:13" x14ac:dyDescent="0.2">
      <c r="K6184" t="s">
        <v>42</v>
      </c>
      <c r="L6184" t="s">
        <v>38</v>
      </c>
      <c r="M6184">
        <v>0</v>
      </c>
    </row>
    <row r="6185" spans="11:13" x14ac:dyDescent="0.2">
      <c r="K6185" t="s">
        <v>42</v>
      </c>
      <c r="L6185" t="s">
        <v>38</v>
      </c>
      <c r="M6185">
        <v>0</v>
      </c>
    </row>
    <row r="6186" spans="11:13" x14ac:dyDescent="0.2">
      <c r="K6186" t="s">
        <v>41</v>
      </c>
      <c r="L6186" t="s">
        <v>37</v>
      </c>
      <c r="M6186">
        <v>0</v>
      </c>
    </row>
    <row r="6187" spans="11:13" x14ac:dyDescent="0.2">
      <c r="K6187" t="s">
        <v>41</v>
      </c>
      <c r="L6187" t="s">
        <v>37</v>
      </c>
      <c r="M6187">
        <v>0</v>
      </c>
    </row>
    <row r="6188" spans="11:13" x14ac:dyDescent="0.2">
      <c r="K6188" t="s">
        <v>42</v>
      </c>
      <c r="L6188" t="s">
        <v>38</v>
      </c>
      <c r="M6188">
        <v>0</v>
      </c>
    </row>
    <row r="6189" spans="11:13" x14ac:dyDescent="0.2">
      <c r="K6189" t="s">
        <v>42</v>
      </c>
      <c r="L6189" t="s">
        <v>38</v>
      </c>
      <c r="M6189">
        <v>0</v>
      </c>
    </row>
    <row r="6190" spans="11:13" x14ac:dyDescent="0.2">
      <c r="K6190" t="s">
        <v>42</v>
      </c>
      <c r="L6190" t="s">
        <v>38</v>
      </c>
      <c r="M6190">
        <v>0</v>
      </c>
    </row>
    <row r="6191" spans="11:13" x14ac:dyDescent="0.2">
      <c r="K6191" t="s">
        <v>41</v>
      </c>
      <c r="L6191" t="s">
        <v>37</v>
      </c>
      <c r="M6191">
        <v>0</v>
      </c>
    </row>
    <row r="6192" spans="11:13" x14ac:dyDescent="0.2">
      <c r="K6192" t="s">
        <v>42</v>
      </c>
      <c r="L6192" t="s">
        <v>38</v>
      </c>
      <c r="M6192">
        <v>0</v>
      </c>
    </row>
    <row r="6193" spans="11:13" x14ac:dyDescent="0.2">
      <c r="K6193" t="s">
        <v>41</v>
      </c>
      <c r="L6193" t="s">
        <v>37</v>
      </c>
      <c r="M6193">
        <v>0</v>
      </c>
    </row>
    <row r="6194" spans="11:13" x14ac:dyDescent="0.2">
      <c r="K6194" t="s">
        <v>42</v>
      </c>
      <c r="L6194" t="s">
        <v>38</v>
      </c>
      <c r="M6194">
        <v>0</v>
      </c>
    </row>
    <row r="6195" spans="11:13" x14ac:dyDescent="0.2">
      <c r="K6195" t="s">
        <v>42</v>
      </c>
      <c r="L6195" t="s">
        <v>38</v>
      </c>
      <c r="M6195">
        <v>0</v>
      </c>
    </row>
    <row r="6196" spans="11:13" x14ac:dyDescent="0.2">
      <c r="K6196" t="s">
        <v>42</v>
      </c>
      <c r="L6196" t="s">
        <v>38</v>
      </c>
      <c r="M6196">
        <v>0</v>
      </c>
    </row>
    <row r="6197" spans="11:13" x14ac:dyDescent="0.2">
      <c r="K6197" t="s">
        <v>41</v>
      </c>
      <c r="L6197" t="s">
        <v>37</v>
      </c>
      <c r="M6197">
        <v>0</v>
      </c>
    </row>
    <row r="6198" spans="11:13" x14ac:dyDescent="0.2">
      <c r="K6198" t="s">
        <v>41</v>
      </c>
      <c r="L6198" t="s">
        <v>37</v>
      </c>
      <c r="M6198">
        <v>0</v>
      </c>
    </row>
    <row r="6199" spans="11:13" x14ac:dyDescent="0.2">
      <c r="K6199" t="s">
        <v>42</v>
      </c>
      <c r="L6199" t="s">
        <v>38</v>
      </c>
      <c r="M6199">
        <v>0</v>
      </c>
    </row>
    <row r="6200" spans="11:13" x14ac:dyDescent="0.2">
      <c r="K6200" t="s">
        <v>42</v>
      </c>
      <c r="L6200" t="s">
        <v>38</v>
      </c>
      <c r="M6200">
        <v>0</v>
      </c>
    </row>
    <row r="6201" spans="11:13" x14ac:dyDescent="0.2">
      <c r="K6201" t="s">
        <v>42</v>
      </c>
      <c r="L6201" t="s">
        <v>38</v>
      </c>
      <c r="M6201">
        <v>0</v>
      </c>
    </row>
    <row r="6202" spans="11:13" x14ac:dyDescent="0.2">
      <c r="K6202" t="s">
        <v>42</v>
      </c>
      <c r="L6202" t="s">
        <v>38</v>
      </c>
      <c r="M6202">
        <v>0</v>
      </c>
    </row>
    <row r="6203" spans="11:13" x14ac:dyDescent="0.2">
      <c r="K6203" t="s">
        <v>41</v>
      </c>
      <c r="L6203" t="s">
        <v>37</v>
      </c>
      <c r="M6203">
        <v>0</v>
      </c>
    </row>
    <row r="6204" spans="11:13" x14ac:dyDescent="0.2">
      <c r="K6204" t="s">
        <v>41</v>
      </c>
      <c r="L6204" t="s">
        <v>37</v>
      </c>
      <c r="M6204">
        <v>0</v>
      </c>
    </row>
    <row r="6205" spans="11:13" x14ac:dyDescent="0.2">
      <c r="K6205" t="s">
        <v>42</v>
      </c>
      <c r="L6205" t="s">
        <v>38</v>
      </c>
      <c r="M6205">
        <v>0</v>
      </c>
    </row>
    <row r="6206" spans="11:13" x14ac:dyDescent="0.2">
      <c r="K6206" t="s">
        <v>41</v>
      </c>
      <c r="L6206" t="s">
        <v>37</v>
      </c>
      <c r="M6206">
        <v>0</v>
      </c>
    </row>
    <row r="6207" spans="11:13" x14ac:dyDescent="0.2">
      <c r="K6207" t="s">
        <v>42</v>
      </c>
      <c r="L6207" t="s">
        <v>38</v>
      </c>
      <c r="M6207">
        <v>0</v>
      </c>
    </row>
    <row r="6208" spans="11:13" x14ac:dyDescent="0.2">
      <c r="K6208" t="s">
        <v>41</v>
      </c>
      <c r="L6208" t="s">
        <v>37</v>
      </c>
      <c r="M6208">
        <v>0</v>
      </c>
    </row>
    <row r="6209" spans="11:13" x14ac:dyDescent="0.2">
      <c r="K6209" t="s">
        <v>41</v>
      </c>
      <c r="L6209" t="s">
        <v>37</v>
      </c>
      <c r="M6209">
        <v>1</v>
      </c>
    </row>
    <row r="6210" spans="11:13" x14ac:dyDescent="0.2">
      <c r="K6210" t="s">
        <v>41</v>
      </c>
      <c r="L6210" t="s">
        <v>37</v>
      </c>
      <c r="M6210">
        <v>0</v>
      </c>
    </row>
    <row r="6211" spans="11:13" x14ac:dyDescent="0.2">
      <c r="K6211" t="s">
        <v>41</v>
      </c>
      <c r="L6211" t="s">
        <v>37</v>
      </c>
      <c r="M6211">
        <v>0</v>
      </c>
    </row>
    <row r="6212" spans="11:13" x14ac:dyDescent="0.2">
      <c r="K6212" t="s">
        <v>42</v>
      </c>
      <c r="L6212" t="s">
        <v>38</v>
      </c>
      <c r="M6212">
        <v>0</v>
      </c>
    </row>
    <row r="6213" spans="11:13" x14ac:dyDescent="0.2">
      <c r="K6213" t="s">
        <v>42</v>
      </c>
      <c r="L6213" t="s">
        <v>38</v>
      </c>
      <c r="M6213">
        <v>0</v>
      </c>
    </row>
    <row r="6214" spans="11:13" x14ac:dyDescent="0.2">
      <c r="K6214" t="s">
        <v>41</v>
      </c>
      <c r="L6214" t="s">
        <v>37</v>
      </c>
      <c r="M6214">
        <v>0</v>
      </c>
    </row>
    <row r="6215" spans="11:13" x14ac:dyDescent="0.2">
      <c r="K6215" t="s">
        <v>42</v>
      </c>
      <c r="L6215" t="s">
        <v>38</v>
      </c>
      <c r="M6215">
        <v>0</v>
      </c>
    </row>
    <row r="6216" spans="11:13" x14ac:dyDescent="0.2">
      <c r="K6216" t="s">
        <v>42</v>
      </c>
      <c r="L6216" t="s">
        <v>38</v>
      </c>
      <c r="M6216">
        <v>0</v>
      </c>
    </row>
    <row r="6217" spans="11:13" x14ac:dyDescent="0.2">
      <c r="K6217" t="s">
        <v>42</v>
      </c>
      <c r="L6217" t="s">
        <v>38</v>
      </c>
      <c r="M6217">
        <v>0</v>
      </c>
    </row>
    <row r="6218" spans="11:13" x14ac:dyDescent="0.2">
      <c r="K6218" t="s">
        <v>41</v>
      </c>
      <c r="L6218" t="s">
        <v>37</v>
      </c>
      <c r="M6218">
        <v>0</v>
      </c>
    </row>
    <row r="6219" spans="11:13" x14ac:dyDescent="0.2">
      <c r="K6219" t="s">
        <v>41</v>
      </c>
      <c r="L6219" t="s">
        <v>37</v>
      </c>
      <c r="M6219">
        <v>0</v>
      </c>
    </row>
    <row r="6220" spans="11:13" x14ac:dyDescent="0.2">
      <c r="K6220" t="s">
        <v>42</v>
      </c>
      <c r="L6220" t="s">
        <v>38</v>
      </c>
      <c r="M6220">
        <v>0</v>
      </c>
    </row>
    <row r="6221" spans="11:13" x14ac:dyDescent="0.2">
      <c r="K6221" t="s">
        <v>41</v>
      </c>
      <c r="L6221" t="s">
        <v>37</v>
      </c>
      <c r="M6221">
        <v>0</v>
      </c>
    </row>
    <row r="6222" spans="11:13" x14ac:dyDescent="0.2">
      <c r="K6222" t="s">
        <v>41</v>
      </c>
      <c r="L6222" t="s">
        <v>37</v>
      </c>
      <c r="M6222">
        <v>0</v>
      </c>
    </row>
    <row r="6223" spans="11:13" x14ac:dyDescent="0.2">
      <c r="K6223" t="s">
        <v>42</v>
      </c>
      <c r="L6223" t="s">
        <v>38</v>
      </c>
      <c r="M6223">
        <v>0</v>
      </c>
    </row>
    <row r="6224" spans="11:13" x14ac:dyDescent="0.2">
      <c r="K6224" t="s">
        <v>41</v>
      </c>
      <c r="L6224" t="s">
        <v>37</v>
      </c>
      <c r="M6224">
        <v>0</v>
      </c>
    </row>
    <row r="6225" spans="11:13" x14ac:dyDescent="0.2">
      <c r="K6225" t="s">
        <v>42</v>
      </c>
      <c r="L6225" t="s">
        <v>38</v>
      </c>
      <c r="M6225">
        <v>0</v>
      </c>
    </row>
    <row r="6226" spans="11:13" x14ac:dyDescent="0.2">
      <c r="K6226" t="s">
        <v>41</v>
      </c>
      <c r="L6226" t="s">
        <v>37</v>
      </c>
      <c r="M6226">
        <v>0</v>
      </c>
    </row>
    <row r="6227" spans="11:13" x14ac:dyDescent="0.2">
      <c r="K6227" t="s">
        <v>41</v>
      </c>
      <c r="L6227" t="s">
        <v>37</v>
      </c>
      <c r="M6227">
        <v>0</v>
      </c>
    </row>
    <row r="6228" spans="11:13" x14ac:dyDescent="0.2">
      <c r="K6228" t="s">
        <v>41</v>
      </c>
      <c r="L6228" t="s">
        <v>37</v>
      </c>
      <c r="M6228">
        <v>0</v>
      </c>
    </row>
    <row r="6229" spans="11:13" x14ac:dyDescent="0.2">
      <c r="K6229" t="s">
        <v>41</v>
      </c>
      <c r="L6229" t="s">
        <v>37</v>
      </c>
      <c r="M6229">
        <v>0</v>
      </c>
    </row>
    <row r="6230" spans="11:13" x14ac:dyDescent="0.2">
      <c r="K6230" t="s">
        <v>42</v>
      </c>
      <c r="L6230" t="s">
        <v>38</v>
      </c>
      <c r="M6230">
        <v>0</v>
      </c>
    </row>
    <row r="6231" spans="11:13" x14ac:dyDescent="0.2">
      <c r="K6231" t="s">
        <v>42</v>
      </c>
      <c r="L6231" t="s">
        <v>38</v>
      </c>
      <c r="M6231">
        <v>0</v>
      </c>
    </row>
    <row r="6232" spans="11:13" x14ac:dyDescent="0.2">
      <c r="K6232" t="s">
        <v>42</v>
      </c>
      <c r="L6232" t="s">
        <v>38</v>
      </c>
      <c r="M6232">
        <v>0</v>
      </c>
    </row>
    <row r="6233" spans="11:13" x14ac:dyDescent="0.2">
      <c r="K6233" t="s">
        <v>42</v>
      </c>
      <c r="L6233" t="s">
        <v>38</v>
      </c>
      <c r="M6233">
        <v>0</v>
      </c>
    </row>
    <row r="6234" spans="11:13" x14ac:dyDescent="0.2">
      <c r="K6234" t="s">
        <v>42</v>
      </c>
      <c r="L6234" t="s">
        <v>38</v>
      </c>
      <c r="M6234">
        <v>0</v>
      </c>
    </row>
    <row r="6235" spans="11:13" x14ac:dyDescent="0.2">
      <c r="K6235" t="s">
        <v>41</v>
      </c>
      <c r="L6235" t="s">
        <v>37</v>
      </c>
      <c r="M6235">
        <v>0</v>
      </c>
    </row>
    <row r="6236" spans="11:13" x14ac:dyDescent="0.2">
      <c r="K6236" t="s">
        <v>42</v>
      </c>
      <c r="L6236" t="s">
        <v>38</v>
      </c>
      <c r="M6236">
        <v>0</v>
      </c>
    </row>
    <row r="6237" spans="11:13" x14ac:dyDescent="0.2">
      <c r="K6237" t="s">
        <v>42</v>
      </c>
      <c r="L6237" t="s">
        <v>38</v>
      </c>
      <c r="M6237">
        <v>0</v>
      </c>
    </row>
    <row r="6238" spans="11:13" x14ac:dyDescent="0.2">
      <c r="K6238" t="s">
        <v>41</v>
      </c>
      <c r="L6238" t="s">
        <v>37</v>
      </c>
      <c r="M6238">
        <v>0</v>
      </c>
    </row>
    <row r="6239" spans="11:13" x14ac:dyDescent="0.2">
      <c r="K6239" t="s">
        <v>41</v>
      </c>
      <c r="L6239" t="s">
        <v>37</v>
      </c>
      <c r="M6239">
        <v>0</v>
      </c>
    </row>
    <row r="6240" spans="11:13" x14ac:dyDescent="0.2">
      <c r="K6240" t="s">
        <v>42</v>
      </c>
      <c r="L6240" t="s">
        <v>38</v>
      </c>
      <c r="M6240">
        <v>0</v>
      </c>
    </row>
    <row r="6241" spans="11:13" x14ac:dyDescent="0.2">
      <c r="K6241" t="s">
        <v>42</v>
      </c>
      <c r="L6241" t="s">
        <v>38</v>
      </c>
      <c r="M6241">
        <v>0</v>
      </c>
    </row>
    <row r="6242" spans="11:13" x14ac:dyDescent="0.2">
      <c r="K6242" t="s">
        <v>42</v>
      </c>
      <c r="L6242" t="s">
        <v>38</v>
      </c>
      <c r="M6242">
        <v>0</v>
      </c>
    </row>
    <row r="6243" spans="11:13" x14ac:dyDescent="0.2">
      <c r="K6243" t="s">
        <v>41</v>
      </c>
      <c r="L6243" t="s">
        <v>37</v>
      </c>
      <c r="M6243">
        <v>0</v>
      </c>
    </row>
    <row r="6244" spans="11:13" x14ac:dyDescent="0.2">
      <c r="K6244" t="s">
        <v>41</v>
      </c>
      <c r="L6244" t="s">
        <v>37</v>
      </c>
      <c r="M6244">
        <v>0</v>
      </c>
    </row>
    <row r="6245" spans="11:13" x14ac:dyDescent="0.2">
      <c r="K6245" t="s">
        <v>41</v>
      </c>
      <c r="L6245" t="s">
        <v>37</v>
      </c>
      <c r="M6245">
        <v>0</v>
      </c>
    </row>
    <row r="6246" spans="11:13" x14ac:dyDescent="0.2">
      <c r="K6246" t="s">
        <v>41</v>
      </c>
      <c r="L6246" t="s">
        <v>37</v>
      </c>
      <c r="M6246">
        <v>0</v>
      </c>
    </row>
    <row r="6247" spans="11:13" x14ac:dyDescent="0.2">
      <c r="K6247" t="s">
        <v>42</v>
      </c>
      <c r="L6247" t="s">
        <v>38</v>
      </c>
      <c r="M6247">
        <v>0</v>
      </c>
    </row>
    <row r="6248" spans="11:13" x14ac:dyDescent="0.2">
      <c r="K6248" t="s">
        <v>41</v>
      </c>
      <c r="L6248" t="s">
        <v>37</v>
      </c>
      <c r="M6248">
        <v>0</v>
      </c>
    </row>
    <row r="6249" spans="11:13" x14ac:dyDescent="0.2">
      <c r="K6249" t="s">
        <v>41</v>
      </c>
      <c r="L6249" t="s">
        <v>37</v>
      </c>
      <c r="M6249">
        <v>0</v>
      </c>
    </row>
    <row r="6250" spans="11:13" x14ac:dyDescent="0.2">
      <c r="K6250" t="s">
        <v>41</v>
      </c>
      <c r="L6250" t="s">
        <v>37</v>
      </c>
      <c r="M6250">
        <v>0</v>
      </c>
    </row>
    <row r="6251" spans="11:13" x14ac:dyDescent="0.2">
      <c r="K6251" t="s">
        <v>41</v>
      </c>
      <c r="L6251" t="s">
        <v>37</v>
      </c>
      <c r="M6251">
        <v>0</v>
      </c>
    </row>
    <row r="6252" spans="11:13" x14ac:dyDescent="0.2">
      <c r="K6252" t="s">
        <v>42</v>
      </c>
      <c r="L6252" t="s">
        <v>38</v>
      </c>
      <c r="M6252">
        <v>0</v>
      </c>
    </row>
    <row r="6253" spans="11:13" x14ac:dyDescent="0.2">
      <c r="K6253" t="s">
        <v>41</v>
      </c>
      <c r="L6253" t="s">
        <v>37</v>
      </c>
      <c r="M6253">
        <v>0</v>
      </c>
    </row>
    <row r="6254" spans="11:13" x14ac:dyDescent="0.2">
      <c r="K6254" t="s">
        <v>41</v>
      </c>
      <c r="L6254" t="s">
        <v>37</v>
      </c>
      <c r="M6254">
        <v>0</v>
      </c>
    </row>
    <row r="6255" spans="11:13" x14ac:dyDescent="0.2">
      <c r="K6255" t="s">
        <v>42</v>
      </c>
      <c r="L6255" t="s">
        <v>38</v>
      </c>
      <c r="M6255">
        <v>0</v>
      </c>
    </row>
    <row r="6256" spans="11:13" x14ac:dyDescent="0.2">
      <c r="K6256" t="s">
        <v>41</v>
      </c>
      <c r="L6256" t="s">
        <v>37</v>
      </c>
      <c r="M6256">
        <v>0</v>
      </c>
    </row>
    <row r="6257" spans="11:13" x14ac:dyDescent="0.2">
      <c r="K6257" t="s">
        <v>41</v>
      </c>
      <c r="L6257" t="s">
        <v>37</v>
      </c>
      <c r="M6257">
        <v>0</v>
      </c>
    </row>
    <row r="6258" spans="11:13" x14ac:dyDescent="0.2">
      <c r="K6258" t="s">
        <v>41</v>
      </c>
      <c r="L6258" t="s">
        <v>37</v>
      </c>
      <c r="M6258">
        <v>1</v>
      </c>
    </row>
    <row r="6259" spans="11:13" x14ac:dyDescent="0.2">
      <c r="K6259" t="s">
        <v>41</v>
      </c>
      <c r="L6259" t="s">
        <v>37</v>
      </c>
      <c r="M6259">
        <v>0</v>
      </c>
    </row>
    <row r="6260" spans="11:13" x14ac:dyDescent="0.2">
      <c r="K6260" t="s">
        <v>42</v>
      </c>
      <c r="L6260" t="s">
        <v>38</v>
      </c>
      <c r="M6260">
        <v>0</v>
      </c>
    </row>
    <row r="6261" spans="11:13" x14ac:dyDescent="0.2">
      <c r="K6261" t="s">
        <v>42</v>
      </c>
      <c r="L6261" t="s">
        <v>38</v>
      </c>
      <c r="M6261">
        <v>0</v>
      </c>
    </row>
    <row r="6262" spans="11:13" x14ac:dyDescent="0.2">
      <c r="K6262" t="s">
        <v>41</v>
      </c>
      <c r="L6262" t="s">
        <v>37</v>
      </c>
      <c r="M6262">
        <v>0</v>
      </c>
    </row>
    <row r="6263" spans="11:13" x14ac:dyDescent="0.2">
      <c r="K6263" t="s">
        <v>42</v>
      </c>
      <c r="L6263" t="s">
        <v>38</v>
      </c>
      <c r="M6263">
        <v>0</v>
      </c>
    </row>
    <row r="6264" spans="11:13" x14ac:dyDescent="0.2">
      <c r="K6264" t="s">
        <v>41</v>
      </c>
      <c r="L6264" t="s">
        <v>37</v>
      </c>
      <c r="M6264">
        <v>0</v>
      </c>
    </row>
    <row r="6265" spans="11:13" x14ac:dyDescent="0.2">
      <c r="K6265" t="s">
        <v>41</v>
      </c>
      <c r="L6265" t="s">
        <v>37</v>
      </c>
      <c r="M6265">
        <v>0</v>
      </c>
    </row>
    <row r="6266" spans="11:13" x14ac:dyDescent="0.2">
      <c r="K6266" t="s">
        <v>42</v>
      </c>
      <c r="L6266" t="s">
        <v>38</v>
      </c>
      <c r="M6266">
        <v>0</v>
      </c>
    </row>
    <row r="6267" spans="11:13" x14ac:dyDescent="0.2">
      <c r="K6267" t="s">
        <v>42</v>
      </c>
      <c r="L6267" t="s">
        <v>38</v>
      </c>
      <c r="M6267">
        <v>0</v>
      </c>
    </row>
    <row r="6268" spans="11:13" x14ac:dyDescent="0.2">
      <c r="K6268" t="s">
        <v>41</v>
      </c>
      <c r="L6268" t="s">
        <v>37</v>
      </c>
      <c r="M6268">
        <v>0</v>
      </c>
    </row>
    <row r="6269" spans="11:13" x14ac:dyDescent="0.2">
      <c r="K6269" t="s">
        <v>41</v>
      </c>
      <c r="L6269" t="s">
        <v>37</v>
      </c>
      <c r="M6269">
        <v>0</v>
      </c>
    </row>
    <row r="6270" spans="11:13" x14ac:dyDescent="0.2">
      <c r="K6270" t="s">
        <v>42</v>
      </c>
      <c r="L6270" t="s">
        <v>38</v>
      </c>
      <c r="M6270">
        <v>0</v>
      </c>
    </row>
    <row r="6271" spans="11:13" x14ac:dyDescent="0.2">
      <c r="K6271" t="s">
        <v>42</v>
      </c>
      <c r="L6271" t="s">
        <v>38</v>
      </c>
      <c r="M6271">
        <v>0</v>
      </c>
    </row>
    <row r="6272" spans="11:13" x14ac:dyDescent="0.2">
      <c r="K6272" t="s">
        <v>41</v>
      </c>
      <c r="L6272" t="s">
        <v>37</v>
      </c>
      <c r="M6272">
        <v>0</v>
      </c>
    </row>
    <row r="6273" spans="11:13" x14ac:dyDescent="0.2">
      <c r="K6273" t="s">
        <v>41</v>
      </c>
      <c r="L6273" t="s">
        <v>37</v>
      </c>
      <c r="M6273">
        <v>0</v>
      </c>
    </row>
    <row r="6274" spans="11:13" x14ac:dyDescent="0.2">
      <c r="K6274" t="s">
        <v>41</v>
      </c>
      <c r="L6274" t="s">
        <v>37</v>
      </c>
      <c r="M6274">
        <v>0</v>
      </c>
    </row>
    <row r="6275" spans="11:13" x14ac:dyDescent="0.2">
      <c r="K6275" t="s">
        <v>42</v>
      </c>
      <c r="L6275" t="s">
        <v>38</v>
      </c>
      <c r="M6275">
        <v>0</v>
      </c>
    </row>
    <row r="6276" spans="11:13" x14ac:dyDescent="0.2">
      <c r="K6276" t="s">
        <v>42</v>
      </c>
      <c r="L6276" t="s">
        <v>38</v>
      </c>
      <c r="M6276">
        <v>0</v>
      </c>
    </row>
    <row r="6277" spans="11:13" x14ac:dyDescent="0.2">
      <c r="K6277" t="s">
        <v>42</v>
      </c>
      <c r="L6277" t="s">
        <v>38</v>
      </c>
      <c r="M6277">
        <v>0</v>
      </c>
    </row>
    <row r="6278" spans="11:13" x14ac:dyDescent="0.2">
      <c r="K6278" t="s">
        <v>42</v>
      </c>
      <c r="L6278" t="s">
        <v>38</v>
      </c>
      <c r="M6278">
        <v>0</v>
      </c>
    </row>
    <row r="6279" spans="11:13" x14ac:dyDescent="0.2">
      <c r="K6279" t="s">
        <v>42</v>
      </c>
      <c r="L6279" t="s">
        <v>38</v>
      </c>
      <c r="M6279">
        <v>0</v>
      </c>
    </row>
    <row r="6280" spans="11:13" x14ac:dyDescent="0.2">
      <c r="K6280" t="s">
        <v>41</v>
      </c>
      <c r="L6280" t="s">
        <v>37</v>
      </c>
      <c r="M6280">
        <v>0</v>
      </c>
    </row>
    <row r="6281" spans="11:13" x14ac:dyDescent="0.2">
      <c r="K6281" t="s">
        <v>42</v>
      </c>
      <c r="L6281" t="s">
        <v>38</v>
      </c>
      <c r="M6281">
        <v>0</v>
      </c>
    </row>
    <row r="6282" spans="11:13" x14ac:dyDescent="0.2">
      <c r="K6282" t="s">
        <v>41</v>
      </c>
      <c r="L6282" t="s">
        <v>37</v>
      </c>
      <c r="M6282">
        <v>0</v>
      </c>
    </row>
    <row r="6283" spans="11:13" x14ac:dyDescent="0.2">
      <c r="K6283" t="s">
        <v>41</v>
      </c>
      <c r="L6283" t="s">
        <v>37</v>
      </c>
      <c r="M6283">
        <v>0</v>
      </c>
    </row>
    <row r="6284" spans="11:13" x14ac:dyDescent="0.2">
      <c r="K6284" t="s">
        <v>42</v>
      </c>
      <c r="L6284" t="s">
        <v>38</v>
      </c>
      <c r="M6284">
        <v>0</v>
      </c>
    </row>
    <row r="6285" spans="11:13" x14ac:dyDescent="0.2">
      <c r="K6285" t="s">
        <v>41</v>
      </c>
      <c r="L6285" t="s">
        <v>37</v>
      </c>
      <c r="M6285">
        <v>0</v>
      </c>
    </row>
    <row r="6286" spans="11:13" x14ac:dyDescent="0.2">
      <c r="K6286" t="s">
        <v>41</v>
      </c>
      <c r="L6286" t="s">
        <v>37</v>
      </c>
      <c r="M6286">
        <v>0</v>
      </c>
    </row>
    <row r="6287" spans="11:13" x14ac:dyDescent="0.2">
      <c r="K6287" t="s">
        <v>42</v>
      </c>
      <c r="L6287" t="s">
        <v>38</v>
      </c>
      <c r="M6287">
        <v>0</v>
      </c>
    </row>
    <row r="6288" spans="11:13" x14ac:dyDescent="0.2">
      <c r="K6288" t="s">
        <v>42</v>
      </c>
      <c r="L6288" t="s">
        <v>38</v>
      </c>
      <c r="M6288">
        <v>0</v>
      </c>
    </row>
    <row r="6289" spans="11:13" x14ac:dyDescent="0.2">
      <c r="K6289" t="s">
        <v>41</v>
      </c>
      <c r="L6289" t="s">
        <v>37</v>
      </c>
      <c r="M6289">
        <v>0</v>
      </c>
    </row>
    <row r="6290" spans="11:13" x14ac:dyDescent="0.2">
      <c r="K6290" t="s">
        <v>41</v>
      </c>
      <c r="L6290" t="s">
        <v>37</v>
      </c>
      <c r="M6290">
        <v>0</v>
      </c>
    </row>
    <row r="6291" spans="11:13" x14ac:dyDescent="0.2">
      <c r="K6291" t="s">
        <v>41</v>
      </c>
      <c r="L6291" t="s">
        <v>37</v>
      </c>
      <c r="M6291">
        <v>0</v>
      </c>
    </row>
    <row r="6292" spans="11:13" x14ac:dyDescent="0.2">
      <c r="K6292" t="s">
        <v>42</v>
      </c>
      <c r="L6292" t="s">
        <v>38</v>
      </c>
      <c r="M6292">
        <v>0</v>
      </c>
    </row>
    <row r="6293" spans="11:13" x14ac:dyDescent="0.2">
      <c r="K6293" t="s">
        <v>41</v>
      </c>
      <c r="L6293" t="s">
        <v>37</v>
      </c>
      <c r="M6293">
        <v>0</v>
      </c>
    </row>
    <row r="6294" spans="11:13" x14ac:dyDescent="0.2">
      <c r="K6294" t="s">
        <v>42</v>
      </c>
      <c r="L6294" t="s">
        <v>38</v>
      </c>
      <c r="M6294">
        <v>0</v>
      </c>
    </row>
    <row r="6295" spans="11:13" x14ac:dyDescent="0.2">
      <c r="K6295" t="s">
        <v>42</v>
      </c>
      <c r="L6295" t="s">
        <v>38</v>
      </c>
      <c r="M6295">
        <v>0</v>
      </c>
    </row>
    <row r="6296" spans="11:13" x14ac:dyDescent="0.2">
      <c r="K6296" t="s">
        <v>41</v>
      </c>
      <c r="L6296" t="s">
        <v>37</v>
      </c>
      <c r="M6296">
        <v>0</v>
      </c>
    </row>
    <row r="6297" spans="11:13" x14ac:dyDescent="0.2">
      <c r="K6297" t="s">
        <v>41</v>
      </c>
      <c r="L6297" t="s">
        <v>37</v>
      </c>
      <c r="M6297">
        <v>0</v>
      </c>
    </row>
    <row r="6298" spans="11:13" x14ac:dyDescent="0.2">
      <c r="K6298" t="s">
        <v>41</v>
      </c>
      <c r="L6298" t="s">
        <v>37</v>
      </c>
      <c r="M6298">
        <v>0</v>
      </c>
    </row>
    <row r="6299" spans="11:13" x14ac:dyDescent="0.2">
      <c r="K6299" t="s">
        <v>41</v>
      </c>
      <c r="L6299" t="s">
        <v>37</v>
      </c>
      <c r="M6299">
        <v>0</v>
      </c>
    </row>
    <row r="6300" spans="11:13" x14ac:dyDescent="0.2">
      <c r="K6300" t="s">
        <v>42</v>
      </c>
      <c r="L6300" t="s">
        <v>38</v>
      </c>
      <c r="M6300">
        <v>0</v>
      </c>
    </row>
    <row r="6301" spans="11:13" x14ac:dyDescent="0.2">
      <c r="K6301" t="s">
        <v>41</v>
      </c>
      <c r="L6301" t="s">
        <v>37</v>
      </c>
      <c r="M6301">
        <v>0</v>
      </c>
    </row>
    <row r="6302" spans="11:13" x14ac:dyDescent="0.2">
      <c r="K6302" t="s">
        <v>41</v>
      </c>
      <c r="L6302" t="s">
        <v>37</v>
      </c>
      <c r="M6302">
        <v>0</v>
      </c>
    </row>
    <row r="6303" spans="11:13" x14ac:dyDescent="0.2">
      <c r="K6303" t="s">
        <v>41</v>
      </c>
      <c r="L6303" t="s">
        <v>37</v>
      </c>
      <c r="M6303">
        <v>0</v>
      </c>
    </row>
    <row r="6304" spans="11:13" x14ac:dyDescent="0.2">
      <c r="K6304" t="s">
        <v>42</v>
      </c>
      <c r="L6304" t="s">
        <v>38</v>
      </c>
      <c r="M6304">
        <v>0</v>
      </c>
    </row>
    <row r="6305" spans="11:13" x14ac:dyDescent="0.2">
      <c r="K6305" t="s">
        <v>42</v>
      </c>
      <c r="L6305" t="s">
        <v>38</v>
      </c>
      <c r="M6305">
        <v>0</v>
      </c>
    </row>
    <row r="6306" spans="11:13" x14ac:dyDescent="0.2">
      <c r="K6306" t="s">
        <v>41</v>
      </c>
      <c r="L6306" t="s">
        <v>37</v>
      </c>
      <c r="M6306">
        <v>0</v>
      </c>
    </row>
    <row r="6307" spans="11:13" x14ac:dyDescent="0.2">
      <c r="K6307" t="s">
        <v>41</v>
      </c>
      <c r="L6307" t="s">
        <v>37</v>
      </c>
      <c r="M6307">
        <v>0</v>
      </c>
    </row>
    <row r="6308" spans="11:13" x14ac:dyDescent="0.2">
      <c r="K6308" t="s">
        <v>41</v>
      </c>
      <c r="L6308" t="s">
        <v>37</v>
      </c>
      <c r="M6308">
        <v>0</v>
      </c>
    </row>
    <row r="6309" spans="11:13" x14ac:dyDescent="0.2">
      <c r="K6309" t="s">
        <v>42</v>
      </c>
      <c r="L6309" t="s">
        <v>38</v>
      </c>
      <c r="M6309">
        <v>0</v>
      </c>
    </row>
    <row r="6310" spans="11:13" x14ac:dyDescent="0.2">
      <c r="K6310" t="s">
        <v>42</v>
      </c>
      <c r="L6310" t="s">
        <v>38</v>
      </c>
      <c r="M6310">
        <v>0</v>
      </c>
    </row>
    <row r="6311" spans="11:13" x14ac:dyDescent="0.2">
      <c r="K6311" t="s">
        <v>42</v>
      </c>
      <c r="L6311" t="s">
        <v>38</v>
      </c>
      <c r="M6311">
        <v>0</v>
      </c>
    </row>
    <row r="6312" spans="11:13" x14ac:dyDescent="0.2">
      <c r="K6312" t="s">
        <v>42</v>
      </c>
      <c r="L6312" t="s">
        <v>38</v>
      </c>
      <c r="M6312">
        <v>0</v>
      </c>
    </row>
    <row r="6313" spans="11:13" x14ac:dyDescent="0.2">
      <c r="K6313" t="s">
        <v>41</v>
      </c>
      <c r="L6313" t="s">
        <v>37</v>
      </c>
      <c r="M6313">
        <v>0</v>
      </c>
    </row>
    <row r="6314" spans="11:13" x14ac:dyDescent="0.2">
      <c r="K6314" t="s">
        <v>42</v>
      </c>
      <c r="L6314" t="s">
        <v>38</v>
      </c>
      <c r="M6314">
        <v>0</v>
      </c>
    </row>
    <row r="6315" spans="11:13" x14ac:dyDescent="0.2">
      <c r="K6315" t="s">
        <v>41</v>
      </c>
      <c r="L6315" t="s">
        <v>37</v>
      </c>
      <c r="M6315">
        <v>0</v>
      </c>
    </row>
    <row r="6316" spans="11:13" x14ac:dyDescent="0.2">
      <c r="K6316" t="s">
        <v>41</v>
      </c>
      <c r="L6316" t="s">
        <v>37</v>
      </c>
      <c r="M6316">
        <v>0</v>
      </c>
    </row>
    <row r="6317" spans="11:13" x14ac:dyDescent="0.2">
      <c r="K6317" t="s">
        <v>42</v>
      </c>
      <c r="L6317" t="s">
        <v>38</v>
      </c>
      <c r="M6317">
        <v>0</v>
      </c>
    </row>
    <row r="6318" spans="11:13" x14ac:dyDescent="0.2">
      <c r="K6318" t="s">
        <v>41</v>
      </c>
      <c r="L6318" t="s">
        <v>37</v>
      </c>
      <c r="M6318">
        <v>0</v>
      </c>
    </row>
    <row r="6319" spans="11:13" x14ac:dyDescent="0.2">
      <c r="K6319" t="s">
        <v>41</v>
      </c>
      <c r="L6319" t="s">
        <v>37</v>
      </c>
      <c r="M6319">
        <v>0</v>
      </c>
    </row>
    <row r="6320" spans="11:13" x14ac:dyDescent="0.2">
      <c r="K6320" t="s">
        <v>42</v>
      </c>
      <c r="L6320" t="s">
        <v>38</v>
      </c>
      <c r="M6320">
        <v>0</v>
      </c>
    </row>
    <row r="6321" spans="11:13" x14ac:dyDescent="0.2">
      <c r="K6321" t="s">
        <v>42</v>
      </c>
      <c r="L6321" t="s">
        <v>38</v>
      </c>
      <c r="M6321">
        <v>0</v>
      </c>
    </row>
    <row r="6322" spans="11:13" x14ac:dyDescent="0.2">
      <c r="K6322" t="s">
        <v>42</v>
      </c>
      <c r="L6322" t="s">
        <v>38</v>
      </c>
      <c r="M6322">
        <v>0</v>
      </c>
    </row>
    <row r="6323" spans="11:13" x14ac:dyDescent="0.2">
      <c r="K6323" t="s">
        <v>41</v>
      </c>
      <c r="L6323" t="s">
        <v>37</v>
      </c>
      <c r="M6323">
        <v>0</v>
      </c>
    </row>
    <row r="6324" spans="11:13" x14ac:dyDescent="0.2">
      <c r="K6324" t="s">
        <v>42</v>
      </c>
      <c r="L6324" t="s">
        <v>38</v>
      </c>
      <c r="M6324">
        <v>0</v>
      </c>
    </row>
    <row r="6325" spans="11:13" x14ac:dyDescent="0.2">
      <c r="K6325" t="s">
        <v>42</v>
      </c>
      <c r="L6325" t="s">
        <v>38</v>
      </c>
      <c r="M6325">
        <v>0</v>
      </c>
    </row>
    <row r="6326" spans="11:13" x14ac:dyDescent="0.2">
      <c r="K6326" t="s">
        <v>41</v>
      </c>
      <c r="L6326" t="s">
        <v>37</v>
      </c>
      <c r="M6326">
        <v>0</v>
      </c>
    </row>
    <row r="6327" spans="11:13" x14ac:dyDescent="0.2">
      <c r="K6327" t="s">
        <v>42</v>
      </c>
      <c r="L6327" t="s">
        <v>38</v>
      </c>
      <c r="M6327">
        <v>0</v>
      </c>
    </row>
    <row r="6328" spans="11:13" x14ac:dyDescent="0.2">
      <c r="K6328" t="s">
        <v>42</v>
      </c>
      <c r="L6328" t="s">
        <v>38</v>
      </c>
      <c r="M6328">
        <v>0</v>
      </c>
    </row>
    <row r="6329" spans="11:13" x14ac:dyDescent="0.2">
      <c r="K6329" t="s">
        <v>42</v>
      </c>
      <c r="L6329" t="s">
        <v>38</v>
      </c>
      <c r="M6329">
        <v>0</v>
      </c>
    </row>
    <row r="6330" spans="11:13" x14ac:dyDescent="0.2">
      <c r="K6330" t="s">
        <v>42</v>
      </c>
      <c r="L6330" t="s">
        <v>38</v>
      </c>
      <c r="M6330">
        <v>0</v>
      </c>
    </row>
    <row r="6331" spans="11:13" x14ac:dyDescent="0.2">
      <c r="K6331" t="s">
        <v>42</v>
      </c>
      <c r="L6331" t="s">
        <v>38</v>
      </c>
      <c r="M6331">
        <v>0</v>
      </c>
    </row>
    <row r="6332" spans="11:13" x14ac:dyDescent="0.2">
      <c r="K6332" t="s">
        <v>42</v>
      </c>
      <c r="L6332" t="s">
        <v>38</v>
      </c>
      <c r="M6332">
        <v>0</v>
      </c>
    </row>
    <row r="6333" spans="11:13" x14ac:dyDescent="0.2">
      <c r="K6333" t="s">
        <v>42</v>
      </c>
      <c r="L6333" t="s">
        <v>38</v>
      </c>
      <c r="M6333">
        <v>0</v>
      </c>
    </row>
    <row r="6334" spans="11:13" x14ac:dyDescent="0.2">
      <c r="K6334" t="s">
        <v>41</v>
      </c>
      <c r="L6334" t="s">
        <v>37</v>
      </c>
      <c r="M6334">
        <v>0</v>
      </c>
    </row>
    <row r="6335" spans="11:13" x14ac:dyDescent="0.2">
      <c r="K6335" t="s">
        <v>42</v>
      </c>
      <c r="L6335" t="s">
        <v>38</v>
      </c>
      <c r="M6335">
        <v>0</v>
      </c>
    </row>
    <row r="6336" spans="11:13" x14ac:dyDescent="0.2">
      <c r="K6336" t="s">
        <v>42</v>
      </c>
      <c r="L6336" t="s">
        <v>38</v>
      </c>
      <c r="M6336">
        <v>0</v>
      </c>
    </row>
    <row r="6337" spans="11:13" x14ac:dyDescent="0.2">
      <c r="K6337" t="s">
        <v>42</v>
      </c>
      <c r="L6337" t="s">
        <v>38</v>
      </c>
      <c r="M6337">
        <v>0</v>
      </c>
    </row>
    <row r="6338" spans="11:13" x14ac:dyDescent="0.2">
      <c r="K6338" t="s">
        <v>41</v>
      </c>
      <c r="L6338" t="s">
        <v>37</v>
      </c>
      <c r="M6338">
        <v>0</v>
      </c>
    </row>
    <row r="6339" spans="11:13" x14ac:dyDescent="0.2">
      <c r="K6339" t="s">
        <v>42</v>
      </c>
      <c r="L6339" t="s">
        <v>38</v>
      </c>
      <c r="M6339">
        <v>0</v>
      </c>
    </row>
    <row r="6340" spans="11:13" x14ac:dyDescent="0.2">
      <c r="K6340" t="s">
        <v>42</v>
      </c>
      <c r="L6340" t="s">
        <v>38</v>
      </c>
      <c r="M6340">
        <v>0</v>
      </c>
    </row>
    <row r="6341" spans="11:13" x14ac:dyDescent="0.2">
      <c r="K6341" t="s">
        <v>42</v>
      </c>
      <c r="L6341" t="s">
        <v>38</v>
      </c>
      <c r="M6341">
        <v>0</v>
      </c>
    </row>
    <row r="6342" spans="11:13" x14ac:dyDescent="0.2">
      <c r="K6342" t="s">
        <v>42</v>
      </c>
      <c r="L6342" t="s">
        <v>38</v>
      </c>
      <c r="M6342">
        <v>0</v>
      </c>
    </row>
    <row r="6343" spans="11:13" x14ac:dyDescent="0.2">
      <c r="K6343" t="s">
        <v>42</v>
      </c>
      <c r="L6343" t="s">
        <v>38</v>
      </c>
      <c r="M6343">
        <v>0</v>
      </c>
    </row>
    <row r="6344" spans="11:13" x14ac:dyDescent="0.2">
      <c r="K6344" t="s">
        <v>41</v>
      </c>
      <c r="L6344" t="s">
        <v>37</v>
      </c>
      <c r="M6344">
        <v>0</v>
      </c>
    </row>
    <row r="6345" spans="11:13" x14ac:dyDescent="0.2">
      <c r="K6345" t="s">
        <v>41</v>
      </c>
      <c r="L6345" t="s">
        <v>37</v>
      </c>
      <c r="M6345">
        <v>0</v>
      </c>
    </row>
    <row r="6346" spans="11:13" x14ac:dyDescent="0.2">
      <c r="K6346" t="s">
        <v>41</v>
      </c>
      <c r="L6346" t="s">
        <v>37</v>
      </c>
      <c r="M6346">
        <v>0</v>
      </c>
    </row>
    <row r="6347" spans="11:13" x14ac:dyDescent="0.2">
      <c r="K6347" t="s">
        <v>42</v>
      </c>
      <c r="L6347" t="s">
        <v>38</v>
      </c>
      <c r="M6347">
        <v>0</v>
      </c>
    </row>
    <row r="6348" spans="11:13" x14ac:dyDescent="0.2">
      <c r="K6348" t="s">
        <v>41</v>
      </c>
      <c r="L6348" t="s">
        <v>37</v>
      </c>
      <c r="M6348">
        <v>0</v>
      </c>
    </row>
    <row r="6349" spans="11:13" x14ac:dyDescent="0.2">
      <c r="K6349" t="s">
        <v>42</v>
      </c>
      <c r="L6349" t="s">
        <v>38</v>
      </c>
      <c r="M6349">
        <v>0</v>
      </c>
    </row>
    <row r="6350" spans="11:13" x14ac:dyDescent="0.2">
      <c r="K6350" t="s">
        <v>42</v>
      </c>
      <c r="L6350" t="s">
        <v>38</v>
      </c>
      <c r="M6350">
        <v>0</v>
      </c>
    </row>
    <row r="6351" spans="11:13" x14ac:dyDescent="0.2">
      <c r="K6351" t="s">
        <v>42</v>
      </c>
      <c r="L6351" t="s">
        <v>38</v>
      </c>
      <c r="M6351">
        <v>0</v>
      </c>
    </row>
    <row r="6352" spans="11:13" x14ac:dyDescent="0.2">
      <c r="K6352" t="s">
        <v>41</v>
      </c>
      <c r="L6352" t="s">
        <v>37</v>
      </c>
      <c r="M6352">
        <v>0</v>
      </c>
    </row>
    <row r="6353" spans="11:13" x14ac:dyDescent="0.2">
      <c r="K6353" t="s">
        <v>42</v>
      </c>
      <c r="L6353" t="s">
        <v>38</v>
      </c>
      <c r="M6353">
        <v>0</v>
      </c>
    </row>
    <row r="6354" spans="11:13" x14ac:dyDescent="0.2">
      <c r="K6354" t="s">
        <v>41</v>
      </c>
      <c r="L6354" t="s">
        <v>37</v>
      </c>
      <c r="M6354">
        <v>0</v>
      </c>
    </row>
    <row r="6355" spans="11:13" x14ac:dyDescent="0.2">
      <c r="K6355" t="s">
        <v>41</v>
      </c>
      <c r="L6355" t="s">
        <v>37</v>
      </c>
      <c r="M6355">
        <v>0</v>
      </c>
    </row>
    <row r="6356" spans="11:13" x14ac:dyDescent="0.2">
      <c r="K6356" t="s">
        <v>42</v>
      </c>
      <c r="L6356" t="s">
        <v>38</v>
      </c>
      <c r="M6356">
        <v>0</v>
      </c>
    </row>
    <row r="6357" spans="11:13" x14ac:dyDescent="0.2">
      <c r="K6357" t="s">
        <v>42</v>
      </c>
      <c r="L6357" t="s">
        <v>38</v>
      </c>
      <c r="M6357">
        <v>0</v>
      </c>
    </row>
    <row r="6358" spans="11:13" x14ac:dyDescent="0.2">
      <c r="K6358" t="s">
        <v>41</v>
      </c>
      <c r="L6358" t="s">
        <v>37</v>
      </c>
      <c r="M6358">
        <v>0</v>
      </c>
    </row>
    <row r="6359" spans="11:13" x14ac:dyDescent="0.2">
      <c r="K6359" t="s">
        <v>42</v>
      </c>
      <c r="L6359" t="s">
        <v>38</v>
      </c>
      <c r="M6359">
        <v>0</v>
      </c>
    </row>
    <row r="6360" spans="11:13" x14ac:dyDescent="0.2">
      <c r="K6360" t="s">
        <v>42</v>
      </c>
      <c r="L6360" t="s">
        <v>38</v>
      </c>
      <c r="M6360">
        <v>0</v>
      </c>
    </row>
    <row r="6361" spans="11:13" x14ac:dyDescent="0.2">
      <c r="K6361" t="s">
        <v>42</v>
      </c>
      <c r="L6361" t="s">
        <v>38</v>
      </c>
      <c r="M6361">
        <v>0</v>
      </c>
    </row>
    <row r="6362" spans="11:13" x14ac:dyDescent="0.2">
      <c r="K6362" t="s">
        <v>41</v>
      </c>
      <c r="L6362" t="s">
        <v>37</v>
      </c>
      <c r="M6362">
        <v>0</v>
      </c>
    </row>
    <row r="6363" spans="11:13" x14ac:dyDescent="0.2">
      <c r="K6363" t="s">
        <v>42</v>
      </c>
      <c r="L6363" t="s">
        <v>38</v>
      </c>
      <c r="M6363">
        <v>0</v>
      </c>
    </row>
    <row r="6364" spans="11:13" x14ac:dyDescent="0.2">
      <c r="K6364" t="s">
        <v>41</v>
      </c>
      <c r="L6364" t="s">
        <v>37</v>
      </c>
      <c r="M6364">
        <v>0</v>
      </c>
    </row>
    <row r="6365" spans="11:13" x14ac:dyDescent="0.2">
      <c r="K6365" t="s">
        <v>42</v>
      </c>
      <c r="L6365" t="s">
        <v>38</v>
      </c>
      <c r="M6365">
        <v>0</v>
      </c>
    </row>
    <row r="6366" spans="11:13" x14ac:dyDescent="0.2">
      <c r="K6366" t="s">
        <v>42</v>
      </c>
      <c r="L6366" t="s">
        <v>38</v>
      </c>
      <c r="M6366">
        <v>0</v>
      </c>
    </row>
    <row r="6367" spans="11:13" x14ac:dyDescent="0.2">
      <c r="K6367" t="s">
        <v>42</v>
      </c>
      <c r="L6367" t="s">
        <v>38</v>
      </c>
      <c r="M6367">
        <v>0</v>
      </c>
    </row>
    <row r="6368" spans="11:13" x14ac:dyDescent="0.2">
      <c r="K6368" t="s">
        <v>42</v>
      </c>
      <c r="L6368" t="s">
        <v>38</v>
      </c>
      <c r="M6368">
        <v>0</v>
      </c>
    </row>
    <row r="6369" spans="11:13" x14ac:dyDescent="0.2">
      <c r="K6369" t="s">
        <v>42</v>
      </c>
      <c r="L6369" t="s">
        <v>38</v>
      </c>
      <c r="M6369">
        <v>0</v>
      </c>
    </row>
    <row r="6370" spans="11:13" x14ac:dyDescent="0.2">
      <c r="K6370" t="s">
        <v>42</v>
      </c>
      <c r="L6370" t="s">
        <v>38</v>
      </c>
      <c r="M6370">
        <v>0</v>
      </c>
    </row>
    <row r="6371" spans="11:13" x14ac:dyDescent="0.2">
      <c r="K6371" t="s">
        <v>41</v>
      </c>
      <c r="L6371" t="s">
        <v>37</v>
      </c>
      <c r="M6371">
        <v>0</v>
      </c>
    </row>
    <row r="6372" spans="11:13" x14ac:dyDescent="0.2">
      <c r="K6372" t="s">
        <v>41</v>
      </c>
      <c r="L6372" t="s">
        <v>37</v>
      </c>
      <c r="M6372">
        <v>0</v>
      </c>
    </row>
    <row r="6373" spans="11:13" x14ac:dyDescent="0.2">
      <c r="K6373" t="s">
        <v>41</v>
      </c>
      <c r="L6373" t="s">
        <v>37</v>
      </c>
      <c r="M6373">
        <v>0</v>
      </c>
    </row>
    <row r="6374" spans="11:13" x14ac:dyDescent="0.2">
      <c r="K6374" t="s">
        <v>42</v>
      </c>
      <c r="L6374" t="s">
        <v>38</v>
      </c>
      <c r="M6374">
        <v>0</v>
      </c>
    </row>
    <row r="6375" spans="11:13" x14ac:dyDescent="0.2">
      <c r="K6375" t="s">
        <v>41</v>
      </c>
      <c r="L6375" t="s">
        <v>37</v>
      </c>
      <c r="M6375">
        <v>0</v>
      </c>
    </row>
    <row r="6376" spans="11:13" x14ac:dyDescent="0.2">
      <c r="K6376" t="s">
        <v>41</v>
      </c>
      <c r="L6376" t="s">
        <v>37</v>
      </c>
      <c r="M6376">
        <v>0</v>
      </c>
    </row>
    <row r="6377" spans="11:13" x14ac:dyDescent="0.2">
      <c r="K6377" t="s">
        <v>41</v>
      </c>
      <c r="L6377" t="s">
        <v>37</v>
      </c>
      <c r="M6377">
        <v>0</v>
      </c>
    </row>
    <row r="6378" spans="11:13" x14ac:dyDescent="0.2">
      <c r="K6378" t="s">
        <v>41</v>
      </c>
      <c r="L6378" t="s">
        <v>37</v>
      </c>
      <c r="M6378">
        <v>0</v>
      </c>
    </row>
    <row r="6379" spans="11:13" x14ac:dyDescent="0.2">
      <c r="K6379" t="s">
        <v>42</v>
      </c>
      <c r="L6379" t="s">
        <v>38</v>
      </c>
      <c r="M6379">
        <v>0</v>
      </c>
    </row>
    <row r="6380" spans="11:13" x14ac:dyDescent="0.2">
      <c r="K6380" t="s">
        <v>42</v>
      </c>
      <c r="L6380" t="s">
        <v>38</v>
      </c>
      <c r="M6380">
        <v>0</v>
      </c>
    </row>
    <row r="6381" spans="11:13" x14ac:dyDescent="0.2">
      <c r="K6381" t="s">
        <v>42</v>
      </c>
      <c r="L6381" t="s">
        <v>38</v>
      </c>
      <c r="M6381">
        <v>1</v>
      </c>
    </row>
    <row r="6382" spans="11:13" x14ac:dyDescent="0.2">
      <c r="K6382" t="s">
        <v>41</v>
      </c>
      <c r="L6382" t="s">
        <v>37</v>
      </c>
      <c r="M6382">
        <v>0</v>
      </c>
    </row>
    <row r="6383" spans="11:13" x14ac:dyDescent="0.2">
      <c r="K6383" t="s">
        <v>42</v>
      </c>
      <c r="L6383" t="s">
        <v>38</v>
      </c>
      <c r="M6383">
        <v>0</v>
      </c>
    </row>
    <row r="6384" spans="11:13" x14ac:dyDescent="0.2">
      <c r="K6384" t="s">
        <v>42</v>
      </c>
      <c r="L6384" t="s">
        <v>38</v>
      </c>
      <c r="M6384">
        <v>0</v>
      </c>
    </row>
    <row r="6385" spans="11:13" x14ac:dyDescent="0.2">
      <c r="K6385" t="s">
        <v>42</v>
      </c>
      <c r="L6385" t="s">
        <v>38</v>
      </c>
      <c r="M6385">
        <v>0</v>
      </c>
    </row>
    <row r="6386" spans="11:13" x14ac:dyDescent="0.2">
      <c r="K6386" t="s">
        <v>41</v>
      </c>
      <c r="L6386" t="s">
        <v>37</v>
      </c>
      <c r="M6386">
        <v>0</v>
      </c>
    </row>
    <row r="6387" spans="11:13" x14ac:dyDescent="0.2">
      <c r="K6387" t="s">
        <v>42</v>
      </c>
      <c r="L6387" t="s">
        <v>38</v>
      </c>
      <c r="M6387">
        <v>0</v>
      </c>
    </row>
    <row r="6388" spans="11:13" x14ac:dyDescent="0.2">
      <c r="K6388" t="s">
        <v>41</v>
      </c>
      <c r="L6388" t="s">
        <v>37</v>
      </c>
      <c r="M6388">
        <v>0</v>
      </c>
    </row>
    <row r="6389" spans="11:13" x14ac:dyDescent="0.2">
      <c r="K6389" t="s">
        <v>42</v>
      </c>
      <c r="L6389" t="s">
        <v>38</v>
      </c>
      <c r="M6389">
        <v>0</v>
      </c>
    </row>
    <row r="6390" spans="11:13" x14ac:dyDescent="0.2">
      <c r="K6390" t="s">
        <v>41</v>
      </c>
      <c r="L6390" t="s">
        <v>37</v>
      </c>
      <c r="M6390">
        <v>0</v>
      </c>
    </row>
    <row r="6391" spans="11:13" x14ac:dyDescent="0.2">
      <c r="K6391" t="s">
        <v>41</v>
      </c>
      <c r="L6391" t="s">
        <v>37</v>
      </c>
      <c r="M6391">
        <v>0</v>
      </c>
    </row>
    <row r="6392" spans="11:13" x14ac:dyDescent="0.2">
      <c r="K6392" t="s">
        <v>41</v>
      </c>
      <c r="L6392" t="s">
        <v>37</v>
      </c>
      <c r="M6392">
        <v>0</v>
      </c>
    </row>
    <row r="6393" spans="11:13" x14ac:dyDescent="0.2">
      <c r="K6393" t="s">
        <v>41</v>
      </c>
      <c r="L6393" t="s">
        <v>37</v>
      </c>
      <c r="M6393">
        <v>0</v>
      </c>
    </row>
    <row r="6394" spans="11:13" x14ac:dyDescent="0.2">
      <c r="K6394" t="s">
        <v>41</v>
      </c>
      <c r="L6394" t="s">
        <v>37</v>
      </c>
      <c r="M6394">
        <v>0</v>
      </c>
    </row>
    <row r="6395" spans="11:13" x14ac:dyDescent="0.2">
      <c r="K6395" t="s">
        <v>42</v>
      </c>
      <c r="L6395" t="s">
        <v>38</v>
      </c>
      <c r="M6395">
        <v>0</v>
      </c>
    </row>
    <row r="6396" spans="11:13" x14ac:dyDescent="0.2">
      <c r="K6396" t="s">
        <v>41</v>
      </c>
      <c r="L6396" t="s">
        <v>37</v>
      </c>
      <c r="M6396">
        <v>0</v>
      </c>
    </row>
    <row r="6397" spans="11:13" x14ac:dyDescent="0.2">
      <c r="K6397" t="s">
        <v>42</v>
      </c>
      <c r="L6397" t="s">
        <v>38</v>
      </c>
      <c r="M6397">
        <v>0</v>
      </c>
    </row>
    <row r="6398" spans="11:13" x14ac:dyDescent="0.2">
      <c r="K6398" t="s">
        <v>42</v>
      </c>
      <c r="L6398" t="s">
        <v>38</v>
      </c>
      <c r="M6398">
        <v>0</v>
      </c>
    </row>
    <row r="6399" spans="11:13" x14ac:dyDescent="0.2">
      <c r="K6399" t="s">
        <v>42</v>
      </c>
      <c r="L6399" t="s">
        <v>38</v>
      </c>
      <c r="M6399">
        <v>0</v>
      </c>
    </row>
    <row r="6400" spans="11:13" x14ac:dyDescent="0.2">
      <c r="K6400" t="s">
        <v>41</v>
      </c>
      <c r="L6400" t="s">
        <v>37</v>
      </c>
      <c r="M6400">
        <v>0</v>
      </c>
    </row>
    <row r="6401" spans="11:13" x14ac:dyDescent="0.2">
      <c r="K6401" t="s">
        <v>41</v>
      </c>
      <c r="L6401" t="s">
        <v>37</v>
      </c>
      <c r="M6401">
        <v>0</v>
      </c>
    </row>
    <row r="6402" spans="11:13" x14ac:dyDescent="0.2">
      <c r="K6402" t="s">
        <v>41</v>
      </c>
      <c r="L6402" t="s">
        <v>37</v>
      </c>
      <c r="M6402">
        <v>0</v>
      </c>
    </row>
    <row r="6403" spans="11:13" x14ac:dyDescent="0.2">
      <c r="K6403" t="s">
        <v>41</v>
      </c>
      <c r="L6403" t="s">
        <v>37</v>
      </c>
      <c r="M6403">
        <v>0</v>
      </c>
    </row>
    <row r="6404" spans="11:13" x14ac:dyDescent="0.2">
      <c r="K6404" t="s">
        <v>41</v>
      </c>
      <c r="L6404" t="s">
        <v>37</v>
      </c>
      <c r="M6404">
        <v>0</v>
      </c>
    </row>
    <row r="6405" spans="11:13" x14ac:dyDescent="0.2">
      <c r="K6405" t="s">
        <v>41</v>
      </c>
      <c r="L6405" t="s">
        <v>37</v>
      </c>
      <c r="M6405">
        <v>0</v>
      </c>
    </row>
    <row r="6406" spans="11:13" x14ac:dyDescent="0.2">
      <c r="K6406" t="s">
        <v>42</v>
      </c>
      <c r="L6406" t="s">
        <v>38</v>
      </c>
      <c r="M6406">
        <v>0</v>
      </c>
    </row>
    <row r="6407" spans="11:13" x14ac:dyDescent="0.2">
      <c r="K6407" t="s">
        <v>42</v>
      </c>
      <c r="L6407" t="s">
        <v>38</v>
      </c>
      <c r="M6407">
        <v>0</v>
      </c>
    </row>
    <row r="6408" spans="11:13" x14ac:dyDescent="0.2">
      <c r="K6408" t="s">
        <v>42</v>
      </c>
      <c r="L6408" t="s">
        <v>38</v>
      </c>
      <c r="M6408">
        <v>0</v>
      </c>
    </row>
    <row r="6409" spans="11:13" x14ac:dyDescent="0.2">
      <c r="K6409" t="s">
        <v>42</v>
      </c>
      <c r="L6409" t="s">
        <v>38</v>
      </c>
      <c r="M6409">
        <v>0</v>
      </c>
    </row>
    <row r="6410" spans="11:13" x14ac:dyDescent="0.2">
      <c r="K6410" t="s">
        <v>41</v>
      </c>
      <c r="L6410" t="s">
        <v>37</v>
      </c>
      <c r="M6410">
        <v>0</v>
      </c>
    </row>
    <row r="6411" spans="11:13" x14ac:dyDescent="0.2">
      <c r="K6411" t="s">
        <v>42</v>
      </c>
      <c r="L6411" t="s">
        <v>38</v>
      </c>
      <c r="M6411">
        <v>0</v>
      </c>
    </row>
    <row r="6412" spans="11:13" x14ac:dyDescent="0.2">
      <c r="K6412" t="s">
        <v>42</v>
      </c>
      <c r="L6412" t="s">
        <v>38</v>
      </c>
      <c r="M6412">
        <v>0</v>
      </c>
    </row>
    <row r="6413" spans="11:13" x14ac:dyDescent="0.2">
      <c r="K6413" t="s">
        <v>41</v>
      </c>
      <c r="L6413" t="s">
        <v>37</v>
      </c>
      <c r="M6413">
        <v>0</v>
      </c>
    </row>
    <row r="6414" spans="11:13" x14ac:dyDescent="0.2">
      <c r="K6414" t="s">
        <v>41</v>
      </c>
      <c r="L6414" t="s">
        <v>37</v>
      </c>
      <c r="M6414">
        <v>0</v>
      </c>
    </row>
    <row r="6415" spans="11:13" x14ac:dyDescent="0.2">
      <c r="K6415" t="s">
        <v>42</v>
      </c>
      <c r="L6415" t="s">
        <v>38</v>
      </c>
      <c r="M6415">
        <v>0</v>
      </c>
    </row>
    <row r="6416" spans="11:13" x14ac:dyDescent="0.2">
      <c r="K6416" t="s">
        <v>42</v>
      </c>
      <c r="L6416" t="s">
        <v>38</v>
      </c>
      <c r="M6416">
        <v>0</v>
      </c>
    </row>
    <row r="6417" spans="11:13" x14ac:dyDescent="0.2">
      <c r="K6417" t="s">
        <v>42</v>
      </c>
      <c r="L6417" t="s">
        <v>38</v>
      </c>
      <c r="M6417">
        <v>0</v>
      </c>
    </row>
    <row r="6418" spans="11:13" x14ac:dyDescent="0.2">
      <c r="K6418" t="s">
        <v>41</v>
      </c>
      <c r="L6418" t="s">
        <v>37</v>
      </c>
      <c r="M6418">
        <v>0</v>
      </c>
    </row>
    <row r="6419" spans="11:13" x14ac:dyDescent="0.2">
      <c r="K6419" t="s">
        <v>41</v>
      </c>
      <c r="L6419" t="s">
        <v>37</v>
      </c>
      <c r="M6419">
        <v>0</v>
      </c>
    </row>
    <row r="6420" spans="11:13" x14ac:dyDescent="0.2">
      <c r="K6420" t="s">
        <v>42</v>
      </c>
      <c r="L6420" t="s">
        <v>38</v>
      </c>
      <c r="M6420">
        <v>0</v>
      </c>
    </row>
    <row r="6421" spans="11:13" x14ac:dyDescent="0.2">
      <c r="K6421" t="s">
        <v>42</v>
      </c>
      <c r="L6421" t="s">
        <v>38</v>
      </c>
      <c r="M6421">
        <v>0</v>
      </c>
    </row>
    <row r="6422" spans="11:13" x14ac:dyDescent="0.2">
      <c r="K6422" t="s">
        <v>41</v>
      </c>
      <c r="L6422" t="s">
        <v>37</v>
      </c>
      <c r="M6422">
        <v>0</v>
      </c>
    </row>
    <row r="6423" spans="11:13" x14ac:dyDescent="0.2">
      <c r="K6423" t="s">
        <v>41</v>
      </c>
      <c r="L6423" t="s">
        <v>37</v>
      </c>
      <c r="M6423">
        <v>0</v>
      </c>
    </row>
    <row r="6424" spans="11:13" x14ac:dyDescent="0.2">
      <c r="K6424" t="s">
        <v>42</v>
      </c>
      <c r="L6424" t="s">
        <v>38</v>
      </c>
      <c r="M6424">
        <v>0</v>
      </c>
    </row>
    <row r="6425" spans="11:13" x14ac:dyDescent="0.2">
      <c r="K6425" t="s">
        <v>41</v>
      </c>
      <c r="L6425" t="s">
        <v>37</v>
      </c>
      <c r="M6425">
        <v>1</v>
      </c>
    </row>
    <row r="6426" spans="11:13" x14ac:dyDescent="0.2">
      <c r="K6426" t="s">
        <v>42</v>
      </c>
      <c r="L6426" t="s">
        <v>38</v>
      </c>
      <c r="M6426">
        <v>0</v>
      </c>
    </row>
    <row r="6427" spans="11:13" x14ac:dyDescent="0.2">
      <c r="K6427" t="s">
        <v>41</v>
      </c>
      <c r="L6427" t="s">
        <v>37</v>
      </c>
      <c r="M6427">
        <v>0</v>
      </c>
    </row>
    <row r="6428" spans="11:13" x14ac:dyDescent="0.2">
      <c r="K6428" t="s">
        <v>41</v>
      </c>
      <c r="L6428" t="s">
        <v>37</v>
      </c>
      <c r="M6428">
        <v>0</v>
      </c>
    </row>
    <row r="6429" spans="11:13" x14ac:dyDescent="0.2">
      <c r="K6429" t="s">
        <v>41</v>
      </c>
      <c r="L6429" t="s">
        <v>37</v>
      </c>
      <c r="M6429">
        <v>0</v>
      </c>
    </row>
    <row r="6430" spans="11:13" x14ac:dyDescent="0.2">
      <c r="K6430" t="s">
        <v>41</v>
      </c>
      <c r="L6430" t="s">
        <v>37</v>
      </c>
      <c r="M6430">
        <v>0</v>
      </c>
    </row>
    <row r="6431" spans="11:13" x14ac:dyDescent="0.2">
      <c r="K6431" t="s">
        <v>41</v>
      </c>
      <c r="L6431" t="s">
        <v>37</v>
      </c>
      <c r="M6431">
        <v>0</v>
      </c>
    </row>
    <row r="6432" spans="11:13" x14ac:dyDescent="0.2">
      <c r="K6432" t="s">
        <v>42</v>
      </c>
      <c r="L6432" t="s">
        <v>38</v>
      </c>
      <c r="M6432">
        <v>0</v>
      </c>
    </row>
    <row r="6433" spans="11:13" x14ac:dyDescent="0.2">
      <c r="K6433" t="s">
        <v>41</v>
      </c>
      <c r="L6433" t="s">
        <v>37</v>
      </c>
      <c r="M6433">
        <v>0</v>
      </c>
    </row>
    <row r="6434" spans="11:13" x14ac:dyDescent="0.2">
      <c r="K6434" t="s">
        <v>41</v>
      </c>
      <c r="L6434" t="s">
        <v>37</v>
      </c>
      <c r="M6434">
        <v>0</v>
      </c>
    </row>
    <row r="6435" spans="11:13" x14ac:dyDescent="0.2">
      <c r="K6435" t="s">
        <v>41</v>
      </c>
      <c r="L6435" t="s">
        <v>37</v>
      </c>
      <c r="M6435">
        <v>0</v>
      </c>
    </row>
    <row r="6436" spans="11:13" x14ac:dyDescent="0.2">
      <c r="K6436" t="s">
        <v>41</v>
      </c>
      <c r="L6436" t="s">
        <v>37</v>
      </c>
      <c r="M6436">
        <v>0</v>
      </c>
    </row>
    <row r="6437" spans="11:13" x14ac:dyDescent="0.2">
      <c r="K6437" t="s">
        <v>42</v>
      </c>
      <c r="L6437" t="s">
        <v>38</v>
      </c>
      <c r="M6437">
        <v>0</v>
      </c>
    </row>
    <row r="6438" spans="11:13" x14ac:dyDescent="0.2">
      <c r="K6438" t="s">
        <v>41</v>
      </c>
      <c r="L6438" t="s">
        <v>37</v>
      </c>
      <c r="M6438">
        <v>0</v>
      </c>
    </row>
    <row r="6439" spans="11:13" x14ac:dyDescent="0.2">
      <c r="K6439" t="s">
        <v>42</v>
      </c>
      <c r="L6439" t="s">
        <v>38</v>
      </c>
      <c r="M6439">
        <v>1</v>
      </c>
    </row>
    <row r="6440" spans="11:13" x14ac:dyDescent="0.2">
      <c r="K6440" t="s">
        <v>41</v>
      </c>
      <c r="L6440" t="s">
        <v>37</v>
      </c>
      <c r="M6440">
        <v>0</v>
      </c>
    </row>
    <row r="6441" spans="11:13" x14ac:dyDescent="0.2">
      <c r="K6441" t="s">
        <v>41</v>
      </c>
      <c r="L6441" t="s">
        <v>37</v>
      </c>
      <c r="M6441">
        <v>0</v>
      </c>
    </row>
    <row r="6442" spans="11:13" x14ac:dyDescent="0.2">
      <c r="K6442" t="s">
        <v>42</v>
      </c>
      <c r="L6442" t="s">
        <v>38</v>
      </c>
      <c r="M6442">
        <v>0</v>
      </c>
    </row>
    <row r="6443" spans="11:13" x14ac:dyDescent="0.2">
      <c r="K6443" t="s">
        <v>42</v>
      </c>
      <c r="L6443" t="s">
        <v>38</v>
      </c>
      <c r="M6443">
        <v>0</v>
      </c>
    </row>
    <row r="6444" spans="11:13" x14ac:dyDescent="0.2">
      <c r="K6444" t="s">
        <v>41</v>
      </c>
      <c r="L6444" t="s">
        <v>37</v>
      </c>
      <c r="M6444">
        <v>0</v>
      </c>
    </row>
    <row r="6445" spans="11:13" x14ac:dyDescent="0.2">
      <c r="K6445" t="s">
        <v>41</v>
      </c>
      <c r="L6445" t="s">
        <v>37</v>
      </c>
      <c r="M6445">
        <v>0</v>
      </c>
    </row>
    <row r="6446" spans="11:13" x14ac:dyDescent="0.2">
      <c r="K6446" t="s">
        <v>42</v>
      </c>
      <c r="L6446" t="s">
        <v>38</v>
      </c>
      <c r="M6446">
        <v>0</v>
      </c>
    </row>
    <row r="6447" spans="11:13" x14ac:dyDescent="0.2">
      <c r="K6447" t="s">
        <v>42</v>
      </c>
      <c r="L6447" t="s">
        <v>38</v>
      </c>
      <c r="M6447">
        <v>1</v>
      </c>
    </row>
    <row r="6448" spans="11:13" x14ac:dyDescent="0.2">
      <c r="K6448" t="s">
        <v>42</v>
      </c>
      <c r="L6448" t="s">
        <v>38</v>
      </c>
      <c r="M6448">
        <v>0</v>
      </c>
    </row>
    <row r="6449" spans="11:13" x14ac:dyDescent="0.2">
      <c r="K6449" t="s">
        <v>42</v>
      </c>
      <c r="L6449" t="s">
        <v>38</v>
      </c>
      <c r="M6449">
        <v>0</v>
      </c>
    </row>
    <row r="6450" spans="11:13" x14ac:dyDescent="0.2">
      <c r="K6450" t="s">
        <v>42</v>
      </c>
      <c r="L6450" t="s">
        <v>38</v>
      </c>
      <c r="M6450">
        <v>0</v>
      </c>
    </row>
    <row r="6451" spans="11:13" x14ac:dyDescent="0.2">
      <c r="K6451" t="s">
        <v>42</v>
      </c>
      <c r="L6451" t="s">
        <v>38</v>
      </c>
      <c r="M6451">
        <v>0</v>
      </c>
    </row>
    <row r="6452" spans="11:13" x14ac:dyDescent="0.2">
      <c r="K6452" t="s">
        <v>42</v>
      </c>
      <c r="L6452" t="s">
        <v>38</v>
      </c>
      <c r="M6452">
        <v>0</v>
      </c>
    </row>
    <row r="6453" spans="11:13" x14ac:dyDescent="0.2">
      <c r="K6453" t="s">
        <v>42</v>
      </c>
      <c r="L6453" t="s">
        <v>38</v>
      </c>
      <c r="M6453">
        <v>0</v>
      </c>
    </row>
    <row r="6454" spans="11:13" x14ac:dyDescent="0.2">
      <c r="K6454" t="s">
        <v>41</v>
      </c>
      <c r="L6454" t="s">
        <v>37</v>
      </c>
      <c r="M6454">
        <v>0</v>
      </c>
    </row>
    <row r="6455" spans="11:13" x14ac:dyDescent="0.2">
      <c r="K6455" t="s">
        <v>41</v>
      </c>
      <c r="L6455" t="s">
        <v>37</v>
      </c>
      <c r="M6455">
        <v>0</v>
      </c>
    </row>
    <row r="6456" spans="11:13" x14ac:dyDescent="0.2">
      <c r="K6456" t="s">
        <v>42</v>
      </c>
      <c r="L6456" t="s">
        <v>38</v>
      </c>
      <c r="M6456">
        <v>0</v>
      </c>
    </row>
    <row r="6457" spans="11:13" x14ac:dyDescent="0.2">
      <c r="K6457" t="s">
        <v>41</v>
      </c>
      <c r="L6457" t="s">
        <v>37</v>
      </c>
      <c r="M6457">
        <v>0</v>
      </c>
    </row>
    <row r="6458" spans="11:13" x14ac:dyDescent="0.2">
      <c r="K6458" t="s">
        <v>42</v>
      </c>
      <c r="L6458" t="s">
        <v>38</v>
      </c>
      <c r="M6458">
        <v>0</v>
      </c>
    </row>
    <row r="6459" spans="11:13" x14ac:dyDescent="0.2">
      <c r="K6459" t="s">
        <v>42</v>
      </c>
      <c r="L6459" t="s">
        <v>38</v>
      </c>
      <c r="M6459">
        <v>0</v>
      </c>
    </row>
    <row r="6460" spans="11:13" x14ac:dyDescent="0.2">
      <c r="K6460" t="s">
        <v>42</v>
      </c>
      <c r="L6460" t="s">
        <v>38</v>
      </c>
      <c r="M6460">
        <v>0</v>
      </c>
    </row>
    <row r="6461" spans="11:13" x14ac:dyDescent="0.2">
      <c r="K6461" t="s">
        <v>42</v>
      </c>
      <c r="L6461" t="s">
        <v>38</v>
      </c>
      <c r="M6461">
        <v>0</v>
      </c>
    </row>
    <row r="6462" spans="11:13" x14ac:dyDescent="0.2">
      <c r="K6462" t="s">
        <v>42</v>
      </c>
      <c r="L6462" t="s">
        <v>38</v>
      </c>
      <c r="M6462">
        <v>0</v>
      </c>
    </row>
    <row r="6463" spans="11:13" x14ac:dyDescent="0.2">
      <c r="K6463" t="s">
        <v>41</v>
      </c>
      <c r="L6463" t="s">
        <v>37</v>
      </c>
      <c r="M6463">
        <v>0</v>
      </c>
    </row>
    <row r="6464" spans="11:13" x14ac:dyDescent="0.2">
      <c r="K6464" t="s">
        <v>41</v>
      </c>
      <c r="L6464" t="s">
        <v>37</v>
      </c>
      <c r="M6464">
        <v>0</v>
      </c>
    </row>
    <row r="6465" spans="11:13" x14ac:dyDescent="0.2">
      <c r="K6465" t="s">
        <v>41</v>
      </c>
      <c r="L6465" t="s">
        <v>37</v>
      </c>
      <c r="M6465">
        <v>0</v>
      </c>
    </row>
    <row r="6466" spans="11:13" x14ac:dyDescent="0.2">
      <c r="K6466" t="s">
        <v>41</v>
      </c>
      <c r="L6466" t="s">
        <v>37</v>
      </c>
      <c r="M6466">
        <v>0</v>
      </c>
    </row>
    <row r="6467" spans="11:13" x14ac:dyDescent="0.2">
      <c r="K6467" t="s">
        <v>41</v>
      </c>
      <c r="L6467" t="s">
        <v>37</v>
      </c>
      <c r="M6467">
        <v>0</v>
      </c>
    </row>
    <row r="6468" spans="11:13" x14ac:dyDescent="0.2">
      <c r="K6468" t="s">
        <v>42</v>
      </c>
      <c r="L6468" t="s">
        <v>38</v>
      </c>
      <c r="M6468">
        <v>0</v>
      </c>
    </row>
    <row r="6469" spans="11:13" x14ac:dyDescent="0.2">
      <c r="K6469" t="s">
        <v>41</v>
      </c>
      <c r="L6469" t="s">
        <v>37</v>
      </c>
      <c r="M6469">
        <v>0</v>
      </c>
    </row>
    <row r="6470" spans="11:13" x14ac:dyDescent="0.2">
      <c r="K6470" t="s">
        <v>42</v>
      </c>
      <c r="L6470" t="s">
        <v>38</v>
      </c>
      <c r="M6470">
        <v>0</v>
      </c>
    </row>
    <row r="6471" spans="11:13" x14ac:dyDescent="0.2">
      <c r="K6471" t="s">
        <v>41</v>
      </c>
      <c r="L6471" t="s">
        <v>37</v>
      </c>
      <c r="M6471">
        <v>0</v>
      </c>
    </row>
    <row r="6472" spans="11:13" x14ac:dyDescent="0.2">
      <c r="K6472" t="s">
        <v>42</v>
      </c>
      <c r="L6472" t="s">
        <v>38</v>
      </c>
      <c r="M6472">
        <v>0</v>
      </c>
    </row>
    <row r="6473" spans="11:13" x14ac:dyDescent="0.2">
      <c r="K6473" t="s">
        <v>42</v>
      </c>
      <c r="L6473" t="s">
        <v>38</v>
      </c>
      <c r="M6473">
        <v>0</v>
      </c>
    </row>
    <row r="6474" spans="11:13" x14ac:dyDescent="0.2">
      <c r="K6474" t="s">
        <v>42</v>
      </c>
      <c r="L6474" t="s">
        <v>38</v>
      </c>
      <c r="M6474">
        <v>0</v>
      </c>
    </row>
    <row r="6475" spans="11:13" x14ac:dyDescent="0.2">
      <c r="K6475" t="s">
        <v>41</v>
      </c>
      <c r="L6475" t="s">
        <v>37</v>
      </c>
      <c r="M6475">
        <v>0</v>
      </c>
    </row>
    <row r="6476" spans="11:13" x14ac:dyDescent="0.2">
      <c r="K6476" t="s">
        <v>41</v>
      </c>
      <c r="L6476" t="s">
        <v>37</v>
      </c>
      <c r="M6476">
        <v>0</v>
      </c>
    </row>
    <row r="6477" spans="11:13" x14ac:dyDescent="0.2">
      <c r="K6477" t="s">
        <v>42</v>
      </c>
      <c r="L6477" t="s">
        <v>38</v>
      </c>
      <c r="M6477">
        <v>0</v>
      </c>
    </row>
    <row r="6478" spans="11:13" x14ac:dyDescent="0.2">
      <c r="K6478" t="s">
        <v>41</v>
      </c>
      <c r="L6478" t="s">
        <v>37</v>
      </c>
      <c r="M6478">
        <v>0</v>
      </c>
    </row>
    <row r="6479" spans="11:13" x14ac:dyDescent="0.2">
      <c r="K6479" t="s">
        <v>42</v>
      </c>
      <c r="L6479" t="s">
        <v>38</v>
      </c>
      <c r="M6479">
        <v>0</v>
      </c>
    </row>
    <row r="6480" spans="11:13" x14ac:dyDescent="0.2">
      <c r="K6480" t="s">
        <v>41</v>
      </c>
      <c r="L6480" t="s">
        <v>37</v>
      </c>
      <c r="M6480">
        <v>0</v>
      </c>
    </row>
    <row r="6481" spans="11:13" x14ac:dyDescent="0.2">
      <c r="K6481" t="s">
        <v>41</v>
      </c>
      <c r="L6481" t="s">
        <v>37</v>
      </c>
      <c r="M6481">
        <v>0</v>
      </c>
    </row>
    <row r="6482" spans="11:13" x14ac:dyDescent="0.2">
      <c r="K6482" t="s">
        <v>42</v>
      </c>
      <c r="L6482" t="s">
        <v>38</v>
      </c>
      <c r="M6482">
        <v>0</v>
      </c>
    </row>
    <row r="6483" spans="11:13" x14ac:dyDescent="0.2">
      <c r="K6483" t="s">
        <v>42</v>
      </c>
      <c r="L6483" t="s">
        <v>38</v>
      </c>
      <c r="M6483">
        <v>0</v>
      </c>
    </row>
    <row r="6484" spans="11:13" x14ac:dyDescent="0.2">
      <c r="K6484" t="s">
        <v>41</v>
      </c>
      <c r="L6484" t="s">
        <v>37</v>
      </c>
      <c r="M6484">
        <v>0</v>
      </c>
    </row>
    <row r="6485" spans="11:13" x14ac:dyDescent="0.2">
      <c r="K6485" t="s">
        <v>42</v>
      </c>
      <c r="L6485" t="s">
        <v>38</v>
      </c>
      <c r="M6485">
        <v>0</v>
      </c>
    </row>
    <row r="6486" spans="11:13" x14ac:dyDescent="0.2">
      <c r="K6486" t="s">
        <v>42</v>
      </c>
      <c r="L6486" t="s">
        <v>38</v>
      </c>
      <c r="M6486">
        <v>0</v>
      </c>
    </row>
    <row r="6487" spans="11:13" x14ac:dyDescent="0.2">
      <c r="K6487" t="s">
        <v>42</v>
      </c>
      <c r="L6487" t="s">
        <v>38</v>
      </c>
      <c r="M6487">
        <v>0</v>
      </c>
    </row>
    <row r="6488" spans="11:13" x14ac:dyDescent="0.2">
      <c r="K6488" t="s">
        <v>42</v>
      </c>
      <c r="L6488" t="s">
        <v>38</v>
      </c>
      <c r="M6488">
        <v>0</v>
      </c>
    </row>
    <row r="6489" spans="11:13" x14ac:dyDescent="0.2">
      <c r="K6489" t="s">
        <v>41</v>
      </c>
      <c r="L6489" t="s">
        <v>37</v>
      </c>
      <c r="M6489">
        <v>0</v>
      </c>
    </row>
    <row r="6490" spans="11:13" x14ac:dyDescent="0.2">
      <c r="K6490" t="s">
        <v>42</v>
      </c>
      <c r="L6490" t="s">
        <v>38</v>
      </c>
      <c r="M6490">
        <v>0</v>
      </c>
    </row>
    <row r="6491" spans="11:13" x14ac:dyDescent="0.2">
      <c r="K6491" t="s">
        <v>42</v>
      </c>
      <c r="L6491" t="s">
        <v>38</v>
      </c>
      <c r="M6491">
        <v>0</v>
      </c>
    </row>
    <row r="6492" spans="11:13" x14ac:dyDescent="0.2">
      <c r="K6492" t="s">
        <v>41</v>
      </c>
      <c r="L6492" t="s">
        <v>37</v>
      </c>
      <c r="M6492">
        <v>0</v>
      </c>
    </row>
    <row r="6493" spans="11:13" x14ac:dyDescent="0.2">
      <c r="K6493" t="s">
        <v>42</v>
      </c>
      <c r="L6493" t="s">
        <v>38</v>
      </c>
      <c r="M6493">
        <v>0</v>
      </c>
    </row>
    <row r="6494" spans="11:13" x14ac:dyDescent="0.2">
      <c r="K6494" t="s">
        <v>42</v>
      </c>
      <c r="L6494" t="s">
        <v>38</v>
      </c>
      <c r="M6494">
        <v>0</v>
      </c>
    </row>
    <row r="6495" spans="11:13" x14ac:dyDescent="0.2">
      <c r="K6495" t="s">
        <v>42</v>
      </c>
      <c r="L6495" t="s">
        <v>38</v>
      </c>
      <c r="M6495">
        <v>0</v>
      </c>
    </row>
    <row r="6496" spans="11:13" x14ac:dyDescent="0.2">
      <c r="K6496" t="s">
        <v>42</v>
      </c>
      <c r="L6496" t="s">
        <v>38</v>
      </c>
      <c r="M6496">
        <v>0</v>
      </c>
    </row>
    <row r="6497" spans="11:13" x14ac:dyDescent="0.2">
      <c r="K6497" t="s">
        <v>41</v>
      </c>
      <c r="L6497" t="s">
        <v>37</v>
      </c>
      <c r="M6497">
        <v>1</v>
      </c>
    </row>
    <row r="6498" spans="11:13" x14ac:dyDescent="0.2">
      <c r="K6498" t="s">
        <v>41</v>
      </c>
      <c r="L6498" t="s">
        <v>37</v>
      </c>
      <c r="M6498">
        <v>0</v>
      </c>
    </row>
    <row r="6499" spans="11:13" x14ac:dyDescent="0.2">
      <c r="K6499" t="s">
        <v>41</v>
      </c>
      <c r="L6499" t="s">
        <v>37</v>
      </c>
      <c r="M6499">
        <v>0</v>
      </c>
    </row>
    <row r="6500" spans="11:13" x14ac:dyDescent="0.2">
      <c r="K6500" t="s">
        <v>42</v>
      </c>
      <c r="L6500" t="s">
        <v>38</v>
      </c>
      <c r="M6500">
        <v>0</v>
      </c>
    </row>
    <row r="6501" spans="11:13" x14ac:dyDescent="0.2">
      <c r="K6501" t="s">
        <v>42</v>
      </c>
      <c r="L6501" t="s">
        <v>38</v>
      </c>
      <c r="M6501">
        <v>0</v>
      </c>
    </row>
    <row r="6502" spans="11:13" x14ac:dyDescent="0.2">
      <c r="K6502" t="s">
        <v>42</v>
      </c>
      <c r="L6502" t="s">
        <v>38</v>
      </c>
      <c r="M6502">
        <v>0</v>
      </c>
    </row>
    <row r="6503" spans="11:13" x14ac:dyDescent="0.2">
      <c r="K6503" t="s">
        <v>42</v>
      </c>
      <c r="L6503" t="s">
        <v>38</v>
      </c>
      <c r="M6503">
        <v>0</v>
      </c>
    </row>
    <row r="6504" spans="11:13" x14ac:dyDescent="0.2">
      <c r="K6504" t="s">
        <v>41</v>
      </c>
      <c r="L6504" t="s">
        <v>37</v>
      </c>
      <c r="M6504">
        <v>0</v>
      </c>
    </row>
    <row r="6505" spans="11:13" x14ac:dyDescent="0.2">
      <c r="K6505" t="s">
        <v>42</v>
      </c>
      <c r="L6505" t="s">
        <v>38</v>
      </c>
      <c r="M6505">
        <v>0</v>
      </c>
    </row>
    <row r="6506" spans="11:13" x14ac:dyDescent="0.2">
      <c r="K6506" t="s">
        <v>41</v>
      </c>
      <c r="L6506" t="s">
        <v>37</v>
      </c>
      <c r="M6506">
        <v>0</v>
      </c>
    </row>
    <row r="6507" spans="11:13" x14ac:dyDescent="0.2">
      <c r="K6507" t="s">
        <v>42</v>
      </c>
      <c r="L6507" t="s">
        <v>38</v>
      </c>
      <c r="M6507">
        <v>0</v>
      </c>
    </row>
    <row r="6508" spans="11:13" x14ac:dyDescent="0.2">
      <c r="K6508" t="s">
        <v>41</v>
      </c>
      <c r="L6508" t="s">
        <v>37</v>
      </c>
      <c r="M6508">
        <v>0</v>
      </c>
    </row>
    <row r="6509" spans="11:13" x14ac:dyDescent="0.2">
      <c r="K6509" t="s">
        <v>41</v>
      </c>
      <c r="L6509" t="s">
        <v>37</v>
      </c>
      <c r="M6509">
        <v>0</v>
      </c>
    </row>
    <row r="6510" spans="11:13" x14ac:dyDescent="0.2">
      <c r="K6510" t="s">
        <v>41</v>
      </c>
      <c r="L6510" t="s">
        <v>37</v>
      </c>
      <c r="M6510">
        <v>0</v>
      </c>
    </row>
    <row r="6511" spans="11:13" x14ac:dyDescent="0.2">
      <c r="K6511" t="s">
        <v>42</v>
      </c>
      <c r="L6511" t="s">
        <v>38</v>
      </c>
      <c r="M6511">
        <v>0</v>
      </c>
    </row>
    <row r="6512" spans="11:13" x14ac:dyDescent="0.2">
      <c r="K6512" t="s">
        <v>41</v>
      </c>
      <c r="L6512" t="s">
        <v>37</v>
      </c>
      <c r="M6512">
        <v>0</v>
      </c>
    </row>
    <row r="6513" spans="11:13" x14ac:dyDescent="0.2">
      <c r="K6513" t="s">
        <v>41</v>
      </c>
      <c r="L6513" t="s">
        <v>37</v>
      </c>
      <c r="M6513">
        <v>0</v>
      </c>
    </row>
    <row r="6514" spans="11:13" x14ac:dyDescent="0.2">
      <c r="K6514" t="s">
        <v>42</v>
      </c>
      <c r="L6514" t="s">
        <v>38</v>
      </c>
      <c r="M6514">
        <v>0</v>
      </c>
    </row>
    <row r="6515" spans="11:13" x14ac:dyDescent="0.2">
      <c r="K6515" t="s">
        <v>41</v>
      </c>
      <c r="L6515" t="s">
        <v>37</v>
      </c>
      <c r="M6515">
        <v>0</v>
      </c>
    </row>
    <row r="6516" spans="11:13" x14ac:dyDescent="0.2">
      <c r="K6516" t="s">
        <v>41</v>
      </c>
      <c r="L6516" t="s">
        <v>37</v>
      </c>
      <c r="M6516">
        <v>0</v>
      </c>
    </row>
    <row r="6517" spans="11:13" x14ac:dyDescent="0.2">
      <c r="K6517" t="s">
        <v>42</v>
      </c>
      <c r="L6517" t="s">
        <v>38</v>
      </c>
      <c r="M6517">
        <v>0</v>
      </c>
    </row>
    <row r="6518" spans="11:13" x14ac:dyDescent="0.2">
      <c r="K6518" t="s">
        <v>41</v>
      </c>
      <c r="L6518" t="s">
        <v>37</v>
      </c>
      <c r="M6518">
        <v>0</v>
      </c>
    </row>
    <row r="6519" spans="11:13" x14ac:dyDescent="0.2">
      <c r="K6519" t="s">
        <v>41</v>
      </c>
      <c r="L6519" t="s">
        <v>37</v>
      </c>
      <c r="M6519">
        <v>0</v>
      </c>
    </row>
    <row r="6520" spans="11:13" x14ac:dyDescent="0.2">
      <c r="K6520" t="s">
        <v>42</v>
      </c>
      <c r="L6520" t="s">
        <v>38</v>
      </c>
      <c r="M6520">
        <v>0</v>
      </c>
    </row>
    <row r="6521" spans="11:13" x14ac:dyDescent="0.2">
      <c r="K6521" t="s">
        <v>42</v>
      </c>
      <c r="L6521" t="s">
        <v>38</v>
      </c>
      <c r="M6521">
        <v>1</v>
      </c>
    </row>
    <row r="6522" spans="11:13" x14ac:dyDescent="0.2">
      <c r="K6522" t="s">
        <v>42</v>
      </c>
      <c r="L6522" t="s">
        <v>38</v>
      </c>
      <c r="M6522">
        <v>0</v>
      </c>
    </row>
    <row r="6523" spans="11:13" x14ac:dyDescent="0.2">
      <c r="K6523" t="s">
        <v>42</v>
      </c>
      <c r="L6523" t="s">
        <v>38</v>
      </c>
      <c r="M6523">
        <v>0</v>
      </c>
    </row>
    <row r="6524" spans="11:13" x14ac:dyDescent="0.2">
      <c r="K6524" t="s">
        <v>42</v>
      </c>
      <c r="L6524" t="s">
        <v>38</v>
      </c>
      <c r="M6524">
        <v>0</v>
      </c>
    </row>
    <row r="6525" spans="11:13" x14ac:dyDescent="0.2">
      <c r="K6525" t="s">
        <v>41</v>
      </c>
      <c r="L6525" t="s">
        <v>37</v>
      </c>
      <c r="M6525">
        <v>0</v>
      </c>
    </row>
    <row r="6526" spans="11:13" x14ac:dyDescent="0.2">
      <c r="K6526" t="s">
        <v>41</v>
      </c>
      <c r="L6526" t="s">
        <v>37</v>
      </c>
      <c r="M6526">
        <v>0</v>
      </c>
    </row>
    <row r="6527" spans="11:13" x14ac:dyDescent="0.2">
      <c r="K6527" t="s">
        <v>42</v>
      </c>
      <c r="L6527" t="s">
        <v>38</v>
      </c>
      <c r="M6527">
        <v>0</v>
      </c>
    </row>
    <row r="6528" spans="11:13" x14ac:dyDescent="0.2">
      <c r="K6528" t="s">
        <v>41</v>
      </c>
      <c r="L6528" t="s">
        <v>37</v>
      </c>
      <c r="M6528">
        <v>0</v>
      </c>
    </row>
    <row r="6529" spans="11:13" x14ac:dyDescent="0.2">
      <c r="K6529" t="s">
        <v>42</v>
      </c>
      <c r="L6529" t="s">
        <v>38</v>
      </c>
      <c r="M6529">
        <v>0</v>
      </c>
    </row>
    <row r="6530" spans="11:13" x14ac:dyDescent="0.2">
      <c r="K6530" t="s">
        <v>41</v>
      </c>
      <c r="L6530" t="s">
        <v>37</v>
      </c>
      <c r="M6530">
        <v>0</v>
      </c>
    </row>
    <row r="6531" spans="11:13" x14ac:dyDescent="0.2">
      <c r="K6531" t="s">
        <v>41</v>
      </c>
      <c r="L6531" t="s">
        <v>37</v>
      </c>
      <c r="M6531">
        <v>0</v>
      </c>
    </row>
    <row r="6532" spans="11:13" x14ac:dyDescent="0.2">
      <c r="K6532" t="s">
        <v>41</v>
      </c>
      <c r="L6532" t="s">
        <v>37</v>
      </c>
      <c r="M6532">
        <v>0</v>
      </c>
    </row>
    <row r="6533" spans="11:13" x14ac:dyDescent="0.2">
      <c r="K6533" t="s">
        <v>42</v>
      </c>
      <c r="L6533" t="s">
        <v>38</v>
      </c>
      <c r="M6533">
        <v>0</v>
      </c>
    </row>
    <row r="6534" spans="11:13" x14ac:dyDescent="0.2">
      <c r="K6534" t="s">
        <v>41</v>
      </c>
      <c r="L6534" t="s">
        <v>37</v>
      </c>
      <c r="M6534">
        <v>0</v>
      </c>
    </row>
    <row r="6535" spans="11:13" x14ac:dyDescent="0.2">
      <c r="K6535" t="s">
        <v>41</v>
      </c>
      <c r="L6535" t="s">
        <v>37</v>
      </c>
      <c r="M6535">
        <v>0</v>
      </c>
    </row>
    <row r="6536" spans="11:13" x14ac:dyDescent="0.2">
      <c r="K6536" t="s">
        <v>42</v>
      </c>
      <c r="L6536" t="s">
        <v>38</v>
      </c>
      <c r="M6536">
        <v>0</v>
      </c>
    </row>
    <row r="6537" spans="11:13" x14ac:dyDescent="0.2">
      <c r="K6537" t="s">
        <v>42</v>
      </c>
      <c r="L6537" t="s">
        <v>38</v>
      </c>
      <c r="M6537">
        <v>0</v>
      </c>
    </row>
    <row r="6538" spans="11:13" x14ac:dyDescent="0.2">
      <c r="K6538" t="s">
        <v>42</v>
      </c>
      <c r="L6538" t="s">
        <v>38</v>
      </c>
      <c r="M6538">
        <v>0</v>
      </c>
    </row>
    <row r="6539" spans="11:13" x14ac:dyDescent="0.2">
      <c r="K6539" t="s">
        <v>42</v>
      </c>
      <c r="L6539" t="s">
        <v>38</v>
      </c>
      <c r="M6539">
        <v>0</v>
      </c>
    </row>
    <row r="6540" spans="11:13" x14ac:dyDescent="0.2">
      <c r="K6540" t="s">
        <v>42</v>
      </c>
      <c r="L6540" t="s">
        <v>38</v>
      </c>
      <c r="M6540">
        <v>0</v>
      </c>
    </row>
    <row r="6541" spans="11:13" x14ac:dyDescent="0.2">
      <c r="K6541" t="s">
        <v>41</v>
      </c>
      <c r="L6541" t="s">
        <v>37</v>
      </c>
      <c r="M6541">
        <v>0</v>
      </c>
    </row>
    <row r="6542" spans="11:13" x14ac:dyDescent="0.2">
      <c r="K6542" t="s">
        <v>41</v>
      </c>
      <c r="L6542" t="s">
        <v>37</v>
      </c>
      <c r="M6542">
        <v>0</v>
      </c>
    </row>
    <row r="6543" spans="11:13" x14ac:dyDescent="0.2">
      <c r="K6543" t="s">
        <v>42</v>
      </c>
      <c r="L6543" t="s">
        <v>38</v>
      </c>
      <c r="M6543">
        <v>0</v>
      </c>
    </row>
    <row r="6544" spans="11:13" x14ac:dyDescent="0.2">
      <c r="K6544" t="s">
        <v>41</v>
      </c>
      <c r="L6544" t="s">
        <v>37</v>
      </c>
      <c r="M6544">
        <v>0</v>
      </c>
    </row>
    <row r="6545" spans="11:13" x14ac:dyDescent="0.2">
      <c r="K6545" t="s">
        <v>41</v>
      </c>
      <c r="L6545" t="s">
        <v>37</v>
      </c>
      <c r="M6545">
        <v>0</v>
      </c>
    </row>
    <row r="6546" spans="11:13" x14ac:dyDescent="0.2">
      <c r="K6546" t="s">
        <v>42</v>
      </c>
      <c r="L6546" t="s">
        <v>38</v>
      </c>
      <c r="M6546">
        <v>1</v>
      </c>
    </row>
    <row r="6547" spans="11:13" x14ac:dyDescent="0.2">
      <c r="K6547" t="s">
        <v>42</v>
      </c>
      <c r="L6547" t="s">
        <v>38</v>
      </c>
      <c r="M6547">
        <v>0</v>
      </c>
    </row>
    <row r="6548" spans="11:13" x14ac:dyDescent="0.2">
      <c r="K6548" t="s">
        <v>42</v>
      </c>
      <c r="L6548" t="s">
        <v>38</v>
      </c>
      <c r="M6548">
        <v>0</v>
      </c>
    </row>
    <row r="6549" spans="11:13" x14ac:dyDescent="0.2">
      <c r="K6549" t="s">
        <v>42</v>
      </c>
      <c r="L6549" t="s">
        <v>38</v>
      </c>
      <c r="M6549">
        <v>0</v>
      </c>
    </row>
    <row r="6550" spans="11:13" x14ac:dyDescent="0.2">
      <c r="K6550" t="s">
        <v>41</v>
      </c>
      <c r="L6550" t="s">
        <v>37</v>
      </c>
      <c r="M6550">
        <v>0</v>
      </c>
    </row>
    <row r="6551" spans="11:13" x14ac:dyDescent="0.2">
      <c r="K6551" t="s">
        <v>42</v>
      </c>
      <c r="L6551" t="s">
        <v>38</v>
      </c>
      <c r="M6551">
        <v>0</v>
      </c>
    </row>
    <row r="6552" spans="11:13" x14ac:dyDescent="0.2">
      <c r="K6552" t="s">
        <v>42</v>
      </c>
      <c r="L6552" t="s">
        <v>38</v>
      </c>
      <c r="M6552">
        <v>0</v>
      </c>
    </row>
    <row r="6553" spans="11:13" x14ac:dyDescent="0.2">
      <c r="K6553" t="s">
        <v>42</v>
      </c>
      <c r="L6553" t="s">
        <v>38</v>
      </c>
      <c r="M6553">
        <v>0</v>
      </c>
    </row>
    <row r="6554" spans="11:13" x14ac:dyDescent="0.2">
      <c r="K6554" t="s">
        <v>42</v>
      </c>
      <c r="L6554" t="s">
        <v>38</v>
      </c>
      <c r="M6554">
        <v>0</v>
      </c>
    </row>
    <row r="6555" spans="11:13" x14ac:dyDescent="0.2">
      <c r="K6555" t="s">
        <v>42</v>
      </c>
      <c r="L6555" t="s">
        <v>38</v>
      </c>
      <c r="M6555">
        <v>0</v>
      </c>
    </row>
    <row r="6556" spans="11:13" x14ac:dyDescent="0.2">
      <c r="K6556" t="s">
        <v>41</v>
      </c>
      <c r="L6556" t="s">
        <v>37</v>
      </c>
      <c r="M6556">
        <v>1</v>
      </c>
    </row>
    <row r="6557" spans="11:13" x14ac:dyDescent="0.2">
      <c r="K6557" t="s">
        <v>41</v>
      </c>
      <c r="L6557" t="s">
        <v>37</v>
      </c>
      <c r="M6557">
        <v>0</v>
      </c>
    </row>
    <row r="6558" spans="11:13" x14ac:dyDescent="0.2">
      <c r="K6558" t="s">
        <v>42</v>
      </c>
      <c r="L6558" t="s">
        <v>38</v>
      </c>
      <c r="M6558">
        <v>0</v>
      </c>
    </row>
    <row r="6559" spans="11:13" x14ac:dyDescent="0.2">
      <c r="K6559" t="s">
        <v>41</v>
      </c>
      <c r="L6559" t="s">
        <v>37</v>
      </c>
      <c r="M6559">
        <v>0</v>
      </c>
    </row>
    <row r="6560" spans="11:13" x14ac:dyDescent="0.2">
      <c r="K6560" t="s">
        <v>41</v>
      </c>
      <c r="L6560" t="s">
        <v>37</v>
      </c>
      <c r="M6560">
        <v>0</v>
      </c>
    </row>
    <row r="6561" spans="11:13" x14ac:dyDescent="0.2">
      <c r="K6561" t="s">
        <v>41</v>
      </c>
      <c r="L6561" t="s">
        <v>37</v>
      </c>
      <c r="M6561">
        <v>0</v>
      </c>
    </row>
    <row r="6562" spans="11:13" x14ac:dyDescent="0.2">
      <c r="K6562" t="s">
        <v>42</v>
      </c>
      <c r="L6562" t="s">
        <v>38</v>
      </c>
      <c r="M6562">
        <v>0</v>
      </c>
    </row>
    <row r="6563" spans="11:13" x14ac:dyDescent="0.2">
      <c r="K6563" t="s">
        <v>41</v>
      </c>
      <c r="L6563" t="s">
        <v>37</v>
      </c>
      <c r="M6563">
        <v>0</v>
      </c>
    </row>
    <row r="6564" spans="11:13" x14ac:dyDescent="0.2">
      <c r="K6564" t="s">
        <v>41</v>
      </c>
      <c r="L6564" t="s">
        <v>37</v>
      </c>
      <c r="M6564">
        <v>0</v>
      </c>
    </row>
    <row r="6565" spans="11:13" x14ac:dyDescent="0.2">
      <c r="K6565" t="s">
        <v>41</v>
      </c>
      <c r="L6565" t="s">
        <v>37</v>
      </c>
      <c r="M6565">
        <v>0</v>
      </c>
    </row>
    <row r="6566" spans="11:13" x14ac:dyDescent="0.2">
      <c r="K6566" t="s">
        <v>41</v>
      </c>
      <c r="L6566" t="s">
        <v>37</v>
      </c>
      <c r="M6566">
        <v>0</v>
      </c>
    </row>
    <row r="6567" spans="11:13" x14ac:dyDescent="0.2">
      <c r="K6567" t="s">
        <v>42</v>
      </c>
      <c r="L6567" t="s">
        <v>38</v>
      </c>
      <c r="M6567">
        <v>0</v>
      </c>
    </row>
    <row r="6568" spans="11:13" x14ac:dyDescent="0.2">
      <c r="K6568" t="s">
        <v>42</v>
      </c>
      <c r="L6568" t="s">
        <v>38</v>
      </c>
      <c r="M6568">
        <v>0</v>
      </c>
    </row>
    <row r="6569" spans="11:13" x14ac:dyDescent="0.2">
      <c r="K6569" t="s">
        <v>41</v>
      </c>
      <c r="L6569" t="s">
        <v>37</v>
      </c>
      <c r="M6569">
        <v>0</v>
      </c>
    </row>
    <row r="6570" spans="11:13" x14ac:dyDescent="0.2">
      <c r="K6570" t="s">
        <v>41</v>
      </c>
      <c r="L6570" t="s">
        <v>37</v>
      </c>
      <c r="M6570">
        <v>0</v>
      </c>
    </row>
    <row r="6571" spans="11:13" x14ac:dyDescent="0.2">
      <c r="K6571" t="s">
        <v>42</v>
      </c>
      <c r="L6571" t="s">
        <v>38</v>
      </c>
      <c r="M6571">
        <v>0</v>
      </c>
    </row>
    <row r="6572" spans="11:13" x14ac:dyDescent="0.2">
      <c r="K6572" t="s">
        <v>42</v>
      </c>
      <c r="L6572" t="s">
        <v>38</v>
      </c>
      <c r="M6572">
        <v>0</v>
      </c>
    </row>
    <row r="6573" spans="11:13" x14ac:dyDescent="0.2">
      <c r="K6573" t="s">
        <v>42</v>
      </c>
      <c r="L6573" t="s">
        <v>38</v>
      </c>
      <c r="M6573">
        <v>0</v>
      </c>
    </row>
    <row r="6574" spans="11:13" x14ac:dyDescent="0.2">
      <c r="K6574" t="s">
        <v>42</v>
      </c>
      <c r="L6574" t="s">
        <v>38</v>
      </c>
      <c r="M6574">
        <v>0</v>
      </c>
    </row>
    <row r="6575" spans="11:13" x14ac:dyDescent="0.2">
      <c r="K6575" t="s">
        <v>41</v>
      </c>
      <c r="L6575" t="s">
        <v>37</v>
      </c>
      <c r="M6575">
        <v>0</v>
      </c>
    </row>
    <row r="6576" spans="11:13" x14ac:dyDescent="0.2">
      <c r="K6576" t="s">
        <v>42</v>
      </c>
      <c r="L6576" t="s">
        <v>38</v>
      </c>
      <c r="M6576">
        <v>0</v>
      </c>
    </row>
    <row r="6577" spans="11:13" x14ac:dyDescent="0.2">
      <c r="K6577" t="s">
        <v>42</v>
      </c>
      <c r="L6577" t="s">
        <v>38</v>
      </c>
      <c r="M6577">
        <v>0</v>
      </c>
    </row>
    <row r="6578" spans="11:13" x14ac:dyDescent="0.2">
      <c r="K6578" t="s">
        <v>41</v>
      </c>
      <c r="L6578" t="s">
        <v>37</v>
      </c>
      <c r="M6578">
        <v>0</v>
      </c>
    </row>
    <row r="6579" spans="11:13" x14ac:dyDescent="0.2">
      <c r="K6579" t="s">
        <v>41</v>
      </c>
      <c r="L6579" t="s">
        <v>37</v>
      </c>
      <c r="M6579">
        <v>0</v>
      </c>
    </row>
    <row r="6580" spans="11:13" x14ac:dyDescent="0.2">
      <c r="K6580" t="s">
        <v>41</v>
      </c>
      <c r="L6580" t="s">
        <v>37</v>
      </c>
      <c r="M6580">
        <v>0</v>
      </c>
    </row>
    <row r="6581" spans="11:13" x14ac:dyDescent="0.2">
      <c r="K6581" t="s">
        <v>42</v>
      </c>
      <c r="L6581" t="s">
        <v>38</v>
      </c>
      <c r="M6581">
        <v>0</v>
      </c>
    </row>
    <row r="6582" spans="11:13" x14ac:dyDescent="0.2">
      <c r="K6582" t="s">
        <v>42</v>
      </c>
      <c r="L6582" t="s">
        <v>38</v>
      </c>
      <c r="M6582">
        <v>0</v>
      </c>
    </row>
    <row r="6583" spans="11:13" x14ac:dyDescent="0.2">
      <c r="K6583" t="s">
        <v>41</v>
      </c>
      <c r="L6583" t="s">
        <v>37</v>
      </c>
      <c r="M6583">
        <v>0</v>
      </c>
    </row>
    <row r="6584" spans="11:13" x14ac:dyDescent="0.2">
      <c r="K6584" t="s">
        <v>41</v>
      </c>
      <c r="L6584" t="s">
        <v>37</v>
      </c>
      <c r="M6584">
        <v>0</v>
      </c>
    </row>
    <row r="6585" spans="11:13" x14ac:dyDescent="0.2">
      <c r="K6585" t="s">
        <v>42</v>
      </c>
      <c r="L6585" t="s">
        <v>38</v>
      </c>
      <c r="M6585">
        <v>0</v>
      </c>
    </row>
    <row r="6586" spans="11:13" x14ac:dyDescent="0.2">
      <c r="K6586" t="s">
        <v>41</v>
      </c>
      <c r="L6586" t="s">
        <v>37</v>
      </c>
      <c r="M6586">
        <v>0</v>
      </c>
    </row>
    <row r="6587" spans="11:13" x14ac:dyDescent="0.2">
      <c r="K6587" t="s">
        <v>41</v>
      </c>
      <c r="L6587" t="s">
        <v>37</v>
      </c>
      <c r="M6587">
        <v>0</v>
      </c>
    </row>
    <row r="6588" spans="11:13" x14ac:dyDescent="0.2">
      <c r="K6588" t="s">
        <v>41</v>
      </c>
      <c r="L6588" t="s">
        <v>37</v>
      </c>
      <c r="M6588">
        <v>0</v>
      </c>
    </row>
    <row r="6589" spans="11:13" x14ac:dyDescent="0.2">
      <c r="K6589" t="s">
        <v>42</v>
      </c>
      <c r="L6589" t="s">
        <v>38</v>
      </c>
      <c r="M6589">
        <v>0</v>
      </c>
    </row>
    <row r="6590" spans="11:13" x14ac:dyDescent="0.2">
      <c r="K6590" t="s">
        <v>42</v>
      </c>
      <c r="L6590" t="s">
        <v>38</v>
      </c>
      <c r="M6590">
        <v>0</v>
      </c>
    </row>
    <row r="6591" spans="11:13" x14ac:dyDescent="0.2">
      <c r="K6591" t="s">
        <v>41</v>
      </c>
      <c r="L6591" t="s">
        <v>37</v>
      </c>
      <c r="M6591">
        <v>0</v>
      </c>
    </row>
    <row r="6592" spans="11:13" x14ac:dyDescent="0.2">
      <c r="K6592" t="s">
        <v>42</v>
      </c>
      <c r="L6592" t="s">
        <v>38</v>
      </c>
      <c r="M6592">
        <v>0</v>
      </c>
    </row>
    <row r="6593" spans="11:13" x14ac:dyDescent="0.2">
      <c r="K6593" t="s">
        <v>42</v>
      </c>
      <c r="L6593" t="s">
        <v>38</v>
      </c>
      <c r="M6593">
        <v>0</v>
      </c>
    </row>
    <row r="6594" spans="11:13" x14ac:dyDescent="0.2">
      <c r="K6594" t="s">
        <v>41</v>
      </c>
      <c r="L6594" t="s">
        <v>37</v>
      </c>
      <c r="M6594">
        <v>0</v>
      </c>
    </row>
    <row r="6595" spans="11:13" x14ac:dyDescent="0.2">
      <c r="K6595" t="s">
        <v>41</v>
      </c>
      <c r="L6595" t="s">
        <v>37</v>
      </c>
      <c r="M6595">
        <v>0</v>
      </c>
    </row>
    <row r="6596" spans="11:13" x14ac:dyDescent="0.2">
      <c r="K6596" t="s">
        <v>42</v>
      </c>
      <c r="L6596" t="s">
        <v>38</v>
      </c>
      <c r="M6596">
        <v>0</v>
      </c>
    </row>
    <row r="6597" spans="11:13" x14ac:dyDescent="0.2">
      <c r="K6597" t="s">
        <v>42</v>
      </c>
      <c r="L6597" t="s">
        <v>38</v>
      </c>
      <c r="M6597">
        <v>0</v>
      </c>
    </row>
    <row r="6598" spans="11:13" x14ac:dyDescent="0.2">
      <c r="K6598" t="s">
        <v>41</v>
      </c>
      <c r="L6598" t="s">
        <v>37</v>
      </c>
      <c r="M6598">
        <v>0</v>
      </c>
    </row>
    <row r="6599" spans="11:13" x14ac:dyDescent="0.2">
      <c r="K6599" t="s">
        <v>42</v>
      </c>
      <c r="L6599" t="s">
        <v>38</v>
      </c>
      <c r="M6599">
        <v>0</v>
      </c>
    </row>
    <row r="6600" spans="11:13" x14ac:dyDescent="0.2">
      <c r="K6600" t="s">
        <v>41</v>
      </c>
      <c r="L6600" t="s">
        <v>37</v>
      </c>
      <c r="M6600">
        <v>0</v>
      </c>
    </row>
    <row r="6601" spans="11:13" x14ac:dyDescent="0.2">
      <c r="K6601" t="s">
        <v>42</v>
      </c>
      <c r="L6601" t="s">
        <v>38</v>
      </c>
      <c r="M6601">
        <v>0</v>
      </c>
    </row>
    <row r="6602" spans="11:13" x14ac:dyDescent="0.2">
      <c r="K6602" t="s">
        <v>41</v>
      </c>
      <c r="L6602" t="s">
        <v>37</v>
      </c>
      <c r="M6602">
        <v>0</v>
      </c>
    </row>
    <row r="6603" spans="11:13" x14ac:dyDescent="0.2">
      <c r="K6603" t="s">
        <v>41</v>
      </c>
      <c r="L6603" t="s">
        <v>37</v>
      </c>
      <c r="M6603">
        <v>0</v>
      </c>
    </row>
    <row r="6604" spans="11:13" x14ac:dyDescent="0.2">
      <c r="K6604" t="s">
        <v>42</v>
      </c>
      <c r="L6604" t="s">
        <v>38</v>
      </c>
      <c r="M6604">
        <v>0</v>
      </c>
    </row>
    <row r="6605" spans="11:13" x14ac:dyDescent="0.2">
      <c r="K6605" t="s">
        <v>41</v>
      </c>
      <c r="L6605" t="s">
        <v>37</v>
      </c>
      <c r="M6605">
        <v>0</v>
      </c>
    </row>
    <row r="6606" spans="11:13" x14ac:dyDescent="0.2">
      <c r="K6606" t="s">
        <v>41</v>
      </c>
      <c r="L6606" t="s">
        <v>37</v>
      </c>
      <c r="M6606">
        <v>0</v>
      </c>
    </row>
    <row r="6607" spans="11:13" x14ac:dyDescent="0.2">
      <c r="K6607" t="s">
        <v>41</v>
      </c>
      <c r="L6607" t="s">
        <v>37</v>
      </c>
      <c r="M6607">
        <v>0</v>
      </c>
    </row>
    <row r="6608" spans="11:13" x14ac:dyDescent="0.2">
      <c r="K6608" t="s">
        <v>42</v>
      </c>
      <c r="L6608" t="s">
        <v>38</v>
      </c>
      <c r="M6608">
        <v>0</v>
      </c>
    </row>
    <row r="6609" spans="11:13" x14ac:dyDescent="0.2">
      <c r="K6609" t="s">
        <v>42</v>
      </c>
      <c r="L6609" t="s">
        <v>38</v>
      </c>
      <c r="M6609">
        <v>0</v>
      </c>
    </row>
    <row r="6610" spans="11:13" x14ac:dyDescent="0.2">
      <c r="K6610" t="s">
        <v>42</v>
      </c>
      <c r="L6610" t="s">
        <v>38</v>
      </c>
      <c r="M6610">
        <v>0</v>
      </c>
    </row>
    <row r="6611" spans="11:13" x14ac:dyDescent="0.2">
      <c r="K6611" t="s">
        <v>42</v>
      </c>
      <c r="L6611" t="s">
        <v>38</v>
      </c>
      <c r="M6611">
        <v>0</v>
      </c>
    </row>
    <row r="6612" spans="11:13" x14ac:dyDescent="0.2">
      <c r="K6612" t="s">
        <v>42</v>
      </c>
      <c r="L6612" t="s">
        <v>38</v>
      </c>
      <c r="M6612">
        <v>0</v>
      </c>
    </row>
    <row r="6613" spans="11:13" x14ac:dyDescent="0.2">
      <c r="K6613" t="s">
        <v>42</v>
      </c>
      <c r="L6613" t="s">
        <v>38</v>
      </c>
      <c r="M6613">
        <v>0</v>
      </c>
    </row>
    <row r="6614" spans="11:13" x14ac:dyDescent="0.2">
      <c r="K6614" t="s">
        <v>42</v>
      </c>
      <c r="L6614" t="s">
        <v>38</v>
      </c>
      <c r="M6614">
        <v>0</v>
      </c>
    </row>
    <row r="6615" spans="11:13" x14ac:dyDescent="0.2">
      <c r="K6615" t="s">
        <v>42</v>
      </c>
      <c r="L6615" t="s">
        <v>38</v>
      </c>
      <c r="M6615">
        <v>0</v>
      </c>
    </row>
    <row r="6616" spans="11:13" x14ac:dyDescent="0.2">
      <c r="K6616" t="s">
        <v>42</v>
      </c>
      <c r="L6616" t="s">
        <v>38</v>
      </c>
      <c r="M6616">
        <v>0</v>
      </c>
    </row>
    <row r="6617" spans="11:13" x14ac:dyDescent="0.2">
      <c r="K6617" t="s">
        <v>41</v>
      </c>
      <c r="L6617" t="s">
        <v>37</v>
      </c>
      <c r="M6617">
        <v>0</v>
      </c>
    </row>
    <row r="6618" spans="11:13" x14ac:dyDescent="0.2">
      <c r="K6618" t="s">
        <v>41</v>
      </c>
      <c r="L6618" t="s">
        <v>37</v>
      </c>
      <c r="M6618">
        <v>0</v>
      </c>
    </row>
    <row r="6619" spans="11:13" x14ac:dyDescent="0.2">
      <c r="K6619" t="s">
        <v>41</v>
      </c>
      <c r="L6619" t="s">
        <v>37</v>
      </c>
      <c r="M6619">
        <v>0</v>
      </c>
    </row>
    <row r="6620" spans="11:13" x14ac:dyDescent="0.2">
      <c r="K6620" t="s">
        <v>41</v>
      </c>
      <c r="L6620" t="s">
        <v>37</v>
      </c>
      <c r="M6620">
        <v>0</v>
      </c>
    </row>
    <row r="6621" spans="11:13" x14ac:dyDescent="0.2">
      <c r="K6621" t="s">
        <v>41</v>
      </c>
      <c r="L6621" t="s">
        <v>37</v>
      </c>
      <c r="M6621">
        <v>0</v>
      </c>
    </row>
    <row r="6622" spans="11:13" x14ac:dyDescent="0.2">
      <c r="K6622" t="s">
        <v>42</v>
      </c>
      <c r="L6622" t="s">
        <v>38</v>
      </c>
      <c r="M6622">
        <v>0</v>
      </c>
    </row>
    <row r="6623" spans="11:13" x14ac:dyDescent="0.2">
      <c r="K6623" t="s">
        <v>42</v>
      </c>
      <c r="L6623" t="s">
        <v>38</v>
      </c>
      <c r="M6623">
        <v>0</v>
      </c>
    </row>
    <row r="6624" spans="11:13" x14ac:dyDescent="0.2">
      <c r="K6624" t="s">
        <v>41</v>
      </c>
      <c r="L6624" t="s">
        <v>37</v>
      </c>
      <c r="M6624">
        <v>0</v>
      </c>
    </row>
    <row r="6625" spans="11:13" x14ac:dyDescent="0.2">
      <c r="K6625" t="s">
        <v>41</v>
      </c>
      <c r="L6625" t="s">
        <v>37</v>
      </c>
      <c r="M6625">
        <v>0</v>
      </c>
    </row>
    <row r="6626" spans="11:13" x14ac:dyDescent="0.2">
      <c r="K6626" t="s">
        <v>42</v>
      </c>
      <c r="L6626" t="s">
        <v>38</v>
      </c>
      <c r="M6626">
        <v>0</v>
      </c>
    </row>
    <row r="6627" spans="11:13" x14ac:dyDescent="0.2">
      <c r="K6627" t="s">
        <v>41</v>
      </c>
      <c r="L6627" t="s">
        <v>37</v>
      </c>
      <c r="M6627">
        <v>0</v>
      </c>
    </row>
    <row r="6628" spans="11:13" x14ac:dyDescent="0.2">
      <c r="K6628" t="s">
        <v>42</v>
      </c>
      <c r="L6628" t="s">
        <v>38</v>
      </c>
      <c r="M6628">
        <v>0</v>
      </c>
    </row>
    <row r="6629" spans="11:13" x14ac:dyDescent="0.2">
      <c r="K6629" t="s">
        <v>42</v>
      </c>
      <c r="L6629" t="s">
        <v>38</v>
      </c>
      <c r="M6629">
        <v>0</v>
      </c>
    </row>
    <row r="6630" spans="11:13" x14ac:dyDescent="0.2">
      <c r="K6630" t="s">
        <v>41</v>
      </c>
      <c r="L6630" t="s">
        <v>37</v>
      </c>
      <c r="M6630">
        <v>0</v>
      </c>
    </row>
    <row r="6631" spans="11:13" x14ac:dyDescent="0.2">
      <c r="K6631" t="s">
        <v>41</v>
      </c>
      <c r="L6631" t="s">
        <v>37</v>
      </c>
      <c r="M6631">
        <v>0</v>
      </c>
    </row>
    <row r="6632" spans="11:13" x14ac:dyDescent="0.2">
      <c r="K6632" t="s">
        <v>41</v>
      </c>
      <c r="L6632" t="s">
        <v>37</v>
      </c>
      <c r="M6632">
        <v>0</v>
      </c>
    </row>
    <row r="6633" spans="11:13" x14ac:dyDescent="0.2">
      <c r="K6633" t="s">
        <v>41</v>
      </c>
      <c r="L6633" t="s">
        <v>37</v>
      </c>
      <c r="M6633">
        <v>0</v>
      </c>
    </row>
    <row r="6634" spans="11:13" x14ac:dyDescent="0.2">
      <c r="K6634" t="s">
        <v>42</v>
      </c>
      <c r="L6634" t="s">
        <v>38</v>
      </c>
      <c r="M6634">
        <v>0</v>
      </c>
    </row>
    <row r="6635" spans="11:13" x14ac:dyDescent="0.2">
      <c r="K6635" t="s">
        <v>41</v>
      </c>
      <c r="L6635" t="s">
        <v>37</v>
      </c>
      <c r="M6635">
        <v>0</v>
      </c>
    </row>
    <row r="6636" spans="11:13" x14ac:dyDescent="0.2">
      <c r="K6636" t="s">
        <v>41</v>
      </c>
      <c r="L6636" t="s">
        <v>37</v>
      </c>
      <c r="M6636">
        <v>0</v>
      </c>
    </row>
    <row r="6637" spans="11:13" x14ac:dyDescent="0.2">
      <c r="K6637" t="s">
        <v>42</v>
      </c>
      <c r="L6637" t="s">
        <v>38</v>
      </c>
      <c r="M6637">
        <v>0</v>
      </c>
    </row>
    <row r="6638" spans="11:13" x14ac:dyDescent="0.2">
      <c r="K6638" t="s">
        <v>41</v>
      </c>
      <c r="L6638" t="s">
        <v>37</v>
      </c>
      <c r="M6638">
        <v>0</v>
      </c>
    </row>
    <row r="6639" spans="11:13" x14ac:dyDescent="0.2">
      <c r="K6639" t="s">
        <v>42</v>
      </c>
      <c r="L6639" t="s">
        <v>38</v>
      </c>
      <c r="M6639">
        <v>0</v>
      </c>
    </row>
    <row r="6640" spans="11:13" x14ac:dyDescent="0.2">
      <c r="K6640" t="s">
        <v>41</v>
      </c>
      <c r="L6640" t="s">
        <v>37</v>
      </c>
      <c r="M6640">
        <v>0</v>
      </c>
    </row>
    <row r="6641" spans="11:13" x14ac:dyDescent="0.2">
      <c r="K6641" t="s">
        <v>41</v>
      </c>
      <c r="L6641" t="s">
        <v>37</v>
      </c>
      <c r="M6641">
        <v>0</v>
      </c>
    </row>
    <row r="6642" spans="11:13" x14ac:dyDescent="0.2">
      <c r="K6642" t="s">
        <v>41</v>
      </c>
      <c r="L6642" t="s">
        <v>37</v>
      </c>
      <c r="M6642">
        <v>0</v>
      </c>
    </row>
    <row r="6643" spans="11:13" x14ac:dyDescent="0.2">
      <c r="K6643" t="s">
        <v>42</v>
      </c>
      <c r="L6643" t="s">
        <v>38</v>
      </c>
      <c r="M6643">
        <v>0</v>
      </c>
    </row>
    <row r="6644" spans="11:13" x14ac:dyDescent="0.2">
      <c r="K6644" t="s">
        <v>41</v>
      </c>
      <c r="L6644" t="s">
        <v>37</v>
      </c>
      <c r="M6644">
        <v>0</v>
      </c>
    </row>
    <row r="6645" spans="11:13" x14ac:dyDescent="0.2">
      <c r="K6645" t="s">
        <v>41</v>
      </c>
      <c r="L6645" t="s">
        <v>37</v>
      </c>
      <c r="M6645">
        <v>0</v>
      </c>
    </row>
    <row r="6646" spans="11:13" x14ac:dyDescent="0.2">
      <c r="K6646" t="s">
        <v>41</v>
      </c>
      <c r="L6646" t="s">
        <v>37</v>
      </c>
      <c r="M6646">
        <v>0</v>
      </c>
    </row>
    <row r="6647" spans="11:13" x14ac:dyDescent="0.2">
      <c r="K6647" t="s">
        <v>41</v>
      </c>
      <c r="L6647" t="s">
        <v>37</v>
      </c>
      <c r="M6647">
        <v>0</v>
      </c>
    </row>
    <row r="6648" spans="11:13" x14ac:dyDescent="0.2">
      <c r="K6648" t="s">
        <v>42</v>
      </c>
      <c r="L6648" t="s">
        <v>38</v>
      </c>
      <c r="M6648">
        <v>0</v>
      </c>
    </row>
    <row r="6649" spans="11:13" x14ac:dyDescent="0.2">
      <c r="K6649" t="s">
        <v>42</v>
      </c>
      <c r="L6649" t="s">
        <v>38</v>
      </c>
      <c r="M6649">
        <v>0</v>
      </c>
    </row>
    <row r="6650" spans="11:13" x14ac:dyDescent="0.2">
      <c r="K6650" t="s">
        <v>42</v>
      </c>
      <c r="L6650" t="s">
        <v>38</v>
      </c>
      <c r="M6650">
        <v>0</v>
      </c>
    </row>
    <row r="6651" spans="11:13" x14ac:dyDescent="0.2">
      <c r="K6651" t="s">
        <v>42</v>
      </c>
      <c r="L6651" t="s">
        <v>38</v>
      </c>
      <c r="M6651">
        <v>1</v>
      </c>
    </row>
    <row r="6652" spans="11:13" x14ac:dyDescent="0.2">
      <c r="K6652" t="s">
        <v>42</v>
      </c>
      <c r="L6652" t="s">
        <v>38</v>
      </c>
      <c r="M6652">
        <v>1</v>
      </c>
    </row>
    <row r="6653" spans="11:13" x14ac:dyDescent="0.2">
      <c r="K6653" t="s">
        <v>42</v>
      </c>
      <c r="L6653" t="s">
        <v>38</v>
      </c>
      <c r="M6653">
        <v>0</v>
      </c>
    </row>
    <row r="6654" spans="11:13" x14ac:dyDescent="0.2">
      <c r="K6654" t="s">
        <v>41</v>
      </c>
      <c r="L6654" t="s">
        <v>37</v>
      </c>
      <c r="M6654">
        <v>0</v>
      </c>
    </row>
    <row r="6655" spans="11:13" x14ac:dyDescent="0.2">
      <c r="K6655" t="s">
        <v>42</v>
      </c>
      <c r="L6655" t="s">
        <v>38</v>
      </c>
      <c r="M6655">
        <v>0</v>
      </c>
    </row>
    <row r="6656" spans="11:13" x14ac:dyDescent="0.2">
      <c r="K6656" t="s">
        <v>41</v>
      </c>
      <c r="L6656" t="s">
        <v>37</v>
      </c>
      <c r="M6656">
        <v>0</v>
      </c>
    </row>
    <row r="6657" spans="11:13" x14ac:dyDescent="0.2">
      <c r="K6657" t="s">
        <v>42</v>
      </c>
      <c r="L6657" t="s">
        <v>38</v>
      </c>
      <c r="M6657">
        <v>0</v>
      </c>
    </row>
    <row r="6658" spans="11:13" x14ac:dyDescent="0.2">
      <c r="K6658" t="s">
        <v>42</v>
      </c>
      <c r="L6658" t="s">
        <v>38</v>
      </c>
      <c r="M6658">
        <v>0</v>
      </c>
    </row>
    <row r="6659" spans="11:13" x14ac:dyDescent="0.2">
      <c r="K6659" t="s">
        <v>41</v>
      </c>
      <c r="L6659" t="s">
        <v>37</v>
      </c>
      <c r="M6659">
        <v>0</v>
      </c>
    </row>
    <row r="6660" spans="11:13" x14ac:dyDescent="0.2">
      <c r="K6660" t="s">
        <v>41</v>
      </c>
      <c r="L6660" t="s">
        <v>37</v>
      </c>
      <c r="M6660">
        <v>0</v>
      </c>
    </row>
    <row r="6661" spans="11:13" x14ac:dyDescent="0.2">
      <c r="K6661" t="s">
        <v>41</v>
      </c>
      <c r="L6661" t="s">
        <v>37</v>
      </c>
      <c r="M6661">
        <v>1</v>
      </c>
    </row>
    <row r="6662" spans="11:13" x14ac:dyDescent="0.2">
      <c r="K6662" t="s">
        <v>42</v>
      </c>
      <c r="L6662" t="s">
        <v>38</v>
      </c>
      <c r="M6662">
        <v>0</v>
      </c>
    </row>
    <row r="6663" spans="11:13" x14ac:dyDescent="0.2">
      <c r="K6663" t="s">
        <v>41</v>
      </c>
      <c r="L6663" t="s">
        <v>37</v>
      </c>
      <c r="M6663">
        <v>0</v>
      </c>
    </row>
    <row r="6664" spans="11:13" x14ac:dyDescent="0.2">
      <c r="K6664" t="s">
        <v>42</v>
      </c>
      <c r="L6664" t="s">
        <v>38</v>
      </c>
      <c r="M6664">
        <v>0</v>
      </c>
    </row>
    <row r="6665" spans="11:13" x14ac:dyDescent="0.2">
      <c r="K6665" t="s">
        <v>42</v>
      </c>
      <c r="L6665" t="s">
        <v>38</v>
      </c>
      <c r="M6665">
        <v>0</v>
      </c>
    </row>
    <row r="6666" spans="11:13" x14ac:dyDescent="0.2">
      <c r="K6666" t="s">
        <v>42</v>
      </c>
      <c r="L6666" t="s">
        <v>38</v>
      </c>
      <c r="M6666">
        <v>0</v>
      </c>
    </row>
    <row r="6667" spans="11:13" x14ac:dyDescent="0.2">
      <c r="K6667" t="s">
        <v>41</v>
      </c>
      <c r="L6667" t="s">
        <v>37</v>
      </c>
      <c r="M6667">
        <v>0</v>
      </c>
    </row>
    <row r="6668" spans="11:13" x14ac:dyDescent="0.2">
      <c r="K6668" t="s">
        <v>41</v>
      </c>
      <c r="L6668" t="s">
        <v>37</v>
      </c>
      <c r="M6668">
        <v>0</v>
      </c>
    </row>
    <row r="6669" spans="11:13" x14ac:dyDescent="0.2">
      <c r="K6669" t="s">
        <v>42</v>
      </c>
      <c r="L6669" t="s">
        <v>38</v>
      </c>
      <c r="M6669">
        <v>0</v>
      </c>
    </row>
    <row r="6670" spans="11:13" x14ac:dyDescent="0.2">
      <c r="K6670" t="s">
        <v>41</v>
      </c>
      <c r="L6670" t="s">
        <v>37</v>
      </c>
      <c r="M6670">
        <v>0</v>
      </c>
    </row>
    <row r="6671" spans="11:13" x14ac:dyDescent="0.2">
      <c r="K6671" t="s">
        <v>42</v>
      </c>
      <c r="L6671" t="s">
        <v>38</v>
      </c>
      <c r="M6671">
        <v>0</v>
      </c>
    </row>
    <row r="6672" spans="11:13" x14ac:dyDescent="0.2">
      <c r="K6672" t="s">
        <v>42</v>
      </c>
      <c r="L6672" t="s">
        <v>38</v>
      </c>
      <c r="M6672">
        <v>0</v>
      </c>
    </row>
    <row r="6673" spans="11:13" x14ac:dyDescent="0.2">
      <c r="K6673" t="s">
        <v>41</v>
      </c>
      <c r="L6673" t="s">
        <v>37</v>
      </c>
      <c r="M6673">
        <v>0</v>
      </c>
    </row>
    <row r="6674" spans="11:13" x14ac:dyDescent="0.2">
      <c r="K6674" t="s">
        <v>41</v>
      </c>
      <c r="L6674" t="s">
        <v>37</v>
      </c>
      <c r="M6674">
        <v>0</v>
      </c>
    </row>
    <row r="6675" spans="11:13" x14ac:dyDescent="0.2">
      <c r="K6675" t="s">
        <v>42</v>
      </c>
      <c r="L6675" t="s">
        <v>38</v>
      </c>
      <c r="M6675">
        <v>0</v>
      </c>
    </row>
    <row r="6676" spans="11:13" x14ac:dyDescent="0.2">
      <c r="K6676" t="s">
        <v>42</v>
      </c>
      <c r="L6676" t="s">
        <v>38</v>
      </c>
      <c r="M6676">
        <v>0</v>
      </c>
    </row>
    <row r="6677" spans="11:13" x14ac:dyDescent="0.2">
      <c r="K6677" t="s">
        <v>41</v>
      </c>
      <c r="L6677" t="s">
        <v>37</v>
      </c>
      <c r="M6677">
        <v>0</v>
      </c>
    </row>
    <row r="6678" spans="11:13" x14ac:dyDescent="0.2">
      <c r="K6678" t="s">
        <v>41</v>
      </c>
      <c r="L6678" t="s">
        <v>37</v>
      </c>
      <c r="M6678">
        <v>0</v>
      </c>
    </row>
    <row r="6679" spans="11:13" x14ac:dyDescent="0.2">
      <c r="K6679" t="s">
        <v>42</v>
      </c>
      <c r="L6679" t="s">
        <v>38</v>
      </c>
      <c r="M6679">
        <v>1</v>
      </c>
    </row>
    <row r="6680" spans="11:13" x14ac:dyDescent="0.2">
      <c r="K6680" t="s">
        <v>41</v>
      </c>
      <c r="L6680" t="s">
        <v>37</v>
      </c>
      <c r="M6680">
        <v>0</v>
      </c>
    </row>
    <row r="6681" spans="11:13" x14ac:dyDescent="0.2">
      <c r="K6681" t="s">
        <v>41</v>
      </c>
      <c r="L6681" t="s">
        <v>37</v>
      </c>
      <c r="M6681">
        <v>0</v>
      </c>
    </row>
    <row r="6682" spans="11:13" x14ac:dyDescent="0.2">
      <c r="K6682" t="s">
        <v>41</v>
      </c>
      <c r="L6682" t="s">
        <v>37</v>
      </c>
      <c r="M6682">
        <v>1</v>
      </c>
    </row>
    <row r="6683" spans="11:13" x14ac:dyDescent="0.2">
      <c r="K6683" t="s">
        <v>41</v>
      </c>
      <c r="L6683" t="s">
        <v>37</v>
      </c>
      <c r="M6683">
        <v>0</v>
      </c>
    </row>
    <row r="6684" spans="11:13" x14ac:dyDescent="0.2">
      <c r="K6684" t="s">
        <v>41</v>
      </c>
      <c r="L6684" t="s">
        <v>37</v>
      </c>
      <c r="M6684">
        <v>0</v>
      </c>
    </row>
    <row r="6685" spans="11:13" x14ac:dyDescent="0.2">
      <c r="K6685" t="s">
        <v>41</v>
      </c>
      <c r="L6685" t="s">
        <v>37</v>
      </c>
      <c r="M6685">
        <v>0</v>
      </c>
    </row>
    <row r="6686" spans="11:13" x14ac:dyDescent="0.2">
      <c r="K6686" t="s">
        <v>42</v>
      </c>
      <c r="L6686" t="s">
        <v>38</v>
      </c>
      <c r="M6686">
        <v>0</v>
      </c>
    </row>
    <row r="6687" spans="11:13" x14ac:dyDescent="0.2">
      <c r="K6687" t="s">
        <v>42</v>
      </c>
      <c r="L6687" t="s">
        <v>38</v>
      </c>
      <c r="M6687">
        <v>0</v>
      </c>
    </row>
    <row r="6688" spans="11:13" x14ac:dyDescent="0.2">
      <c r="K6688" t="s">
        <v>42</v>
      </c>
      <c r="L6688" t="s">
        <v>38</v>
      </c>
      <c r="M6688">
        <v>0</v>
      </c>
    </row>
    <row r="6689" spans="11:13" x14ac:dyDescent="0.2">
      <c r="K6689" t="s">
        <v>42</v>
      </c>
      <c r="L6689" t="s">
        <v>38</v>
      </c>
      <c r="M6689">
        <v>0</v>
      </c>
    </row>
    <row r="6690" spans="11:13" x14ac:dyDescent="0.2">
      <c r="K6690" t="s">
        <v>41</v>
      </c>
      <c r="L6690" t="s">
        <v>37</v>
      </c>
      <c r="M6690">
        <v>0</v>
      </c>
    </row>
    <row r="6691" spans="11:13" x14ac:dyDescent="0.2">
      <c r="K6691" t="s">
        <v>42</v>
      </c>
      <c r="L6691" t="s">
        <v>38</v>
      </c>
      <c r="M6691">
        <v>0</v>
      </c>
    </row>
    <row r="6692" spans="11:13" x14ac:dyDescent="0.2">
      <c r="K6692" t="s">
        <v>41</v>
      </c>
      <c r="L6692" t="s">
        <v>37</v>
      </c>
      <c r="M6692">
        <v>0</v>
      </c>
    </row>
    <row r="6693" spans="11:13" x14ac:dyDescent="0.2">
      <c r="K6693" t="s">
        <v>41</v>
      </c>
      <c r="L6693" t="s">
        <v>37</v>
      </c>
      <c r="M6693">
        <v>0</v>
      </c>
    </row>
    <row r="6694" spans="11:13" x14ac:dyDescent="0.2">
      <c r="K6694" t="s">
        <v>41</v>
      </c>
      <c r="L6694" t="s">
        <v>37</v>
      </c>
      <c r="M6694">
        <v>0</v>
      </c>
    </row>
    <row r="6695" spans="11:13" x14ac:dyDescent="0.2">
      <c r="K6695" t="s">
        <v>41</v>
      </c>
      <c r="L6695" t="s">
        <v>37</v>
      </c>
      <c r="M6695">
        <v>0</v>
      </c>
    </row>
    <row r="6696" spans="11:13" x14ac:dyDescent="0.2">
      <c r="K6696" t="s">
        <v>42</v>
      </c>
      <c r="L6696" t="s">
        <v>38</v>
      </c>
      <c r="M6696">
        <v>0</v>
      </c>
    </row>
    <row r="6697" spans="11:13" x14ac:dyDescent="0.2">
      <c r="K6697" t="s">
        <v>42</v>
      </c>
      <c r="L6697" t="s">
        <v>38</v>
      </c>
      <c r="M6697">
        <v>0</v>
      </c>
    </row>
    <row r="6698" spans="11:13" x14ac:dyDescent="0.2">
      <c r="K6698" t="s">
        <v>41</v>
      </c>
      <c r="L6698" t="s">
        <v>37</v>
      </c>
      <c r="M6698">
        <v>0</v>
      </c>
    </row>
    <row r="6699" spans="11:13" x14ac:dyDescent="0.2">
      <c r="K6699" t="s">
        <v>41</v>
      </c>
      <c r="L6699" t="s">
        <v>37</v>
      </c>
      <c r="M6699">
        <v>0</v>
      </c>
    </row>
    <row r="6700" spans="11:13" x14ac:dyDescent="0.2">
      <c r="K6700" t="s">
        <v>41</v>
      </c>
      <c r="L6700" t="s">
        <v>37</v>
      </c>
      <c r="M6700">
        <v>0</v>
      </c>
    </row>
    <row r="6701" spans="11:13" x14ac:dyDescent="0.2">
      <c r="K6701" t="s">
        <v>41</v>
      </c>
      <c r="L6701" t="s">
        <v>37</v>
      </c>
      <c r="M6701">
        <v>0</v>
      </c>
    </row>
    <row r="6702" spans="11:13" x14ac:dyDescent="0.2">
      <c r="K6702" t="s">
        <v>42</v>
      </c>
      <c r="L6702" t="s">
        <v>38</v>
      </c>
      <c r="M6702">
        <v>0</v>
      </c>
    </row>
    <row r="6703" spans="11:13" x14ac:dyDescent="0.2">
      <c r="K6703" t="s">
        <v>42</v>
      </c>
      <c r="L6703" t="s">
        <v>38</v>
      </c>
      <c r="M6703">
        <v>0</v>
      </c>
    </row>
    <row r="6704" spans="11:13" x14ac:dyDescent="0.2">
      <c r="K6704" t="s">
        <v>42</v>
      </c>
      <c r="L6704" t="s">
        <v>38</v>
      </c>
      <c r="M6704">
        <v>0</v>
      </c>
    </row>
    <row r="6705" spans="11:13" x14ac:dyDescent="0.2">
      <c r="K6705" t="s">
        <v>41</v>
      </c>
      <c r="L6705" t="s">
        <v>37</v>
      </c>
      <c r="M6705">
        <v>0</v>
      </c>
    </row>
    <row r="6706" spans="11:13" x14ac:dyDescent="0.2">
      <c r="K6706" t="s">
        <v>42</v>
      </c>
      <c r="L6706" t="s">
        <v>38</v>
      </c>
      <c r="M6706">
        <v>0</v>
      </c>
    </row>
    <row r="6707" spans="11:13" x14ac:dyDescent="0.2">
      <c r="K6707" t="s">
        <v>41</v>
      </c>
      <c r="L6707" t="s">
        <v>37</v>
      </c>
      <c r="M6707">
        <v>0</v>
      </c>
    </row>
    <row r="6708" spans="11:13" x14ac:dyDescent="0.2">
      <c r="K6708" t="s">
        <v>41</v>
      </c>
      <c r="L6708" t="s">
        <v>37</v>
      </c>
      <c r="M6708">
        <v>0</v>
      </c>
    </row>
    <row r="6709" spans="11:13" x14ac:dyDescent="0.2">
      <c r="K6709" t="s">
        <v>41</v>
      </c>
      <c r="L6709" t="s">
        <v>37</v>
      </c>
      <c r="M6709">
        <v>0</v>
      </c>
    </row>
    <row r="6710" spans="11:13" x14ac:dyDescent="0.2">
      <c r="K6710" t="s">
        <v>41</v>
      </c>
      <c r="L6710" t="s">
        <v>37</v>
      </c>
      <c r="M6710">
        <v>0</v>
      </c>
    </row>
    <row r="6711" spans="11:13" x14ac:dyDescent="0.2">
      <c r="K6711" t="s">
        <v>41</v>
      </c>
      <c r="L6711" t="s">
        <v>37</v>
      </c>
      <c r="M6711">
        <v>0</v>
      </c>
    </row>
    <row r="6712" spans="11:13" x14ac:dyDescent="0.2">
      <c r="K6712" t="s">
        <v>42</v>
      </c>
      <c r="L6712" t="s">
        <v>38</v>
      </c>
      <c r="M6712">
        <v>0</v>
      </c>
    </row>
    <row r="6713" spans="11:13" x14ac:dyDescent="0.2">
      <c r="K6713" t="s">
        <v>41</v>
      </c>
      <c r="L6713" t="s">
        <v>37</v>
      </c>
      <c r="M6713">
        <v>0</v>
      </c>
    </row>
    <row r="6714" spans="11:13" x14ac:dyDescent="0.2">
      <c r="K6714" t="s">
        <v>41</v>
      </c>
      <c r="L6714" t="s">
        <v>37</v>
      </c>
      <c r="M6714">
        <v>1</v>
      </c>
    </row>
    <row r="6715" spans="11:13" x14ac:dyDescent="0.2">
      <c r="K6715" t="s">
        <v>42</v>
      </c>
      <c r="L6715" t="s">
        <v>38</v>
      </c>
      <c r="M6715">
        <v>0</v>
      </c>
    </row>
    <row r="6716" spans="11:13" x14ac:dyDescent="0.2">
      <c r="K6716" t="s">
        <v>41</v>
      </c>
      <c r="L6716" t="s">
        <v>37</v>
      </c>
      <c r="M6716">
        <v>1</v>
      </c>
    </row>
    <row r="6717" spans="11:13" x14ac:dyDescent="0.2">
      <c r="K6717" t="s">
        <v>42</v>
      </c>
      <c r="L6717" t="s">
        <v>38</v>
      </c>
      <c r="M6717">
        <v>0</v>
      </c>
    </row>
    <row r="6718" spans="11:13" x14ac:dyDescent="0.2">
      <c r="K6718" t="s">
        <v>41</v>
      </c>
      <c r="L6718" t="s">
        <v>37</v>
      </c>
      <c r="M6718">
        <v>0</v>
      </c>
    </row>
    <row r="6719" spans="11:13" x14ac:dyDescent="0.2">
      <c r="K6719" t="s">
        <v>41</v>
      </c>
      <c r="L6719" t="s">
        <v>37</v>
      </c>
      <c r="M6719">
        <v>0</v>
      </c>
    </row>
    <row r="6720" spans="11:13" x14ac:dyDescent="0.2">
      <c r="K6720" t="s">
        <v>42</v>
      </c>
      <c r="L6720" t="s">
        <v>38</v>
      </c>
      <c r="M6720">
        <v>0</v>
      </c>
    </row>
    <row r="6721" spans="11:13" x14ac:dyDescent="0.2">
      <c r="K6721" t="s">
        <v>42</v>
      </c>
      <c r="L6721" t="s">
        <v>38</v>
      </c>
      <c r="M6721">
        <v>0</v>
      </c>
    </row>
    <row r="6722" spans="11:13" x14ac:dyDescent="0.2">
      <c r="K6722" t="s">
        <v>41</v>
      </c>
      <c r="L6722" t="s">
        <v>37</v>
      </c>
      <c r="M6722">
        <v>0</v>
      </c>
    </row>
    <row r="6723" spans="11:13" x14ac:dyDescent="0.2">
      <c r="K6723" t="s">
        <v>42</v>
      </c>
      <c r="L6723" t="s">
        <v>38</v>
      </c>
      <c r="M6723">
        <v>0</v>
      </c>
    </row>
    <row r="6724" spans="11:13" x14ac:dyDescent="0.2">
      <c r="K6724" t="s">
        <v>41</v>
      </c>
      <c r="L6724" t="s">
        <v>37</v>
      </c>
      <c r="M6724">
        <v>0</v>
      </c>
    </row>
    <row r="6725" spans="11:13" x14ac:dyDescent="0.2">
      <c r="K6725" t="s">
        <v>42</v>
      </c>
      <c r="L6725" t="s">
        <v>38</v>
      </c>
      <c r="M6725">
        <v>0</v>
      </c>
    </row>
    <row r="6726" spans="11:13" x14ac:dyDescent="0.2">
      <c r="K6726" t="s">
        <v>41</v>
      </c>
      <c r="L6726" t="s">
        <v>37</v>
      </c>
      <c r="M6726">
        <v>0</v>
      </c>
    </row>
    <row r="6727" spans="11:13" x14ac:dyDescent="0.2">
      <c r="K6727" t="s">
        <v>42</v>
      </c>
      <c r="L6727" t="s">
        <v>38</v>
      </c>
      <c r="M6727">
        <v>0</v>
      </c>
    </row>
    <row r="6728" spans="11:13" x14ac:dyDescent="0.2">
      <c r="K6728" t="s">
        <v>42</v>
      </c>
      <c r="L6728" t="s">
        <v>38</v>
      </c>
      <c r="M6728">
        <v>0</v>
      </c>
    </row>
    <row r="6729" spans="11:13" x14ac:dyDescent="0.2">
      <c r="K6729" t="s">
        <v>42</v>
      </c>
      <c r="L6729" t="s">
        <v>38</v>
      </c>
      <c r="M6729">
        <v>0</v>
      </c>
    </row>
    <row r="6730" spans="11:13" x14ac:dyDescent="0.2">
      <c r="K6730" t="s">
        <v>41</v>
      </c>
      <c r="L6730" t="s">
        <v>37</v>
      </c>
      <c r="M6730">
        <v>0</v>
      </c>
    </row>
    <row r="6731" spans="11:13" x14ac:dyDescent="0.2">
      <c r="K6731" t="s">
        <v>42</v>
      </c>
      <c r="L6731" t="s">
        <v>38</v>
      </c>
      <c r="M6731">
        <v>0</v>
      </c>
    </row>
    <row r="6732" spans="11:13" x14ac:dyDescent="0.2">
      <c r="K6732" t="s">
        <v>41</v>
      </c>
      <c r="L6732" t="s">
        <v>37</v>
      </c>
      <c r="M6732">
        <v>0</v>
      </c>
    </row>
    <row r="6733" spans="11:13" x14ac:dyDescent="0.2">
      <c r="K6733" t="s">
        <v>42</v>
      </c>
      <c r="L6733" t="s">
        <v>38</v>
      </c>
      <c r="M6733">
        <v>0</v>
      </c>
    </row>
    <row r="6734" spans="11:13" x14ac:dyDescent="0.2">
      <c r="K6734" t="s">
        <v>42</v>
      </c>
      <c r="L6734" t="s">
        <v>38</v>
      </c>
      <c r="M6734">
        <v>0</v>
      </c>
    </row>
    <row r="6735" spans="11:13" x14ac:dyDescent="0.2">
      <c r="K6735" t="s">
        <v>41</v>
      </c>
      <c r="L6735" t="s">
        <v>37</v>
      </c>
      <c r="M6735">
        <v>0</v>
      </c>
    </row>
    <row r="6736" spans="11:13" x14ac:dyDescent="0.2">
      <c r="K6736" t="s">
        <v>41</v>
      </c>
      <c r="L6736" t="s">
        <v>37</v>
      </c>
      <c r="M6736">
        <v>0</v>
      </c>
    </row>
    <row r="6737" spans="11:13" x14ac:dyDescent="0.2">
      <c r="K6737" t="s">
        <v>42</v>
      </c>
      <c r="L6737" t="s">
        <v>38</v>
      </c>
      <c r="M6737">
        <v>0</v>
      </c>
    </row>
    <row r="6738" spans="11:13" x14ac:dyDescent="0.2">
      <c r="K6738" t="s">
        <v>42</v>
      </c>
      <c r="L6738" t="s">
        <v>38</v>
      </c>
      <c r="M6738">
        <v>0</v>
      </c>
    </row>
    <row r="6739" spans="11:13" x14ac:dyDescent="0.2">
      <c r="K6739" t="s">
        <v>41</v>
      </c>
      <c r="L6739" t="s">
        <v>37</v>
      </c>
      <c r="M6739">
        <v>0</v>
      </c>
    </row>
    <row r="6740" spans="11:13" x14ac:dyDescent="0.2">
      <c r="K6740" t="s">
        <v>42</v>
      </c>
      <c r="L6740" t="s">
        <v>38</v>
      </c>
      <c r="M6740">
        <v>0</v>
      </c>
    </row>
    <row r="6741" spans="11:13" x14ac:dyDescent="0.2">
      <c r="K6741" t="s">
        <v>42</v>
      </c>
      <c r="L6741" t="s">
        <v>38</v>
      </c>
      <c r="M6741">
        <v>0</v>
      </c>
    </row>
    <row r="6742" spans="11:13" x14ac:dyDescent="0.2">
      <c r="K6742" t="s">
        <v>41</v>
      </c>
      <c r="L6742" t="s">
        <v>37</v>
      </c>
      <c r="M6742">
        <v>0</v>
      </c>
    </row>
    <row r="6743" spans="11:13" x14ac:dyDescent="0.2">
      <c r="K6743" t="s">
        <v>42</v>
      </c>
      <c r="L6743" t="s">
        <v>38</v>
      </c>
      <c r="M6743">
        <v>0</v>
      </c>
    </row>
    <row r="6744" spans="11:13" x14ac:dyDescent="0.2">
      <c r="K6744" t="s">
        <v>42</v>
      </c>
      <c r="L6744" t="s">
        <v>38</v>
      </c>
      <c r="M6744">
        <v>0</v>
      </c>
    </row>
    <row r="6745" spans="11:13" x14ac:dyDescent="0.2">
      <c r="K6745" t="s">
        <v>41</v>
      </c>
      <c r="L6745" t="s">
        <v>37</v>
      </c>
      <c r="M6745">
        <v>0</v>
      </c>
    </row>
    <row r="6746" spans="11:13" x14ac:dyDescent="0.2">
      <c r="K6746" t="s">
        <v>42</v>
      </c>
      <c r="L6746" t="s">
        <v>38</v>
      </c>
      <c r="M6746">
        <v>0</v>
      </c>
    </row>
    <row r="6747" spans="11:13" x14ac:dyDescent="0.2">
      <c r="K6747" t="s">
        <v>42</v>
      </c>
      <c r="L6747" t="s">
        <v>38</v>
      </c>
      <c r="M6747">
        <v>0</v>
      </c>
    </row>
    <row r="6748" spans="11:13" x14ac:dyDescent="0.2">
      <c r="K6748" t="s">
        <v>42</v>
      </c>
      <c r="L6748" t="s">
        <v>38</v>
      </c>
      <c r="M6748">
        <v>0</v>
      </c>
    </row>
    <row r="6749" spans="11:13" x14ac:dyDescent="0.2">
      <c r="K6749" t="s">
        <v>41</v>
      </c>
      <c r="L6749" t="s">
        <v>37</v>
      </c>
      <c r="M6749">
        <v>0</v>
      </c>
    </row>
    <row r="6750" spans="11:13" x14ac:dyDescent="0.2">
      <c r="K6750" t="s">
        <v>42</v>
      </c>
      <c r="L6750" t="s">
        <v>38</v>
      </c>
      <c r="M6750">
        <v>0</v>
      </c>
    </row>
    <row r="6751" spans="11:13" x14ac:dyDescent="0.2">
      <c r="K6751" t="s">
        <v>41</v>
      </c>
      <c r="L6751" t="s">
        <v>37</v>
      </c>
      <c r="M6751">
        <v>0</v>
      </c>
    </row>
    <row r="6752" spans="11:13" x14ac:dyDescent="0.2">
      <c r="K6752" t="s">
        <v>42</v>
      </c>
      <c r="L6752" t="s">
        <v>38</v>
      </c>
      <c r="M6752">
        <v>0</v>
      </c>
    </row>
    <row r="6753" spans="11:13" x14ac:dyDescent="0.2">
      <c r="K6753" t="s">
        <v>41</v>
      </c>
      <c r="L6753" t="s">
        <v>37</v>
      </c>
      <c r="M6753">
        <v>0</v>
      </c>
    </row>
    <row r="6754" spans="11:13" x14ac:dyDescent="0.2">
      <c r="K6754" t="s">
        <v>42</v>
      </c>
      <c r="L6754" t="s">
        <v>38</v>
      </c>
      <c r="M6754">
        <v>0</v>
      </c>
    </row>
    <row r="6755" spans="11:13" x14ac:dyDescent="0.2">
      <c r="K6755" t="s">
        <v>41</v>
      </c>
      <c r="L6755" t="s">
        <v>37</v>
      </c>
      <c r="M6755">
        <v>0</v>
      </c>
    </row>
    <row r="6756" spans="11:13" x14ac:dyDescent="0.2">
      <c r="K6756" t="s">
        <v>42</v>
      </c>
      <c r="L6756" t="s">
        <v>38</v>
      </c>
      <c r="M6756">
        <v>0</v>
      </c>
    </row>
    <row r="6757" spans="11:13" x14ac:dyDescent="0.2">
      <c r="K6757" t="s">
        <v>42</v>
      </c>
      <c r="L6757" t="s">
        <v>38</v>
      </c>
      <c r="M6757">
        <v>1</v>
      </c>
    </row>
    <row r="6758" spans="11:13" x14ac:dyDescent="0.2">
      <c r="K6758" t="s">
        <v>42</v>
      </c>
      <c r="L6758" t="s">
        <v>38</v>
      </c>
      <c r="M6758">
        <v>0</v>
      </c>
    </row>
    <row r="6759" spans="11:13" x14ac:dyDescent="0.2">
      <c r="K6759" t="s">
        <v>42</v>
      </c>
      <c r="L6759" t="s">
        <v>38</v>
      </c>
      <c r="M6759">
        <v>0</v>
      </c>
    </row>
    <row r="6760" spans="11:13" x14ac:dyDescent="0.2">
      <c r="K6760" t="s">
        <v>42</v>
      </c>
      <c r="L6760" t="s">
        <v>38</v>
      </c>
      <c r="M6760">
        <v>0</v>
      </c>
    </row>
    <row r="6761" spans="11:13" x14ac:dyDescent="0.2">
      <c r="K6761" t="s">
        <v>42</v>
      </c>
      <c r="L6761" t="s">
        <v>38</v>
      </c>
      <c r="M6761">
        <v>0</v>
      </c>
    </row>
    <row r="6762" spans="11:13" x14ac:dyDescent="0.2">
      <c r="K6762" t="s">
        <v>41</v>
      </c>
      <c r="L6762" t="s">
        <v>37</v>
      </c>
      <c r="M6762">
        <v>0</v>
      </c>
    </row>
    <row r="6763" spans="11:13" x14ac:dyDescent="0.2">
      <c r="K6763" t="s">
        <v>41</v>
      </c>
      <c r="L6763" t="s">
        <v>37</v>
      </c>
      <c r="M6763">
        <v>0</v>
      </c>
    </row>
    <row r="6764" spans="11:13" x14ac:dyDescent="0.2">
      <c r="K6764" t="s">
        <v>41</v>
      </c>
      <c r="L6764" t="s">
        <v>37</v>
      </c>
      <c r="M6764">
        <v>0</v>
      </c>
    </row>
    <row r="6765" spans="11:13" x14ac:dyDescent="0.2">
      <c r="K6765" t="s">
        <v>42</v>
      </c>
      <c r="L6765" t="s">
        <v>38</v>
      </c>
      <c r="M6765">
        <v>0</v>
      </c>
    </row>
    <row r="6766" spans="11:13" x14ac:dyDescent="0.2">
      <c r="K6766" t="s">
        <v>42</v>
      </c>
      <c r="L6766" t="s">
        <v>38</v>
      </c>
      <c r="M6766">
        <v>0</v>
      </c>
    </row>
    <row r="6767" spans="11:13" x14ac:dyDescent="0.2">
      <c r="K6767" t="s">
        <v>41</v>
      </c>
      <c r="L6767" t="s">
        <v>37</v>
      </c>
      <c r="M6767">
        <v>0</v>
      </c>
    </row>
    <row r="6768" spans="11:13" x14ac:dyDescent="0.2">
      <c r="K6768" t="s">
        <v>41</v>
      </c>
      <c r="L6768" t="s">
        <v>37</v>
      </c>
      <c r="M6768">
        <v>0</v>
      </c>
    </row>
    <row r="6769" spans="11:13" x14ac:dyDescent="0.2">
      <c r="K6769" t="s">
        <v>42</v>
      </c>
      <c r="L6769" t="s">
        <v>38</v>
      </c>
      <c r="M6769">
        <v>0</v>
      </c>
    </row>
    <row r="6770" spans="11:13" x14ac:dyDescent="0.2">
      <c r="K6770" t="s">
        <v>42</v>
      </c>
      <c r="L6770" t="s">
        <v>38</v>
      </c>
      <c r="M6770">
        <v>0</v>
      </c>
    </row>
    <row r="6771" spans="11:13" x14ac:dyDescent="0.2">
      <c r="K6771" t="s">
        <v>41</v>
      </c>
      <c r="L6771" t="s">
        <v>37</v>
      </c>
      <c r="M6771">
        <v>0</v>
      </c>
    </row>
    <row r="6772" spans="11:13" x14ac:dyDescent="0.2">
      <c r="K6772" t="s">
        <v>42</v>
      </c>
      <c r="L6772" t="s">
        <v>38</v>
      </c>
      <c r="M6772">
        <v>0</v>
      </c>
    </row>
    <row r="6773" spans="11:13" x14ac:dyDescent="0.2">
      <c r="K6773" t="s">
        <v>42</v>
      </c>
      <c r="L6773" t="s">
        <v>38</v>
      </c>
      <c r="M6773">
        <v>0</v>
      </c>
    </row>
    <row r="6774" spans="11:13" x14ac:dyDescent="0.2">
      <c r="K6774" t="s">
        <v>42</v>
      </c>
      <c r="L6774" t="s">
        <v>38</v>
      </c>
      <c r="M6774">
        <v>0</v>
      </c>
    </row>
    <row r="6775" spans="11:13" x14ac:dyDescent="0.2">
      <c r="K6775" t="s">
        <v>42</v>
      </c>
      <c r="L6775" t="s">
        <v>38</v>
      </c>
      <c r="M6775">
        <v>0</v>
      </c>
    </row>
    <row r="6776" spans="11:13" x14ac:dyDescent="0.2">
      <c r="K6776" t="s">
        <v>42</v>
      </c>
      <c r="L6776" t="s">
        <v>38</v>
      </c>
      <c r="M6776">
        <v>1</v>
      </c>
    </row>
    <row r="6777" spans="11:13" x14ac:dyDescent="0.2">
      <c r="K6777" t="s">
        <v>41</v>
      </c>
      <c r="L6777" t="s">
        <v>37</v>
      </c>
      <c r="M6777">
        <v>0</v>
      </c>
    </row>
    <row r="6778" spans="11:13" x14ac:dyDescent="0.2">
      <c r="K6778" t="s">
        <v>41</v>
      </c>
      <c r="L6778" t="s">
        <v>37</v>
      </c>
      <c r="M6778">
        <v>0</v>
      </c>
    </row>
    <row r="6779" spans="11:13" x14ac:dyDescent="0.2">
      <c r="K6779" t="s">
        <v>42</v>
      </c>
      <c r="L6779" t="s">
        <v>38</v>
      </c>
      <c r="M6779">
        <v>0</v>
      </c>
    </row>
    <row r="6780" spans="11:13" x14ac:dyDescent="0.2">
      <c r="K6780" t="s">
        <v>42</v>
      </c>
      <c r="L6780" t="s">
        <v>38</v>
      </c>
      <c r="M6780">
        <v>0</v>
      </c>
    </row>
    <row r="6781" spans="11:13" x14ac:dyDescent="0.2">
      <c r="K6781" t="s">
        <v>42</v>
      </c>
      <c r="L6781" t="s">
        <v>38</v>
      </c>
      <c r="M6781">
        <v>0</v>
      </c>
    </row>
    <row r="6782" spans="11:13" x14ac:dyDescent="0.2">
      <c r="K6782" t="s">
        <v>42</v>
      </c>
      <c r="L6782" t="s">
        <v>38</v>
      </c>
      <c r="M6782">
        <v>0</v>
      </c>
    </row>
    <row r="6783" spans="11:13" x14ac:dyDescent="0.2">
      <c r="K6783" t="s">
        <v>42</v>
      </c>
      <c r="L6783" t="s">
        <v>38</v>
      </c>
      <c r="M6783">
        <v>0</v>
      </c>
    </row>
    <row r="6784" spans="11:13" x14ac:dyDescent="0.2">
      <c r="K6784" t="s">
        <v>42</v>
      </c>
      <c r="L6784" t="s">
        <v>38</v>
      </c>
      <c r="M6784">
        <v>0</v>
      </c>
    </row>
    <row r="6785" spans="11:13" x14ac:dyDescent="0.2">
      <c r="K6785" t="s">
        <v>42</v>
      </c>
      <c r="L6785" t="s">
        <v>38</v>
      </c>
      <c r="M6785">
        <v>0</v>
      </c>
    </row>
    <row r="6786" spans="11:13" x14ac:dyDescent="0.2">
      <c r="K6786" t="s">
        <v>42</v>
      </c>
      <c r="L6786" t="s">
        <v>38</v>
      </c>
      <c r="M6786">
        <v>0</v>
      </c>
    </row>
    <row r="6787" spans="11:13" x14ac:dyDescent="0.2">
      <c r="K6787" t="s">
        <v>42</v>
      </c>
      <c r="L6787" t="s">
        <v>38</v>
      </c>
      <c r="M6787">
        <v>0</v>
      </c>
    </row>
    <row r="6788" spans="11:13" x14ac:dyDescent="0.2">
      <c r="K6788" t="s">
        <v>42</v>
      </c>
      <c r="L6788" t="s">
        <v>38</v>
      </c>
      <c r="M6788">
        <v>0</v>
      </c>
    </row>
    <row r="6789" spans="11:13" x14ac:dyDescent="0.2">
      <c r="K6789" t="s">
        <v>42</v>
      </c>
      <c r="L6789" t="s">
        <v>38</v>
      </c>
      <c r="M6789">
        <v>0</v>
      </c>
    </row>
    <row r="6790" spans="11:13" x14ac:dyDescent="0.2">
      <c r="K6790" t="s">
        <v>41</v>
      </c>
      <c r="L6790" t="s">
        <v>37</v>
      </c>
      <c r="M6790">
        <v>0</v>
      </c>
    </row>
    <row r="6791" spans="11:13" x14ac:dyDescent="0.2">
      <c r="K6791" t="s">
        <v>41</v>
      </c>
      <c r="L6791" t="s">
        <v>37</v>
      </c>
      <c r="M6791">
        <v>0</v>
      </c>
    </row>
    <row r="6792" spans="11:13" x14ac:dyDescent="0.2">
      <c r="K6792" t="s">
        <v>41</v>
      </c>
      <c r="L6792" t="s">
        <v>37</v>
      </c>
      <c r="M6792">
        <v>0</v>
      </c>
    </row>
    <row r="6793" spans="11:13" x14ac:dyDescent="0.2">
      <c r="K6793" t="s">
        <v>41</v>
      </c>
      <c r="L6793" t="s">
        <v>37</v>
      </c>
      <c r="M6793">
        <v>0</v>
      </c>
    </row>
    <row r="6794" spans="11:13" x14ac:dyDescent="0.2">
      <c r="K6794" t="s">
        <v>42</v>
      </c>
      <c r="L6794" t="s">
        <v>38</v>
      </c>
      <c r="M6794">
        <v>0</v>
      </c>
    </row>
    <row r="6795" spans="11:13" x14ac:dyDescent="0.2">
      <c r="K6795" t="s">
        <v>41</v>
      </c>
      <c r="L6795" t="s">
        <v>37</v>
      </c>
      <c r="M6795">
        <v>0</v>
      </c>
    </row>
    <row r="6796" spans="11:13" x14ac:dyDescent="0.2">
      <c r="K6796" t="s">
        <v>42</v>
      </c>
      <c r="L6796" t="s">
        <v>38</v>
      </c>
      <c r="M6796">
        <v>0</v>
      </c>
    </row>
    <row r="6797" spans="11:13" x14ac:dyDescent="0.2">
      <c r="K6797" t="s">
        <v>42</v>
      </c>
      <c r="L6797" t="s">
        <v>38</v>
      </c>
      <c r="M6797">
        <v>0</v>
      </c>
    </row>
    <row r="6798" spans="11:13" x14ac:dyDescent="0.2">
      <c r="K6798" t="s">
        <v>41</v>
      </c>
      <c r="L6798" t="s">
        <v>37</v>
      </c>
      <c r="M6798">
        <v>0</v>
      </c>
    </row>
    <row r="6799" spans="11:13" x14ac:dyDescent="0.2">
      <c r="K6799" t="s">
        <v>41</v>
      </c>
      <c r="L6799" t="s">
        <v>37</v>
      </c>
      <c r="M6799">
        <v>0</v>
      </c>
    </row>
    <row r="6800" spans="11:13" x14ac:dyDescent="0.2">
      <c r="K6800" t="s">
        <v>41</v>
      </c>
      <c r="L6800" t="s">
        <v>37</v>
      </c>
      <c r="M6800">
        <v>0</v>
      </c>
    </row>
    <row r="6801" spans="11:13" x14ac:dyDescent="0.2">
      <c r="K6801" t="s">
        <v>42</v>
      </c>
      <c r="L6801" t="s">
        <v>38</v>
      </c>
      <c r="M6801">
        <v>0</v>
      </c>
    </row>
    <row r="6802" spans="11:13" x14ac:dyDescent="0.2">
      <c r="K6802" t="s">
        <v>41</v>
      </c>
      <c r="L6802" t="s">
        <v>37</v>
      </c>
      <c r="M6802">
        <v>0</v>
      </c>
    </row>
    <row r="6803" spans="11:13" x14ac:dyDescent="0.2">
      <c r="K6803" t="s">
        <v>42</v>
      </c>
      <c r="L6803" t="s">
        <v>38</v>
      </c>
      <c r="M6803">
        <v>0</v>
      </c>
    </row>
    <row r="6804" spans="11:13" x14ac:dyDescent="0.2">
      <c r="K6804" t="s">
        <v>42</v>
      </c>
      <c r="L6804" t="s">
        <v>38</v>
      </c>
      <c r="M6804">
        <v>0</v>
      </c>
    </row>
    <row r="6805" spans="11:13" x14ac:dyDescent="0.2">
      <c r="K6805" t="s">
        <v>41</v>
      </c>
      <c r="L6805" t="s">
        <v>37</v>
      </c>
      <c r="M6805">
        <v>0</v>
      </c>
    </row>
    <row r="6806" spans="11:13" x14ac:dyDescent="0.2">
      <c r="K6806" t="s">
        <v>42</v>
      </c>
      <c r="L6806" t="s">
        <v>38</v>
      </c>
      <c r="M6806">
        <v>0</v>
      </c>
    </row>
    <row r="6807" spans="11:13" x14ac:dyDescent="0.2">
      <c r="K6807" t="s">
        <v>42</v>
      </c>
      <c r="L6807" t="s">
        <v>38</v>
      </c>
      <c r="M6807">
        <v>0</v>
      </c>
    </row>
    <row r="6808" spans="11:13" x14ac:dyDescent="0.2">
      <c r="K6808" t="s">
        <v>42</v>
      </c>
      <c r="L6808" t="s">
        <v>38</v>
      </c>
      <c r="M6808">
        <v>0</v>
      </c>
    </row>
    <row r="6809" spans="11:13" x14ac:dyDescent="0.2">
      <c r="K6809" t="s">
        <v>42</v>
      </c>
      <c r="L6809" t="s">
        <v>38</v>
      </c>
      <c r="M6809">
        <v>0</v>
      </c>
    </row>
    <row r="6810" spans="11:13" x14ac:dyDescent="0.2">
      <c r="K6810" t="s">
        <v>41</v>
      </c>
      <c r="L6810" t="s">
        <v>37</v>
      </c>
      <c r="M6810">
        <v>0</v>
      </c>
    </row>
    <row r="6811" spans="11:13" x14ac:dyDescent="0.2">
      <c r="K6811" t="s">
        <v>41</v>
      </c>
      <c r="L6811" t="s">
        <v>37</v>
      </c>
      <c r="M6811">
        <v>0</v>
      </c>
    </row>
    <row r="6812" spans="11:13" x14ac:dyDescent="0.2">
      <c r="K6812" t="s">
        <v>41</v>
      </c>
      <c r="L6812" t="s">
        <v>37</v>
      </c>
      <c r="M6812">
        <v>0</v>
      </c>
    </row>
    <row r="6813" spans="11:13" x14ac:dyDescent="0.2">
      <c r="K6813" t="s">
        <v>42</v>
      </c>
      <c r="L6813" t="s">
        <v>38</v>
      </c>
      <c r="M6813">
        <v>0</v>
      </c>
    </row>
    <row r="6814" spans="11:13" x14ac:dyDescent="0.2">
      <c r="K6814" t="s">
        <v>42</v>
      </c>
      <c r="L6814" t="s">
        <v>38</v>
      </c>
      <c r="M6814">
        <v>0</v>
      </c>
    </row>
    <row r="6815" spans="11:13" x14ac:dyDescent="0.2">
      <c r="K6815" t="s">
        <v>41</v>
      </c>
      <c r="L6815" t="s">
        <v>37</v>
      </c>
      <c r="M6815">
        <v>0</v>
      </c>
    </row>
    <row r="6816" spans="11:13" x14ac:dyDescent="0.2">
      <c r="K6816" t="s">
        <v>41</v>
      </c>
      <c r="L6816" t="s">
        <v>37</v>
      </c>
      <c r="M6816">
        <v>0</v>
      </c>
    </row>
    <row r="6817" spans="11:13" x14ac:dyDescent="0.2">
      <c r="K6817" t="s">
        <v>42</v>
      </c>
      <c r="L6817" t="s">
        <v>38</v>
      </c>
      <c r="M6817">
        <v>0</v>
      </c>
    </row>
    <row r="6818" spans="11:13" x14ac:dyDescent="0.2">
      <c r="K6818" t="s">
        <v>41</v>
      </c>
      <c r="L6818" t="s">
        <v>37</v>
      </c>
      <c r="M6818">
        <v>0</v>
      </c>
    </row>
    <row r="6819" spans="11:13" x14ac:dyDescent="0.2">
      <c r="K6819" t="s">
        <v>41</v>
      </c>
      <c r="L6819" t="s">
        <v>37</v>
      </c>
      <c r="M6819">
        <v>1</v>
      </c>
    </row>
    <row r="6820" spans="11:13" x14ac:dyDescent="0.2">
      <c r="K6820" t="s">
        <v>42</v>
      </c>
      <c r="L6820" t="s">
        <v>38</v>
      </c>
      <c r="M6820">
        <v>0</v>
      </c>
    </row>
    <row r="6821" spans="11:13" x14ac:dyDescent="0.2">
      <c r="K6821" t="s">
        <v>42</v>
      </c>
      <c r="L6821" t="s">
        <v>38</v>
      </c>
      <c r="M6821">
        <v>1</v>
      </c>
    </row>
    <row r="6822" spans="11:13" x14ac:dyDescent="0.2">
      <c r="K6822" t="s">
        <v>42</v>
      </c>
      <c r="L6822" t="s">
        <v>38</v>
      </c>
      <c r="M6822">
        <v>0</v>
      </c>
    </row>
    <row r="6823" spans="11:13" x14ac:dyDescent="0.2">
      <c r="K6823" t="s">
        <v>41</v>
      </c>
      <c r="L6823" t="s">
        <v>37</v>
      </c>
      <c r="M6823">
        <v>0</v>
      </c>
    </row>
    <row r="6824" spans="11:13" x14ac:dyDescent="0.2">
      <c r="K6824" t="s">
        <v>41</v>
      </c>
      <c r="L6824" t="s">
        <v>37</v>
      </c>
      <c r="M6824">
        <v>0</v>
      </c>
    </row>
    <row r="6825" spans="11:13" x14ac:dyDescent="0.2">
      <c r="K6825" t="s">
        <v>41</v>
      </c>
      <c r="L6825" t="s">
        <v>37</v>
      </c>
      <c r="M6825">
        <v>0</v>
      </c>
    </row>
    <row r="6826" spans="11:13" x14ac:dyDescent="0.2">
      <c r="K6826" t="s">
        <v>41</v>
      </c>
      <c r="L6826" t="s">
        <v>37</v>
      </c>
      <c r="M6826">
        <v>0</v>
      </c>
    </row>
    <row r="6827" spans="11:13" x14ac:dyDescent="0.2">
      <c r="K6827" t="s">
        <v>42</v>
      </c>
      <c r="L6827" t="s">
        <v>38</v>
      </c>
      <c r="M6827">
        <v>0</v>
      </c>
    </row>
    <row r="6828" spans="11:13" x14ac:dyDescent="0.2">
      <c r="K6828" t="s">
        <v>42</v>
      </c>
      <c r="L6828" t="s">
        <v>38</v>
      </c>
      <c r="M6828">
        <v>0</v>
      </c>
    </row>
    <row r="6829" spans="11:13" x14ac:dyDescent="0.2">
      <c r="K6829" t="s">
        <v>42</v>
      </c>
      <c r="L6829" t="s">
        <v>38</v>
      </c>
      <c r="M6829">
        <v>0</v>
      </c>
    </row>
    <row r="6830" spans="11:13" x14ac:dyDescent="0.2">
      <c r="K6830" t="s">
        <v>42</v>
      </c>
      <c r="L6830" t="s">
        <v>38</v>
      </c>
      <c r="M6830">
        <v>0</v>
      </c>
    </row>
    <row r="6831" spans="11:13" x14ac:dyDescent="0.2">
      <c r="K6831" t="s">
        <v>41</v>
      </c>
      <c r="L6831" t="s">
        <v>37</v>
      </c>
      <c r="M6831">
        <v>0</v>
      </c>
    </row>
    <row r="6832" spans="11:13" x14ac:dyDescent="0.2">
      <c r="K6832" t="s">
        <v>42</v>
      </c>
      <c r="L6832" t="s">
        <v>38</v>
      </c>
      <c r="M6832">
        <v>0</v>
      </c>
    </row>
    <row r="6833" spans="11:13" x14ac:dyDescent="0.2">
      <c r="K6833" t="s">
        <v>41</v>
      </c>
      <c r="L6833" t="s">
        <v>37</v>
      </c>
      <c r="M6833">
        <v>0</v>
      </c>
    </row>
    <row r="6834" spans="11:13" x14ac:dyDescent="0.2">
      <c r="K6834" t="s">
        <v>41</v>
      </c>
      <c r="L6834" t="s">
        <v>37</v>
      </c>
      <c r="M6834">
        <v>0</v>
      </c>
    </row>
    <row r="6835" spans="11:13" x14ac:dyDescent="0.2">
      <c r="K6835" t="s">
        <v>42</v>
      </c>
      <c r="L6835" t="s">
        <v>38</v>
      </c>
      <c r="M6835">
        <v>0</v>
      </c>
    </row>
    <row r="6836" spans="11:13" x14ac:dyDescent="0.2">
      <c r="K6836" t="s">
        <v>42</v>
      </c>
      <c r="L6836" t="s">
        <v>38</v>
      </c>
      <c r="M6836">
        <v>0</v>
      </c>
    </row>
    <row r="6837" spans="11:13" x14ac:dyDescent="0.2">
      <c r="K6837" t="s">
        <v>41</v>
      </c>
      <c r="L6837" t="s">
        <v>37</v>
      </c>
      <c r="M6837">
        <v>0</v>
      </c>
    </row>
    <row r="6838" spans="11:13" x14ac:dyDescent="0.2">
      <c r="K6838" t="s">
        <v>42</v>
      </c>
      <c r="L6838" t="s">
        <v>38</v>
      </c>
      <c r="M6838">
        <v>0</v>
      </c>
    </row>
    <row r="6839" spans="11:13" x14ac:dyDescent="0.2">
      <c r="K6839" t="s">
        <v>41</v>
      </c>
      <c r="L6839" t="s">
        <v>37</v>
      </c>
      <c r="M6839">
        <v>0</v>
      </c>
    </row>
    <row r="6840" spans="11:13" x14ac:dyDescent="0.2">
      <c r="K6840" t="s">
        <v>42</v>
      </c>
      <c r="L6840" t="s">
        <v>38</v>
      </c>
      <c r="M6840">
        <v>0</v>
      </c>
    </row>
    <row r="6841" spans="11:13" x14ac:dyDescent="0.2">
      <c r="K6841" t="s">
        <v>42</v>
      </c>
      <c r="L6841" t="s">
        <v>38</v>
      </c>
      <c r="M6841">
        <v>0</v>
      </c>
    </row>
    <row r="6842" spans="11:13" x14ac:dyDescent="0.2">
      <c r="K6842" t="s">
        <v>41</v>
      </c>
      <c r="L6842" t="s">
        <v>37</v>
      </c>
      <c r="M6842">
        <v>0</v>
      </c>
    </row>
    <row r="6843" spans="11:13" x14ac:dyDescent="0.2">
      <c r="K6843" t="s">
        <v>41</v>
      </c>
      <c r="L6843" t="s">
        <v>37</v>
      </c>
      <c r="M6843">
        <v>0</v>
      </c>
    </row>
    <row r="6844" spans="11:13" x14ac:dyDescent="0.2">
      <c r="K6844" t="s">
        <v>41</v>
      </c>
      <c r="L6844" t="s">
        <v>37</v>
      </c>
      <c r="M6844">
        <v>0</v>
      </c>
    </row>
    <row r="6845" spans="11:13" x14ac:dyDescent="0.2">
      <c r="K6845" t="s">
        <v>42</v>
      </c>
      <c r="L6845" t="s">
        <v>38</v>
      </c>
      <c r="M6845">
        <v>0</v>
      </c>
    </row>
    <row r="6846" spans="11:13" x14ac:dyDescent="0.2">
      <c r="K6846" t="s">
        <v>42</v>
      </c>
      <c r="L6846" t="s">
        <v>38</v>
      </c>
      <c r="M6846">
        <v>0</v>
      </c>
    </row>
    <row r="6847" spans="11:13" x14ac:dyDescent="0.2">
      <c r="K6847" t="s">
        <v>41</v>
      </c>
      <c r="L6847" t="s">
        <v>37</v>
      </c>
      <c r="M6847">
        <v>0</v>
      </c>
    </row>
    <row r="6848" spans="11:13" x14ac:dyDescent="0.2">
      <c r="K6848" t="s">
        <v>42</v>
      </c>
      <c r="L6848" t="s">
        <v>38</v>
      </c>
      <c r="M6848">
        <v>0</v>
      </c>
    </row>
    <row r="6849" spans="11:13" x14ac:dyDescent="0.2">
      <c r="K6849" t="s">
        <v>42</v>
      </c>
      <c r="L6849" t="s">
        <v>38</v>
      </c>
      <c r="M6849">
        <v>0</v>
      </c>
    </row>
    <row r="6850" spans="11:13" x14ac:dyDescent="0.2">
      <c r="K6850" t="s">
        <v>42</v>
      </c>
      <c r="L6850" t="s">
        <v>38</v>
      </c>
      <c r="M6850">
        <v>0</v>
      </c>
    </row>
    <row r="6851" spans="11:13" x14ac:dyDescent="0.2">
      <c r="K6851" t="s">
        <v>41</v>
      </c>
      <c r="L6851" t="s">
        <v>37</v>
      </c>
      <c r="M6851">
        <v>1</v>
      </c>
    </row>
    <row r="6852" spans="11:13" x14ac:dyDescent="0.2">
      <c r="K6852" t="s">
        <v>41</v>
      </c>
      <c r="L6852" t="s">
        <v>37</v>
      </c>
      <c r="M6852">
        <v>0</v>
      </c>
    </row>
    <row r="6853" spans="11:13" x14ac:dyDescent="0.2">
      <c r="K6853" t="s">
        <v>41</v>
      </c>
      <c r="L6853" t="s">
        <v>37</v>
      </c>
      <c r="M6853">
        <v>0</v>
      </c>
    </row>
    <row r="6854" spans="11:13" x14ac:dyDescent="0.2">
      <c r="K6854" t="s">
        <v>42</v>
      </c>
      <c r="L6854" t="s">
        <v>38</v>
      </c>
      <c r="M6854">
        <v>0</v>
      </c>
    </row>
    <row r="6855" spans="11:13" x14ac:dyDescent="0.2">
      <c r="K6855" t="s">
        <v>42</v>
      </c>
      <c r="L6855" t="s">
        <v>38</v>
      </c>
      <c r="M6855">
        <v>0</v>
      </c>
    </row>
    <row r="6856" spans="11:13" x14ac:dyDescent="0.2">
      <c r="K6856" t="s">
        <v>41</v>
      </c>
      <c r="L6856" t="s">
        <v>37</v>
      </c>
      <c r="M6856">
        <v>1</v>
      </c>
    </row>
    <row r="6857" spans="11:13" x14ac:dyDescent="0.2">
      <c r="K6857" t="s">
        <v>41</v>
      </c>
      <c r="L6857" t="s">
        <v>37</v>
      </c>
      <c r="M6857">
        <v>1</v>
      </c>
    </row>
    <row r="6858" spans="11:13" x14ac:dyDescent="0.2">
      <c r="K6858" t="s">
        <v>42</v>
      </c>
      <c r="L6858" t="s">
        <v>38</v>
      </c>
      <c r="M6858">
        <v>0</v>
      </c>
    </row>
    <row r="6859" spans="11:13" x14ac:dyDescent="0.2">
      <c r="K6859" t="s">
        <v>42</v>
      </c>
      <c r="L6859" t="s">
        <v>38</v>
      </c>
      <c r="M6859">
        <v>0</v>
      </c>
    </row>
    <row r="6860" spans="11:13" x14ac:dyDescent="0.2">
      <c r="K6860" t="s">
        <v>42</v>
      </c>
      <c r="L6860" t="s">
        <v>38</v>
      </c>
      <c r="M6860">
        <v>0</v>
      </c>
    </row>
    <row r="6861" spans="11:13" x14ac:dyDescent="0.2">
      <c r="K6861" t="s">
        <v>42</v>
      </c>
      <c r="L6861" t="s">
        <v>38</v>
      </c>
      <c r="M6861">
        <v>0</v>
      </c>
    </row>
    <row r="6862" spans="11:13" x14ac:dyDescent="0.2">
      <c r="K6862" t="s">
        <v>41</v>
      </c>
      <c r="L6862" t="s">
        <v>37</v>
      </c>
      <c r="M6862">
        <v>0</v>
      </c>
    </row>
    <row r="6863" spans="11:13" x14ac:dyDescent="0.2">
      <c r="K6863" t="s">
        <v>41</v>
      </c>
      <c r="L6863" t="s">
        <v>37</v>
      </c>
      <c r="M6863">
        <v>0</v>
      </c>
    </row>
    <row r="6864" spans="11:13" x14ac:dyDescent="0.2">
      <c r="K6864" t="s">
        <v>41</v>
      </c>
      <c r="L6864" t="s">
        <v>37</v>
      </c>
      <c r="M6864">
        <v>0</v>
      </c>
    </row>
    <row r="6865" spans="11:13" x14ac:dyDescent="0.2">
      <c r="K6865" t="s">
        <v>42</v>
      </c>
      <c r="L6865" t="s">
        <v>38</v>
      </c>
      <c r="M6865">
        <v>0</v>
      </c>
    </row>
    <row r="6866" spans="11:13" x14ac:dyDescent="0.2">
      <c r="K6866" t="s">
        <v>42</v>
      </c>
      <c r="L6866" t="s">
        <v>38</v>
      </c>
      <c r="M6866">
        <v>0</v>
      </c>
    </row>
    <row r="6867" spans="11:13" x14ac:dyDescent="0.2">
      <c r="K6867" t="s">
        <v>42</v>
      </c>
      <c r="L6867" t="s">
        <v>38</v>
      </c>
      <c r="M6867">
        <v>0</v>
      </c>
    </row>
    <row r="6868" spans="11:13" x14ac:dyDescent="0.2">
      <c r="K6868" t="s">
        <v>41</v>
      </c>
      <c r="L6868" t="s">
        <v>37</v>
      </c>
      <c r="M6868">
        <v>0</v>
      </c>
    </row>
    <row r="6869" spans="11:13" x14ac:dyDescent="0.2">
      <c r="K6869" t="s">
        <v>42</v>
      </c>
      <c r="L6869" t="s">
        <v>38</v>
      </c>
      <c r="M6869">
        <v>0</v>
      </c>
    </row>
    <row r="6870" spans="11:13" x14ac:dyDescent="0.2">
      <c r="K6870" t="s">
        <v>41</v>
      </c>
      <c r="L6870" t="s">
        <v>37</v>
      </c>
      <c r="M6870">
        <v>0</v>
      </c>
    </row>
    <row r="6871" spans="11:13" x14ac:dyDescent="0.2">
      <c r="K6871" t="s">
        <v>41</v>
      </c>
      <c r="L6871" t="s">
        <v>37</v>
      </c>
      <c r="M6871">
        <v>0</v>
      </c>
    </row>
    <row r="6872" spans="11:13" x14ac:dyDescent="0.2">
      <c r="K6872" t="s">
        <v>41</v>
      </c>
      <c r="L6872" t="s">
        <v>37</v>
      </c>
      <c r="M6872">
        <v>0</v>
      </c>
    </row>
    <row r="6873" spans="11:13" x14ac:dyDescent="0.2">
      <c r="K6873" t="s">
        <v>41</v>
      </c>
      <c r="L6873" t="s">
        <v>37</v>
      </c>
      <c r="M6873">
        <v>0</v>
      </c>
    </row>
    <row r="6874" spans="11:13" x14ac:dyDescent="0.2">
      <c r="K6874" t="s">
        <v>41</v>
      </c>
      <c r="L6874" t="s">
        <v>37</v>
      </c>
      <c r="M6874">
        <v>0</v>
      </c>
    </row>
    <row r="6875" spans="11:13" x14ac:dyDescent="0.2">
      <c r="K6875" t="s">
        <v>42</v>
      </c>
      <c r="L6875" t="s">
        <v>38</v>
      </c>
      <c r="M6875">
        <v>0</v>
      </c>
    </row>
    <row r="6876" spans="11:13" x14ac:dyDescent="0.2">
      <c r="K6876" t="s">
        <v>42</v>
      </c>
      <c r="L6876" t="s">
        <v>38</v>
      </c>
      <c r="M6876">
        <v>0</v>
      </c>
    </row>
    <row r="6877" spans="11:13" x14ac:dyDescent="0.2">
      <c r="K6877" t="s">
        <v>41</v>
      </c>
      <c r="L6877" t="s">
        <v>37</v>
      </c>
      <c r="M6877">
        <v>0</v>
      </c>
    </row>
    <row r="6878" spans="11:13" x14ac:dyDescent="0.2">
      <c r="K6878" t="s">
        <v>41</v>
      </c>
      <c r="L6878" t="s">
        <v>37</v>
      </c>
      <c r="M6878">
        <v>0</v>
      </c>
    </row>
    <row r="6879" spans="11:13" x14ac:dyDescent="0.2">
      <c r="K6879" t="s">
        <v>41</v>
      </c>
      <c r="L6879" t="s">
        <v>37</v>
      </c>
      <c r="M6879">
        <v>0</v>
      </c>
    </row>
    <row r="6880" spans="11:13" x14ac:dyDescent="0.2">
      <c r="K6880" t="s">
        <v>42</v>
      </c>
      <c r="L6880" t="s">
        <v>38</v>
      </c>
      <c r="M6880">
        <v>0</v>
      </c>
    </row>
    <row r="6881" spans="11:13" x14ac:dyDescent="0.2">
      <c r="K6881" t="s">
        <v>42</v>
      </c>
      <c r="L6881" t="s">
        <v>38</v>
      </c>
      <c r="M6881">
        <v>0</v>
      </c>
    </row>
    <row r="6882" spans="11:13" x14ac:dyDescent="0.2">
      <c r="K6882" t="s">
        <v>42</v>
      </c>
      <c r="L6882" t="s">
        <v>38</v>
      </c>
      <c r="M6882">
        <v>0</v>
      </c>
    </row>
    <row r="6883" spans="11:13" x14ac:dyDescent="0.2">
      <c r="K6883" t="s">
        <v>41</v>
      </c>
      <c r="L6883" t="s">
        <v>37</v>
      </c>
      <c r="M6883">
        <v>0</v>
      </c>
    </row>
    <row r="6884" spans="11:13" x14ac:dyDescent="0.2">
      <c r="K6884" t="s">
        <v>41</v>
      </c>
      <c r="L6884" t="s">
        <v>37</v>
      </c>
      <c r="M6884">
        <v>0</v>
      </c>
    </row>
    <row r="6885" spans="11:13" x14ac:dyDescent="0.2">
      <c r="K6885" t="s">
        <v>42</v>
      </c>
      <c r="L6885" t="s">
        <v>38</v>
      </c>
      <c r="M6885">
        <v>0</v>
      </c>
    </row>
    <row r="6886" spans="11:13" x14ac:dyDescent="0.2">
      <c r="K6886" t="s">
        <v>41</v>
      </c>
      <c r="L6886" t="s">
        <v>37</v>
      </c>
      <c r="M6886">
        <v>0</v>
      </c>
    </row>
    <row r="6887" spans="11:13" x14ac:dyDescent="0.2">
      <c r="K6887" t="s">
        <v>41</v>
      </c>
      <c r="L6887" t="s">
        <v>37</v>
      </c>
      <c r="M6887">
        <v>0</v>
      </c>
    </row>
    <row r="6888" spans="11:13" x14ac:dyDescent="0.2">
      <c r="K6888" t="s">
        <v>42</v>
      </c>
      <c r="L6888" t="s">
        <v>38</v>
      </c>
      <c r="M6888">
        <v>0</v>
      </c>
    </row>
    <row r="6889" spans="11:13" x14ac:dyDescent="0.2">
      <c r="K6889" t="s">
        <v>42</v>
      </c>
      <c r="L6889" t="s">
        <v>38</v>
      </c>
      <c r="M6889">
        <v>0</v>
      </c>
    </row>
    <row r="6890" spans="11:13" x14ac:dyDescent="0.2">
      <c r="K6890" t="s">
        <v>41</v>
      </c>
      <c r="L6890" t="s">
        <v>37</v>
      </c>
      <c r="M6890">
        <v>0</v>
      </c>
    </row>
    <row r="6891" spans="11:13" x14ac:dyDescent="0.2">
      <c r="K6891" t="s">
        <v>42</v>
      </c>
      <c r="L6891" t="s">
        <v>38</v>
      </c>
      <c r="M6891">
        <v>0</v>
      </c>
    </row>
    <row r="6892" spans="11:13" x14ac:dyDescent="0.2">
      <c r="K6892" t="s">
        <v>42</v>
      </c>
      <c r="L6892" t="s">
        <v>38</v>
      </c>
      <c r="M6892">
        <v>1</v>
      </c>
    </row>
    <row r="6893" spans="11:13" x14ac:dyDescent="0.2">
      <c r="K6893" t="s">
        <v>42</v>
      </c>
      <c r="L6893" t="s">
        <v>38</v>
      </c>
      <c r="M6893">
        <v>0</v>
      </c>
    </row>
    <row r="6894" spans="11:13" x14ac:dyDescent="0.2">
      <c r="K6894" t="s">
        <v>41</v>
      </c>
      <c r="L6894" t="s">
        <v>37</v>
      </c>
      <c r="M6894">
        <v>0</v>
      </c>
    </row>
    <row r="6895" spans="11:13" x14ac:dyDescent="0.2">
      <c r="K6895" t="s">
        <v>41</v>
      </c>
      <c r="L6895" t="s">
        <v>37</v>
      </c>
      <c r="M6895">
        <v>0</v>
      </c>
    </row>
    <row r="6896" spans="11:13" x14ac:dyDescent="0.2">
      <c r="K6896" t="s">
        <v>42</v>
      </c>
      <c r="L6896" t="s">
        <v>38</v>
      </c>
      <c r="M6896">
        <v>1</v>
      </c>
    </row>
    <row r="6897" spans="11:13" x14ac:dyDescent="0.2">
      <c r="K6897" t="s">
        <v>41</v>
      </c>
      <c r="L6897" t="s">
        <v>37</v>
      </c>
      <c r="M6897">
        <v>0</v>
      </c>
    </row>
    <row r="6898" spans="11:13" x14ac:dyDescent="0.2">
      <c r="K6898" t="s">
        <v>42</v>
      </c>
      <c r="L6898" t="s">
        <v>38</v>
      </c>
      <c r="M6898">
        <v>0</v>
      </c>
    </row>
    <row r="6899" spans="11:13" x14ac:dyDescent="0.2">
      <c r="K6899" t="s">
        <v>41</v>
      </c>
      <c r="L6899" t="s">
        <v>37</v>
      </c>
      <c r="M6899">
        <v>0</v>
      </c>
    </row>
    <row r="6900" spans="11:13" x14ac:dyDescent="0.2">
      <c r="K6900" t="s">
        <v>41</v>
      </c>
      <c r="L6900" t="s">
        <v>37</v>
      </c>
      <c r="M6900">
        <v>0</v>
      </c>
    </row>
    <row r="6901" spans="11:13" x14ac:dyDescent="0.2">
      <c r="K6901" t="s">
        <v>41</v>
      </c>
      <c r="L6901" t="s">
        <v>37</v>
      </c>
      <c r="M6901">
        <v>0</v>
      </c>
    </row>
    <row r="6902" spans="11:13" x14ac:dyDescent="0.2">
      <c r="K6902" t="s">
        <v>41</v>
      </c>
      <c r="L6902" t="s">
        <v>37</v>
      </c>
      <c r="M6902">
        <v>0</v>
      </c>
    </row>
    <row r="6903" spans="11:13" x14ac:dyDescent="0.2">
      <c r="K6903" t="s">
        <v>41</v>
      </c>
      <c r="L6903" t="s">
        <v>37</v>
      </c>
      <c r="M6903">
        <v>0</v>
      </c>
    </row>
    <row r="6904" spans="11:13" x14ac:dyDescent="0.2">
      <c r="K6904" t="s">
        <v>41</v>
      </c>
      <c r="L6904" t="s">
        <v>37</v>
      </c>
      <c r="M6904">
        <v>0</v>
      </c>
    </row>
    <row r="6905" spans="11:13" x14ac:dyDescent="0.2">
      <c r="K6905" t="s">
        <v>42</v>
      </c>
      <c r="L6905" t="s">
        <v>38</v>
      </c>
      <c r="M6905">
        <v>0</v>
      </c>
    </row>
    <row r="6906" spans="11:13" x14ac:dyDescent="0.2">
      <c r="K6906" t="s">
        <v>42</v>
      </c>
      <c r="L6906" t="s">
        <v>38</v>
      </c>
      <c r="M6906">
        <v>0</v>
      </c>
    </row>
    <row r="6907" spans="11:13" x14ac:dyDescent="0.2">
      <c r="K6907" t="s">
        <v>41</v>
      </c>
      <c r="L6907" t="s">
        <v>37</v>
      </c>
      <c r="M6907">
        <v>0</v>
      </c>
    </row>
    <row r="6908" spans="11:13" x14ac:dyDescent="0.2">
      <c r="K6908" t="s">
        <v>41</v>
      </c>
      <c r="L6908" t="s">
        <v>37</v>
      </c>
      <c r="M6908">
        <v>0</v>
      </c>
    </row>
    <row r="6909" spans="11:13" x14ac:dyDescent="0.2">
      <c r="K6909" t="s">
        <v>41</v>
      </c>
      <c r="L6909" t="s">
        <v>37</v>
      </c>
      <c r="M6909">
        <v>0</v>
      </c>
    </row>
    <row r="6910" spans="11:13" x14ac:dyDescent="0.2">
      <c r="K6910" t="s">
        <v>42</v>
      </c>
      <c r="L6910" t="s">
        <v>38</v>
      </c>
      <c r="M6910">
        <v>0</v>
      </c>
    </row>
    <row r="6911" spans="11:13" x14ac:dyDescent="0.2">
      <c r="K6911" t="s">
        <v>41</v>
      </c>
      <c r="L6911" t="s">
        <v>37</v>
      </c>
      <c r="M6911">
        <v>0</v>
      </c>
    </row>
    <row r="6912" spans="11:13" x14ac:dyDescent="0.2">
      <c r="K6912" t="s">
        <v>42</v>
      </c>
      <c r="L6912" t="s">
        <v>38</v>
      </c>
      <c r="M6912">
        <v>0</v>
      </c>
    </row>
    <row r="6913" spans="11:13" x14ac:dyDescent="0.2">
      <c r="K6913" t="s">
        <v>42</v>
      </c>
      <c r="L6913" t="s">
        <v>38</v>
      </c>
      <c r="M6913">
        <v>0</v>
      </c>
    </row>
    <row r="6914" spans="11:13" x14ac:dyDescent="0.2">
      <c r="K6914" t="s">
        <v>42</v>
      </c>
      <c r="L6914" t="s">
        <v>38</v>
      </c>
      <c r="M6914">
        <v>0</v>
      </c>
    </row>
    <row r="6915" spans="11:13" x14ac:dyDescent="0.2">
      <c r="K6915" t="s">
        <v>41</v>
      </c>
      <c r="L6915" t="s">
        <v>37</v>
      </c>
      <c r="M6915">
        <v>0</v>
      </c>
    </row>
    <row r="6916" spans="11:13" x14ac:dyDescent="0.2">
      <c r="K6916" t="s">
        <v>42</v>
      </c>
      <c r="L6916" t="s">
        <v>38</v>
      </c>
      <c r="M6916">
        <v>0</v>
      </c>
    </row>
    <row r="6917" spans="11:13" x14ac:dyDescent="0.2">
      <c r="K6917" t="s">
        <v>41</v>
      </c>
      <c r="L6917" t="s">
        <v>37</v>
      </c>
      <c r="M6917">
        <v>0</v>
      </c>
    </row>
    <row r="6918" spans="11:13" x14ac:dyDescent="0.2">
      <c r="K6918" t="s">
        <v>42</v>
      </c>
      <c r="L6918" t="s">
        <v>38</v>
      </c>
      <c r="M6918">
        <v>0</v>
      </c>
    </row>
    <row r="6919" spans="11:13" x14ac:dyDescent="0.2">
      <c r="K6919" t="s">
        <v>42</v>
      </c>
      <c r="L6919" t="s">
        <v>38</v>
      </c>
      <c r="M6919">
        <v>0</v>
      </c>
    </row>
    <row r="6920" spans="11:13" x14ac:dyDescent="0.2">
      <c r="K6920" t="s">
        <v>41</v>
      </c>
      <c r="L6920" t="s">
        <v>37</v>
      </c>
      <c r="M6920">
        <v>0</v>
      </c>
    </row>
    <row r="6921" spans="11:13" x14ac:dyDescent="0.2">
      <c r="K6921" t="s">
        <v>41</v>
      </c>
      <c r="L6921" t="s">
        <v>37</v>
      </c>
      <c r="M6921">
        <v>0</v>
      </c>
    </row>
    <row r="6922" spans="11:13" x14ac:dyDescent="0.2">
      <c r="K6922" t="s">
        <v>41</v>
      </c>
      <c r="L6922" t="s">
        <v>37</v>
      </c>
      <c r="M6922">
        <v>0</v>
      </c>
    </row>
    <row r="6923" spans="11:13" x14ac:dyDescent="0.2">
      <c r="K6923" t="s">
        <v>41</v>
      </c>
      <c r="L6923" t="s">
        <v>37</v>
      </c>
      <c r="M6923">
        <v>0</v>
      </c>
    </row>
    <row r="6924" spans="11:13" x14ac:dyDescent="0.2">
      <c r="K6924" t="s">
        <v>42</v>
      </c>
      <c r="L6924" t="s">
        <v>38</v>
      </c>
      <c r="M6924">
        <v>0</v>
      </c>
    </row>
    <row r="6925" spans="11:13" x14ac:dyDescent="0.2">
      <c r="K6925" t="s">
        <v>41</v>
      </c>
      <c r="L6925" t="s">
        <v>37</v>
      </c>
      <c r="M6925">
        <v>0</v>
      </c>
    </row>
    <row r="6926" spans="11:13" x14ac:dyDescent="0.2">
      <c r="K6926" t="s">
        <v>41</v>
      </c>
      <c r="L6926" t="s">
        <v>37</v>
      </c>
      <c r="M6926">
        <v>0</v>
      </c>
    </row>
    <row r="6927" spans="11:13" x14ac:dyDescent="0.2">
      <c r="K6927" t="s">
        <v>41</v>
      </c>
      <c r="L6927" t="s">
        <v>37</v>
      </c>
      <c r="M6927">
        <v>0</v>
      </c>
    </row>
    <row r="6928" spans="11:13" x14ac:dyDescent="0.2">
      <c r="K6928" t="s">
        <v>42</v>
      </c>
      <c r="L6928" t="s">
        <v>38</v>
      </c>
      <c r="M6928">
        <v>0</v>
      </c>
    </row>
    <row r="6929" spans="11:13" x14ac:dyDescent="0.2">
      <c r="K6929" t="s">
        <v>41</v>
      </c>
      <c r="L6929" t="s">
        <v>37</v>
      </c>
      <c r="M6929">
        <v>0</v>
      </c>
    </row>
    <row r="6930" spans="11:13" x14ac:dyDescent="0.2">
      <c r="K6930" t="s">
        <v>41</v>
      </c>
      <c r="L6930" t="s">
        <v>37</v>
      </c>
      <c r="M6930">
        <v>0</v>
      </c>
    </row>
    <row r="6931" spans="11:13" x14ac:dyDescent="0.2">
      <c r="K6931" t="s">
        <v>41</v>
      </c>
      <c r="L6931" t="s">
        <v>37</v>
      </c>
      <c r="M6931">
        <v>1</v>
      </c>
    </row>
    <row r="6932" spans="11:13" x14ac:dyDescent="0.2">
      <c r="K6932" t="s">
        <v>42</v>
      </c>
      <c r="L6932" t="s">
        <v>38</v>
      </c>
      <c r="M6932">
        <v>0</v>
      </c>
    </row>
    <row r="6933" spans="11:13" x14ac:dyDescent="0.2">
      <c r="K6933" t="s">
        <v>41</v>
      </c>
      <c r="L6933" t="s">
        <v>37</v>
      </c>
      <c r="M6933">
        <v>0</v>
      </c>
    </row>
    <row r="6934" spans="11:13" x14ac:dyDescent="0.2">
      <c r="K6934" t="s">
        <v>41</v>
      </c>
      <c r="L6934" t="s">
        <v>37</v>
      </c>
      <c r="M6934">
        <v>0</v>
      </c>
    </row>
    <row r="6935" spans="11:13" x14ac:dyDescent="0.2">
      <c r="K6935" t="s">
        <v>41</v>
      </c>
      <c r="L6935" t="s">
        <v>37</v>
      </c>
      <c r="M6935">
        <v>0</v>
      </c>
    </row>
    <row r="6936" spans="11:13" x14ac:dyDescent="0.2">
      <c r="K6936" t="s">
        <v>41</v>
      </c>
      <c r="L6936" t="s">
        <v>37</v>
      </c>
      <c r="M6936">
        <v>0</v>
      </c>
    </row>
    <row r="6937" spans="11:13" x14ac:dyDescent="0.2">
      <c r="K6937" t="s">
        <v>42</v>
      </c>
      <c r="L6937" t="s">
        <v>38</v>
      </c>
      <c r="M6937">
        <v>0</v>
      </c>
    </row>
    <row r="6938" spans="11:13" x14ac:dyDescent="0.2">
      <c r="K6938" t="s">
        <v>42</v>
      </c>
      <c r="L6938" t="s">
        <v>38</v>
      </c>
      <c r="M6938">
        <v>0</v>
      </c>
    </row>
    <row r="6939" spans="11:13" x14ac:dyDescent="0.2">
      <c r="K6939" t="s">
        <v>42</v>
      </c>
      <c r="L6939" t="s">
        <v>38</v>
      </c>
      <c r="M6939">
        <v>0</v>
      </c>
    </row>
    <row r="6940" spans="11:13" x14ac:dyDescent="0.2">
      <c r="K6940" t="s">
        <v>42</v>
      </c>
      <c r="L6940" t="s">
        <v>38</v>
      </c>
      <c r="M6940">
        <v>0</v>
      </c>
    </row>
    <row r="6941" spans="11:13" x14ac:dyDescent="0.2">
      <c r="K6941" t="s">
        <v>42</v>
      </c>
      <c r="L6941" t="s">
        <v>38</v>
      </c>
      <c r="M6941">
        <v>0</v>
      </c>
    </row>
    <row r="6942" spans="11:13" x14ac:dyDescent="0.2">
      <c r="K6942" t="s">
        <v>42</v>
      </c>
      <c r="L6942" t="s">
        <v>38</v>
      </c>
      <c r="M6942">
        <v>0</v>
      </c>
    </row>
    <row r="6943" spans="11:13" x14ac:dyDescent="0.2">
      <c r="K6943" t="s">
        <v>42</v>
      </c>
      <c r="L6943" t="s">
        <v>38</v>
      </c>
      <c r="M6943">
        <v>0</v>
      </c>
    </row>
    <row r="6944" spans="11:13" x14ac:dyDescent="0.2">
      <c r="K6944" t="s">
        <v>41</v>
      </c>
      <c r="L6944" t="s">
        <v>37</v>
      </c>
      <c r="M6944">
        <v>0</v>
      </c>
    </row>
    <row r="6945" spans="11:13" x14ac:dyDescent="0.2">
      <c r="K6945" t="s">
        <v>42</v>
      </c>
      <c r="L6945" t="s">
        <v>38</v>
      </c>
      <c r="M6945">
        <v>0</v>
      </c>
    </row>
    <row r="6946" spans="11:13" x14ac:dyDescent="0.2">
      <c r="K6946" t="s">
        <v>41</v>
      </c>
      <c r="L6946" t="s">
        <v>37</v>
      </c>
      <c r="M6946">
        <v>0</v>
      </c>
    </row>
    <row r="6947" spans="11:13" x14ac:dyDescent="0.2">
      <c r="K6947" t="s">
        <v>41</v>
      </c>
      <c r="L6947" t="s">
        <v>37</v>
      </c>
      <c r="M6947">
        <v>0</v>
      </c>
    </row>
    <row r="6948" spans="11:13" x14ac:dyDescent="0.2">
      <c r="K6948" t="s">
        <v>42</v>
      </c>
      <c r="L6948" t="s">
        <v>38</v>
      </c>
      <c r="M6948">
        <v>0</v>
      </c>
    </row>
    <row r="6949" spans="11:13" x14ac:dyDescent="0.2">
      <c r="K6949" t="s">
        <v>42</v>
      </c>
      <c r="L6949" t="s">
        <v>38</v>
      </c>
      <c r="M6949">
        <v>0</v>
      </c>
    </row>
    <row r="6950" spans="11:13" x14ac:dyDescent="0.2">
      <c r="K6950" t="s">
        <v>41</v>
      </c>
      <c r="L6950" t="s">
        <v>37</v>
      </c>
      <c r="M6950">
        <v>0</v>
      </c>
    </row>
    <row r="6951" spans="11:13" x14ac:dyDescent="0.2">
      <c r="K6951" t="s">
        <v>41</v>
      </c>
      <c r="L6951" t="s">
        <v>37</v>
      </c>
      <c r="M6951">
        <v>0</v>
      </c>
    </row>
    <row r="6952" spans="11:13" x14ac:dyDescent="0.2">
      <c r="K6952" t="s">
        <v>42</v>
      </c>
      <c r="L6952" t="s">
        <v>38</v>
      </c>
      <c r="M6952">
        <v>0</v>
      </c>
    </row>
    <row r="6953" spans="11:13" x14ac:dyDescent="0.2">
      <c r="K6953" t="s">
        <v>42</v>
      </c>
      <c r="L6953" t="s">
        <v>38</v>
      </c>
      <c r="M6953">
        <v>0</v>
      </c>
    </row>
    <row r="6954" spans="11:13" x14ac:dyDescent="0.2">
      <c r="K6954" t="s">
        <v>41</v>
      </c>
      <c r="L6954" t="s">
        <v>37</v>
      </c>
      <c r="M6954">
        <v>0</v>
      </c>
    </row>
    <row r="6955" spans="11:13" x14ac:dyDescent="0.2">
      <c r="K6955" t="s">
        <v>41</v>
      </c>
      <c r="L6955" t="s">
        <v>37</v>
      </c>
      <c r="M6955">
        <v>1</v>
      </c>
    </row>
    <row r="6956" spans="11:13" x14ac:dyDescent="0.2">
      <c r="K6956" t="s">
        <v>41</v>
      </c>
      <c r="L6956" t="s">
        <v>37</v>
      </c>
      <c r="M6956">
        <v>0</v>
      </c>
    </row>
    <row r="6957" spans="11:13" x14ac:dyDescent="0.2">
      <c r="K6957" t="s">
        <v>42</v>
      </c>
      <c r="L6957" t="s">
        <v>38</v>
      </c>
      <c r="M6957">
        <v>0</v>
      </c>
    </row>
    <row r="6958" spans="11:13" x14ac:dyDescent="0.2">
      <c r="K6958" t="s">
        <v>41</v>
      </c>
      <c r="L6958" t="s">
        <v>37</v>
      </c>
      <c r="M6958">
        <v>0</v>
      </c>
    </row>
    <row r="6959" spans="11:13" x14ac:dyDescent="0.2">
      <c r="K6959" t="s">
        <v>41</v>
      </c>
      <c r="L6959" t="s">
        <v>37</v>
      </c>
      <c r="M6959">
        <v>0</v>
      </c>
    </row>
    <row r="6960" spans="11:13" x14ac:dyDescent="0.2">
      <c r="K6960" t="s">
        <v>41</v>
      </c>
      <c r="L6960" t="s">
        <v>37</v>
      </c>
      <c r="M6960">
        <v>0</v>
      </c>
    </row>
    <row r="6961" spans="11:13" x14ac:dyDescent="0.2">
      <c r="K6961" t="s">
        <v>41</v>
      </c>
      <c r="L6961" t="s">
        <v>37</v>
      </c>
      <c r="M6961">
        <v>0</v>
      </c>
    </row>
    <row r="6962" spans="11:13" x14ac:dyDescent="0.2">
      <c r="K6962" t="s">
        <v>41</v>
      </c>
      <c r="L6962" t="s">
        <v>37</v>
      </c>
      <c r="M6962">
        <v>0</v>
      </c>
    </row>
    <row r="6963" spans="11:13" x14ac:dyDescent="0.2">
      <c r="K6963" t="s">
        <v>42</v>
      </c>
      <c r="L6963" t="s">
        <v>38</v>
      </c>
      <c r="M6963">
        <v>0</v>
      </c>
    </row>
    <row r="6964" spans="11:13" x14ac:dyDescent="0.2">
      <c r="K6964" t="s">
        <v>41</v>
      </c>
      <c r="L6964" t="s">
        <v>37</v>
      </c>
      <c r="M6964">
        <v>0</v>
      </c>
    </row>
    <row r="6965" spans="11:13" x14ac:dyDescent="0.2">
      <c r="K6965" t="s">
        <v>41</v>
      </c>
      <c r="L6965" t="s">
        <v>37</v>
      </c>
      <c r="M6965">
        <v>0</v>
      </c>
    </row>
    <row r="6966" spans="11:13" x14ac:dyDescent="0.2">
      <c r="K6966" t="s">
        <v>41</v>
      </c>
      <c r="L6966" t="s">
        <v>37</v>
      </c>
      <c r="M6966">
        <v>0</v>
      </c>
    </row>
    <row r="6967" spans="11:13" x14ac:dyDescent="0.2">
      <c r="K6967" t="s">
        <v>41</v>
      </c>
      <c r="L6967" t="s">
        <v>37</v>
      </c>
      <c r="M6967">
        <v>0</v>
      </c>
    </row>
    <row r="6968" spans="11:13" x14ac:dyDescent="0.2">
      <c r="K6968" t="s">
        <v>42</v>
      </c>
      <c r="L6968" t="s">
        <v>38</v>
      </c>
      <c r="M6968">
        <v>0</v>
      </c>
    </row>
    <row r="6969" spans="11:13" x14ac:dyDescent="0.2">
      <c r="K6969" t="s">
        <v>41</v>
      </c>
      <c r="L6969" t="s">
        <v>37</v>
      </c>
      <c r="M6969">
        <v>0</v>
      </c>
    </row>
    <row r="6970" spans="11:13" x14ac:dyDescent="0.2">
      <c r="K6970" t="s">
        <v>42</v>
      </c>
      <c r="L6970" t="s">
        <v>38</v>
      </c>
      <c r="M6970">
        <v>0</v>
      </c>
    </row>
    <row r="6971" spans="11:13" x14ac:dyDescent="0.2">
      <c r="K6971" t="s">
        <v>41</v>
      </c>
      <c r="L6971" t="s">
        <v>37</v>
      </c>
      <c r="M6971">
        <v>0</v>
      </c>
    </row>
    <row r="6972" spans="11:13" x14ac:dyDescent="0.2">
      <c r="K6972" t="s">
        <v>42</v>
      </c>
      <c r="L6972" t="s">
        <v>38</v>
      </c>
      <c r="M6972">
        <v>0</v>
      </c>
    </row>
    <row r="6973" spans="11:13" x14ac:dyDescent="0.2">
      <c r="K6973" t="s">
        <v>42</v>
      </c>
      <c r="L6973" t="s">
        <v>38</v>
      </c>
      <c r="M6973">
        <v>0</v>
      </c>
    </row>
    <row r="6974" spans="11:13" x14ac:dyDescent="0.2">
      <c r="K6974" t="s">
        <v>42</v>
      </c>
      <c r="L6974" t="s">
        <v>38</v>
      </c>
      <c r="M6974">
        <v>0</v>
      </c>
    </row>
    <row r="6975" spans="11:13" x14ac:dyDescent="0.2">
      <c r="K6975" t="s">
        <v>41</v>
      </c>
      <c r="L6975" t="s">
        <v>37</v>
      </c>
      <c r="M6975">
        <v>0</v>
      </c>
    </row>
    <row r="6976" spans="11:13" x14ac:dyDescent="0.2">
      <c r="K6976" t="s">
        <v>41</v>
      </c>
      <c r="L6976" t="s">
        <v>37</v>
      </c>
      <c r="M6976">
        <v>0</v>
      </c>
    </row>
    <row r="6977" spans="11:13" x14ac:dyDescent="0.2">
      <c r="K6977" t="s">
        <v>42</v>
      </c>
      <c r="L6977" t="s">
        <v>38</v>
      </c>
      <c r="M6977">
        <v>0</v>
      </c>
    </row>
    <row r="6978" spans="11:13" x14ac:dyDescent="0.2">
      <c r="K6978" t="s">
        <v>42</v>
      </c>
      <c r="L6978" t="s">
        <v>38</v>
      </c>
      <c r="M6978">
        <v>0</v>
      </c>
    </row>
    <row r="6979" spans="11:13" x14ac:dyDescent="0.2">
      <c r="K6979" t="s">
        <v>41</v>
      </c>
      <c r="L6979" t="s">
        <v>37</v>
      </c>
      <c r="M6979">
        <v>0</v>
      </c>
    </row>
    <row r="6980" spans="11:13" x14ac:dyDescent="0.2">
      <c r="K6980" t="s">
        <v>41</v>
      </c>
      <c r="L6980" t="s">
        <v>37</v>
      </c>
      <c r="M6980">
        <v>0</v>
      </c>
    </row>
    <row r="6981" spans="11:13" x14ac:dyDescent="0.2">
      <c r="K6981" t="s">
        <v>41</v>
      </c>
      <c r="L6981" t="s">
        <v>37</v>
      </c>
      <c r="M6981">
        <v>0</v>
      </c>
    </row>
    <row r="6982" spans="11:13" x14ac:dyDescent="0.2">
      <c r="K6982" t="s">
        <v>41</v>
      </c>
      <c r="L6982" t="s">
        <v>37</v>
      </c>
      <c r="M6982">
        <v>0</v>
      </c>
    </row>
    <row r="6983" spans="11:13" x14ac:dyDescent="0.2">
      <c r="K6983" t="s">
        <v>41</v>
      </c>
      <c r="L6983" t="s">
        <v>37</v>
      </c>
      <c r="M6983">
        <v>0</v>
      </c>
    </row>
    <row r="6984" spans="11:13" x14ac:dyDescent="0.2">
      <c r="K6984" t="s">
        <v>41</v>
      </c>
      <c r="L6984" t="s">
        <v>37</v>
      </c>
      <c r="M6984">
        <v>0</v>
      </c>
    </row>
    <row r="6985" spans="11:13" x14ac:dyDescent="0.2">
      <c r="K6985" t="s">
        <v>42</v>
      </c>
      <c r="L6985" t="s">
        <v>38</v>
      </c>
      <c r="M6985">
        <v>0</v>
      </c>
    </row>
    <row r="6986" spans="11:13" x14ac:dyDescent="0.2">
      <c r="K6986" t="s">
        <v>42</v>
      </c>
      <c r="L6986" t="s">
        <v>38</v>
      </c>
      <c r="M6986">
        <v>0</v>
      </c>
    </row>
    <row r="6987" spans="11:13" x14ac:dyDescent="0.2">
      <c r="K6987" t="s">
        <v>42</v>
      </c>
      <c r="L6987" t="s">
        <v>38</v>
      </c>
      <c r="M6987">
        <v>0</v>
      </c>
    </row>
    <row r="6988" spans="11:13" x14ac:dyDescent="0.2">
      <c r="K6988" t="s">
        <v>42</v>
      </c>
      <c r="L6988" t="s">
        <v>38</v>
      </c>
      <c r="M6988">
        <v>0</v>
      </c>
    </row>
    <row r="6989" spans="11:13" x14ac:dyDescent="0.2">
      <c r="K6989" t="s">
        <v>42</v>
      </c>
      <c r="L6989" t="s">
        <v>38</v>
      </c>
      <c r="M6989">
        <v>0</v>
      </c>
    </row>
    <row r="6990" spans="11:13" x14ac:dyDescent="0.2">
      <c r="K6990" t="s">
        <v>41</v>
      </c>
      <c r="L6990" t="s">
        <v>37</v>
      </c>
      <c r="M6990">
        <v>0</v>
      </c>
    </row>
    <row r="6991" spans="11:13" x14ac:dyDescent="0.2">
      <c r="K6991" t="s">
        <v>42</v>
      </c>
      <c r="L6991" t="s">
        <v>38</v>
      </c>
      <c r="M6991">
        <v>0</v>
      </c>
    </row>
    <row r="6992" spans="11:13" x14ac:dyDescent="0.2">
      <c r="K6992" t="s">
        <v>42</v>
      </c>
      <c r="L6992" t="s">
        <v>38</v>
      </c>
      <c r="M6992">
        <v>0</v>
      </c>
    </row>
    <row r="6993" spans="11:13" x14ac:dyDescent="0.2">
      <c r="K6993" t="s">
        <v>42</v>
      </c>
      <c r="L6993" t="s">
        <v>38</v>
      </c>
      <c r="M6993">
        <v>0</v>
      </c>
    </row>
    <row r="6994" spans="11:13" x14ac:dyDescent="0.2">
      <c r="K6994" t="s">
        <v>42</v>
      </c>
      <c r="L6994" t="s">
        <v>38</v>
      </c>
      <c r="M6994">
        <v>0</v>
      </c>
    </row>
    <row r="6995" spans="11:13" x14ac:dyDescent="0.2">
      <c r="K6995" t="s">
        <v>41</v>
      </c>
      <c r="L6995" t="s">
        <v>37</v>
      </c>
      <c r="M6995">
        <v>0</v>
      </c>
    </row>
    <row r="6996" spans="11:13" x14ac:dyDescent="0.2">
      <c r="K6996" t="s">
        <v>41</v>
      </c>
      <c r="L6996" t="s">
        <v>37</v>
      </c>
      <c r="M6996">
        <v>0</v>
      </c>
    </row>
    <row r="6997" spans="11:13" x14ac:dyDescent="0.2">
      <c r="K6997" t="s">
        <v>42</v>
      </c>
      <c r="L6997" t="s">
        <v>38</v>
      </c>
      <c r="M6997">
        <v>0</v>
      </c>
    </row>
    <row r="6998" spans="11:13" x14ac:dyDescent="0.2">
      <c r="K6998" t="s">
        <v>42</v>
      </c>
      <c r="L6998" t="s">
        <v>38</v>
      </c>
      <c r="M6998">
        <v>0</v>
      </c>
    </row>
    <row r="6999" spans="11:13" x14ac:dyDescent="0.2">
      <c r="K6999" t="s">
        <v>42</v>
      </c>
      <c r="L6999" t="s">
        <v>38</v>
      </c>
      <c r="M6999">
        <v>0</v>
      </c>
    </row>
    <row r="7000" spans="11:13" x14ac:dyDescent="0.2">
      <c r="K7000" t="s">
        <v>42</v>
      </c>
      <c r="L7000" t="s">
        <v>38</v>
      </c>
      <c r="M7000">
        <v>0</v>
      </c>
    </row>
    <row r="7001" spans="11:13" x14ac:dyDescent="0.2">
      <c r="K7001" t="s">
        <v>42</v>
      </c>
      <c r="L7001" t="s">
        <v>38</v>
      </c>
      <c r="M7001">
        <v>0</v>
      </c>
    </row>
    <row r="7002" spans="11:13" x14ac:dyDescent="0.2">
      <c r="K7002" t="s">
        <v>41</v>
      </c>
      <c r="L7002" t="s">
        <v>37</v>
      </c>
      <c r="M7002">
        <v>0</v>
      </c>
    </row>
    <row r="7003" spans="11:13" x14ac:dyDescent="0.2">
      <c r="K7003" t="s">
        <v>42</v>
      </c>
      <c r="L7003" t="s">
        <v>38</v>
      </c>
      <c r="M7003">
        <v>0</v>
      </c>
    </row>
    <row r="7004" spans="11:13" x14ac:dyDescent="0.2">
      <c r="K7004" t="s">
        <v>41</v>
      </c>
      <c r="L7004" t="s">
        <v>37</v>
      </c>
      <c r="M7004">
        <v>0</v>
      </c>
    </row>
    <row r="7005" spans="11:13" x14ac:dyDescent="0.2">
      <c r="K7005" t="s">
        <v>42</v>
      </c>
      <c r="L7005" t="s">
        <v>38</v>
      </c>
      <c r="M7005">
        <v>0</v>
      </c>
    </row>
    <row r="7006" spans="11:13" x14ac:dyDescent="0.2">
      <c r="K7006" t="s">
        <v>42</v>
      </c>
      <c r="L7006" t="s">
        <v>38</v>
      </c>
      <c r="M7006">
        <v>0</v>
      </c>
    </row>
    <row r="7007" spans="11:13" x14ac:dyDescent="0.2">
      <c r="K7007" t="s">
        <v>42</v>
      </c>
      <c r="L7007" t="s">
        <v>38</v>
      </c>
      <c r="M7007">
        <v>0</v>
      </c>
    </row>
    <row r="7008" spans="11:13" x14ac:dyDescent="0.2">
      <c r="K7008" t="s">
        <v>42</v>
      </c>
      <c r="L7008" t="s">
        <v>38</v>
      </c>
      <c r="M7008">
        <v>0</v>
      </c>
    </row>
    <row r="7009" spans="11:13" x14ac:dyDescent="0.2">
      <c r="K7009" t="s">
        <v>41</v>
      </c>
      <c r="L7009" t="s">
        <v>37</v>
      </c>
      <c r="M7009">
        <v>0</v>
      </c>
    </row>
    <row r="7010" spans="11:13" x14ac:dyDescent="0.2">
      <c r="K7010" t="s">
        <v>42</v>
      </c>
      <c r="L7010" t="s">
        <v>38</v>
      </c>
      <c r="M7010">
        <v>0</v>
      </c>
    </row>
    <row r="7011" spans="11:13" x14ac:dyDescent="0.2">
      <c r="K7011" t="s">
        <v>41</v>
      </c>
      <c r="L7011" t="s">
        <v>37</v>
      </c>
      <c r="M7011">
        <v>0</v>
      </c>
    </row>
    <row r="7012" spans="11:13" x14ac:dyDescent="0.2">
      <c r="K7012" t="s">
        <v>41</v>
      </c>
      <c r="L7012" t="s">
        <v>37</v>
      </c>
      <c r="M7012">
        <v>0</v>
      </c>
    </row>
    <row r="7013" spans="11:13" x14ac:dyDescent="0.2">
      <c r="K7013" t="s">
        <v>42</v>
      </c>
      <c r="L7013" t="s">
        <v>38</v>
      </c>
      <c r="M7013">
        <v>0</v>
      </c>
    </row>
    <row r="7014" spans="11:13" x14ac:dyDescent="0.2">
      <c r="K7014" t="s">
        <v>41</v>
      </c>
      <c r="L7014" t="s">
        <v>37</v>
      </c>
      <c r="M7014">
        <v>0</v>
      </c>
    </row>
    <row r="7015" spans="11:13" x14ac:dyDescent="0.2">
      <c r="K7015" t="s">
        <v>41</v>
      </c>
      <c r="L7015" t="s">
        <v>37</v>
      </c>
      <c r="M7015">
        <v>0</v>
      </c>
    </row>
    <row r="7016" spans="11:13" x14ac:dyDescent="0.2">
      <c r="K7016" t="s">
        <v>42</v>
      </c>
      <c r="L7016" t="s">
        <v>38</v>
      </c>
      <c r="M7016">
        <v>0</v>
      </c>
    </row>
    <row r="7017" spans="11:13" x14ac:dyDescent="0.2">
      <c r="K7017" t="s">
        <v>42</v>
      </c>
      <c r="L7017" t="s">
        <v>38</v>
      </c>
      <c r="M7017">
        <v>0</v>
      </c>
    </row>
    <row r="7018" spans="11:13" x14ac:dyDescent="0.2">
      <c r="K7018" t="s">
        <v>41</v>
      </c>
      <c r="L7018" t="s">
        <v>37</v>
      </c>
      <c r="M7018">
        <v>0</v>
      </c>
    </row>
    <row r="7019" spans="11:13" x14ac:dyDescent="0.2">
      <c r="K7019" t="s">
        <v>41</v>
      </c>
      <c r="L7019" t="s">
        <v>37</v>
      </c>
      <c r="M7019">
        <v>0</v>
      </c>
    </row>
    <row r="7020" spans="11:13" x14ac:dyDescent="0.2">
      <c r="K7020" t="s">
        <v>41</v>
      </c>
      <c r="L7020" t="s">
        <v>37</v>
      </c>
      <c r="M7020">
        <v>0</v>
      </c>
    </row>
    <row r="7021" spans="11:13" x14ac:dyDescent="0.2">
      <c r="K7021" t="s">
        <v>41</v>
      </c>
      <c r="L7021" t="s">
        <v>37</v>
      </c>
      <c r="M7021">
        <v>0</v>
      </c>
    </row>
    <row r="7022" spans="11:13" x14ac:dyDescent="0.2">
      <c r="K7022" t="s">
        <v>41</v>
      </c>
      <c r="L7022" t="s">
        <v>37</v>
      </c>
      <c r="M7022">
        <v>0</v>
      </c>
    </row>
    <row r="7023" spans="11:13" x14ac:dyDescent="0.2">
      <c r="K7023" t="s">
        <v>41</v>
      </c>
      <c r="L7023" t="s">
        <v>37</v>
      </c>
      <c r="M7023">
        <v>0</v>
      </c>
    </row>
    <row r="7024" spans="11:13" x14ac:dyDescent="0.2">
      <c r="K7024" t="s">
        <v>42</v>
      </c>
      <c r="L7024" t="s">
        <v>38</v>
      </c>
      <c r="M7024">
        <v>0</v>
      </c>
    </row>
    <row r="7025" spans="11:13" x14ac:dyDescent="0.2">
      <c r="K7025" t="s">
        <v>41</v>
      </c>
      <c r="L7025" t="s">
        <v>37</v>
      </c>
      <c r="M7025">
        <v>0</v>
      </c>
    </row>
    <row r="7026" spans="11:13" x14ac:dyDescent="0.2">
      <c r="K7026" t="s">
        <v>41</v>
      </c>
      <c r="L7026" t="s">
        <v>37</v>
      </c>
      <c r="M7026">
        <v>0</v>
      </c>
    </row>
    <row r="7027" spans="11:13" x14ac:dyDescent="0.2">
      <c r="K7027" t="s">
        <v>41</v>
      </c>
      <c r="L7027" t="s">
        <v>37</v>
      </c>
      <c r="M7027">
        <v>0</v>
      </c>
    </row>
    <row r="7028" spans="11:13" x14ac:dyDescent="0.2">
      <c r="K7028" t="s">
        <v>42</v>
      </c>
      <c r="L7028" t="s">
        <v>38</v>
      </c>
      <c r="M7028">
        <v>0</v>
      </c>
    </row>
    <row r="7029" spans="11:13" x14ac:dyDescent="0.2">
      <c r="K7029" t="s">
        <v>42</v>
      </c>
      <c r="L7029" t="s">
        <v>38</v>
      </c>
      <c r="M7029">
        <v>0</v>
      </c>
    </row>
    <row r="7030" spans="11:13" x14ac:dyDescent="0.2">
      <c r="K7030" t="s">
        <v>41</v>
      </c>
      <c r="L7030" t="s">
        <v>37</v>
      </c>
      <c r="M7030">
        <v>0</v>
      </c>
    </row>
    <row r="7031" spans="11:13" x14ac:dyDescent="0.2">
      <c r="K7031" t="s">
        <v>41</v>
      </c>
      <c r="L7031" t="s">
        <v>37</v>
      </c>
      <c r="M7031">
        <v>0</v>
      </c>
    </row>
    <row r="7032" spans="11:13" x14ac:dyDescent="0.2">
      <c r="K7032" t="s">
        <v>42</v>
      </c>
      <c r="L7032" t="s">
        <v>38</v>
      </c>
      <c r="M7032">
        <v>0</v>
      </c>
    </row>
    <row r="7033" spans="11:13" x14ac:dyDescent="0.2">
      <c r="K7033" t="s">
        <v>42</v>
      </c>
      <c r="L7033" t="s">
        <v>38</v>
      </c>
      <c r="M7033">
        <v>0</v>
      </c>
    </row>
    <row r="7034" spans="11:13" x14ac:dyDescent="0.2">
      <c r="K7034" t="s">
        <v>42</v>
      </c>
      <c r="L7034" t="s">
        <v>38</v>
      </c>
      <c r="M7034">
        <v>0</v>
      </c>
    </row>
    <row r="7035" spans="11:13" x14ac:dyDescent="0.2">
      <c r="K7035" t="s">
        <v>41</v>
      </c>
      <c r="L7035" t="s">
        <v>37</v>
      </c>
      <c r="M7035">
        <v>0</v>
      </c>
    </row>
    <row r="7036" spans="11:13" x14ac:dyDescent="0.2">
      <c r="K7036" t="s">
        <v>41</v>
      </c>
      <c r="L7036" t="s">
        <v>37</v>
      </c>
      <c r="M7036">
        <v>0</v>
      </c>
    </row>
    <row r="7037" spans="11:13" x14ac:dyDescent="0.2">
      <c r="K7037" t="s">
        <v>41</v>
      </c>
      <c r="L7037" t="s">
        <v>37</v>
      </c>
      <c r="M7037">
        <v>0</v>
      </c>
    </row>
    <row r="7038" spans="11:13" x14ac:dyDescent="0.2">
      <c r="K7038" t="s">
        <v>42</v>
      </c>
      <c r="L7038" t="s">
        <v>38</v>
      </c>
      <c r="M7038">
        <v>0</v>
      </c>
    </row>
    <row r="7039" spans="11:13" x14ac:dyDescent="0.2">
      <c r="K7039" t="s">
        <v>41</v>
      </c>
      <c r="L7039" t="s">
        <v>37</v>
      </c>
      <c r="M7039">
        <v>0</v>
      </c>
    </row>
    <row r="7040" spans="11:13" x14ac:dyDescent="0.2">
      <c r="K7040" t="s">
        <v>41</v>
      </c>
      <c r="L7040" t="s">
        <v>37</v>
      </c>
      <c r="M7040">
        <v>0</v>
      </c>
    </row>
    <row r="7041" spans="11:13" x14ac:dyDescent="0.2">
      <c r="K7041" t="s">
        <v>42</v>
      </c>
      <c r="L7041" t="s">
        <v>38</v>
      </c>
      <c r="M7041">
        <v>0</v>
      </c>
    </row>
    <row r="7042" spans="11:13" x14ac:dyDescent="0.2">
      <c r="K7042" t="s">
        <v>42</v>
      </c>
      <c r="L7042" t="s">
        <v>38</v>
      </c>
      <c r="M7042">
        <v>0</v>
      </c>
    </row>
    <row r="7043" spans="11:13" x14ac:dyDescent="0.2">
      <c r="K7043" t="s">
        <v>42</v>
      </c>
      <c r="L7043" t="s">
        <v>38</v>
      </c>
      <c r="M7043">
        <v>0</v>
      </c>
    </row>
    <row r="7044" spans="11:13" x14ac:dyDescent="0.2">
      <c r="K7044" t="s">
        <v>41</v>
      </c>
      <c r="L7044" t="s">
        <v>37</v>
      </c>
      <c r="M7044">
        <v>0</v>
      </c>
    </row>
    <row r="7045" spans="11:13" x14ac:dyDescent="0.2">
      <c r="K7045" t="s">
        <v>41</v>
      </c>
      <c r="L7045" t="s">
        <v>37</v>
      </c>
      <c r="M7045">
        <v>0</v>
      </c>
    </row>
    <row r="7046" spans="11:13" x14ac:dyDescent="0.2">
      <c r="K7046" t="s">
        <v>42</v>
      </c>
      <c r="L7046" t="s">
        <v>38</v>
      </c>
      <c r="M7046">
        <v>0</v>
      </c>
    </row>
    <row r="7047" spans="11:13" x14ac:dyDescent="0.2">
      <c r="K7047" t="s">
        <v>42</v>
      </c>
      <c r="L7047" t="s">
        <v>38</v>
      </c>
      <c r="M7047">
        <v>0</v>
      </c>
    </row>
    <row r="7048" spans="11:13" x14ac:dyDescent="0.2">
      <c r="K7048" t="s">
        <v>42</v>
      </c>
      <c r="L7048" t="s">
        <v>38</v>
      </c>
      <c r="M7048">
        <v>0</v>
      </c>
    </row>
    <row r="7049" spans="11:13" x14ac:dyDescent="0.2">
      <c r="K7049" t="s">
        <v>42</v>
      </c>
      <c r="L7049" t="s">
        <v>38</v>
      </c>
      <c r="M7049">
        <v>0</v>
      </c>
    </row>
    <row r="7050" spans="11:13" x14ac:dyDescent="0.2">
      <c r="K7050" t="s">
        <v>41</v>
      </c>
      <c r="L7050" t="s">
        <v>37</v>
      </c>
      <c r="M7050">
        <v>0</v>
      </c>
    </row>
    <row r="7051" spans="11:13" x14ac:dyDescent="0.2">
      <c r="K7051" t="s">
        <v>42</v>
      </c>
      <c r="L7051" t="s">
        <v>38</v>
      </c>
      <c r="M7051">
        <v>0</v>
      </c>
    </row>
    <row r="7052" spans="11:13" x14ac:dyDescent="0.2">
      <c r="K7052" t="s">
        <v>42</v>
      </c>
      <c r="L7052" t="s">
        <v>38</v>
      </c>
      <c r="M7052">
        <v>0</v>
      </c>
    </row>
    <row r="7053" spans="11:13" x14ac:dyDescent="0.2">
      <c r="K7053" t="s">
        <v>42</v>
      </c>
      <c r="L7053" t="s">
        <v>38</v>
      </c>
      <c r="M7053">
        <v>0</v>
      </c>
    </row>
    <row r="7054" spans="11:13" x14ac:dyDescent="0.2">
      <c r="K7054" t="s">
        <v>42</v>
      </c>
      <c r="L7054" t="s">
        <v>38</v>
      </c>
      <c r="M7054">
        <v>0</v>
      </c>
    </row>
    <row r="7055" spans="11:13" x14ac:dyDescent="0.2">
      <c r="K7055" t="s">
        <v>42</v>
      </c>
      <c r="L7055" t="s">
        <v>38</v>
      </c>
      <c r="M7055">
        <v>0</v>
      </c>
    </row>
    <row r="7056" spans="11:13" x14ac:dyDescent="0.2">
      <c r="K7056" t="s">
        <v>41</v>
      </c>
      <c r="L7056" t="s">
        <v>37</v>
      </c>
      <c r="M7056">
        <v>0</v>
      </c>
    </row>
    <row r="7057" spans="11:13" x14ac:dyDescent="0.2">
      <c r="K7057" t="s">
        <v>42</v>
      </c>
      <c r="L7057" t="s">
        <v>38</v>
      </c>
      <c r="M7057">
        <v>0</v>
      </c>
    </row>
    <row r="7058" spans="11:13" x14ac:dyDescent="0.2">
      <c r="K7058" t="s">
        <v>41</v>
      </c>
      <c r="L7058" t="s">
        <v>37</v>
      </c>
      <c r="M7058">
        <v>0</v>
      </c>
    </row>
    <row r="7059" spans="11:13" x14ac:dyDescent="0.2">
      <c r="K7059" t="s">
        <v>42</v>
      </c>
      <c r="L7059" t="s">
        <v>38</v>
      </c>
      <c r="M7059">
        <v>0</v>
      </c>
    </row>
    <row r="7060" spans="11:13" x14ac:dyDescent="0.2">
      <c r="K7060" t="s">
        <v>42</v>
      </c>
      <c r="L7060" t="s">
        <v>38</v>
      </c>
      <c r="M7060">
        <v>0</v>
      </c>
    </row>
    <row r="7061" spans="11:13" x14ac:dyDescent="0.2">
      <c r="K7061" t="s">
        <v>42</v>
      </c>
      <c r="L7061" t="s">
        <v>38</v>
      </c>
      <c r="M7061">
        <v>0</v>
      </c>
    </row>
    <row r="7062" spans="11:13" x14ac:dyDescent="0.2">
      <c r="K7062" t="s">
        <v>42</v>
      </c>
      <c r="L7062" t="s">
        <v>38</v>
      </c>
      <c r="M7062">
        <v>0</v>
      </c>
    </row>
    <row r="7063" spans="11:13" x14ac:dyDescent="0.2">
      <c r="K7063" t="s">
        <v>42</v>
      </c>
      <c r="L7063" t="s">
        <v>38</v>
      </c>
      <c r="M7063">
        <v>0</v>
      </c>
    </row>
    <row r="7064" spans="11:13" x14ac:dyDescent="0.2">
      <c r="K7064" t="s">
        <v>42</v>
      </c>
      <c r="L7064" t="s">
        <v>38</v>
      </c>
      <c r="M7064">
        <v>0</v>
      </c>
    </row>
    <row r="7065" spans="11:13" x14ac:dyDescent="0.2">
      <c r="K7065" t="s">
        <v>41</v>
      </c>
      <c r="L7065" t="s">
        <v>37</v>
      </c>
      <c r="M7065">
        <v>0</v>
      </c>
    </row>
    <row r="7066" spans="11:13" x14ac:dyDescent="0.2">
      <c r="K7066" t="s">
        <v>41</v>
      </c>
      <c r="L7066" t="s">
        <v>37</v>
      </c>
      <c r="M7066">
        <v>0</v>
      </c>
    </row>
    <row r="7067" spans="11:13" x14ac:dyDescent="0.2">
      <c r="K7067" t="s">
        <v>42</v>
      </c>
      <c r="L7067" t="s">
        <v>38</v>
      </c>
      <c r="M7067">
        <v>1</v>
      </c>
    </row>
    <row r="7068" spans="11:13" x14ac:dyDescent="0.2">
      <c r="K7068" t="s">
        <v>42</v>
      </c>
      <c r="L7068" t="s">
        <v>38</v>
      </c>
      <c r="M7068">
        <v>0</v>
      </c>
    </row>
    <row r="7069" spans="11:13" x14ac:dyDescent="0.2">
      <c r="K7069" t="s">
        <v>42</v>
      </c>
      <c r="L7069" t="s">
        <v>38</v>
      </c>
      <c r="M7069">
        <v>0</v>
      </c>
    </row>
    <row r="7070" spans="11:13" x14ac:dyDescent="0.2">
      <c r="K7070" t="s">
        <v>42</v>
      </c>
      <c r="L7070" t="s">
        <v>38</v>
      </c>
      <c r="M7070">
        <v>0</v>
      </c>
    </row>
    <row r="7071" spans="11:13" x14ac:dyDescent="0.2">
      <c r="K7071" t="s">
        <v>42</v>
      </c>
      <c r="L7071" t="s">
        <v>38</v>
      </c>
      <c r="M7071">
        <v>0</v>
      </c>
    </row>
    <row r="7072" spans="11:13" x14ac:dyDescent="0.2">
      <c r="K7072" t="s">
        <v>41</v>
      </c>
      <c r="L7072" t="s">
        <v>37</v>
      </c>
      <c r="M7072">
        <v>0</v>
      </c>
    </row>
    <row r="7073" spans="11:13" x14ac:dyDescent="0.2">
      <c r="K7073" t="s">
        <v>41</v>
      </c>
      <c r="L7073" t="s">
        <v>37</v>
      </c>
      <c r="M7073">
        <v>0</v>
      </c>
    </row>
    <row r="7074" spans="11:13" x14ac:dyDescent="0.2">
      <c r="K7074" t="s">
        <v>42</v>
      </c>
      <c r="L7074" t="s">
        <v>38</v>
      </c>
      <c r="M7074">
        <v>0</v>
      </c>
    </row>
    <row r="7075" spans="11:13" x14ac:dyDescent="0.2">
      <c r="K7075" t="s">
        <v>41</v>
      </c>
      <c r="L7075" t="s">
        <v>37</v>
      </c>
      <c r="M7075">
        <v>0</v>
      </c>
    </row>
    <row r="7076" spans="11:13" x14ac:dyDescent="0.2">
      <c r="K7076" t="s">
        <v>42</v>
      </c>
      <c r="L7076" t="s">
        <v>38</v>
      </c>
      <c r="M7076">
        <v>0</v>
      </c>
    </row>
    <row r="7077" spans="11:13" x14ac:dyDescent="0.2">
      <c r="K7077" t="s">
        <v>41</v>
      </c>
      <c r="L7077" t="s">
        <v>37</v>
      </c>
      <c r="M7077">
        <v>0</v>
      </c>
    </row>
    <row r="7078" spans="11:13" x14ac:dyDescent="0.2">
      <c r="K7078" t="s">
        <v>42</v>
      </c>
      <c r="L7078" t="s">
        <v>38</v>
      </c>
      <c r="M7078">
        <v>0</v>
      </c>
    </row>
    <row r="7079" spans="11:13" x14ac:dyDescent="0.2">
      <c r="K7079" t="s">
        <v>41</v>
      </c>
      <c r="L7079" t="s">
        <v>37</v>
      </c>
      <c r="M7079">
        <v>0</v>
      </c>
    </row>
    <row r="7080" spans="11:13" x14ac:dyDescent="0.2">
      <c r="K7080" t="s">
        <v>42</v>
      </c>
      <c r="L7080" t="s">
        <v>38</v>
      </c>
      <c r="M7080">
        <v>0</v>
      </c>
    </row>
    <row r="7081" spans="11:13" x14ac:dyDescent="0.2">
      <c r="K7081" t="s">
        <v>42</v>
      </c>
      <c r="L7081" t="s">
        <v>38</v>
      </c>
      <c r="M7081">
        <v>0</v>
      </c>
    </row>
    <row r="7082" spans="11:13" x14ac:dyDescent="0.2">
      <c r="K7082" t="s">
        <v>41</v>
      </c>
      <c r="L7082" t="s">
        <v>37</v>
      </c>
      <c r="M7082">
        <v>0</v>
      </c>
    </row>
    <row r="7083" spans="11:13" x14ac:dyDescent="0.2">
      <c r="K7083" t="s">
        <v>41</v>
      </c>
      <c r="L7083" t="s">
        <v>37</v>
      </c>
      <c r="M7083">
        <v>0</v>
      </c>
    </row>
    <row r="7084" spans="11:13" x14ac:dyDescent="0.2">
      <c r="K7084" t="s">
        <v>42</v>
      </c>
      <c r="L7084" t="s">
        <v>38</v>
      </c>
      <c r="M7084">
        <v>0</v>
      </c>
    </row>
    <row r="7085" spans="11:13" x14ac:dyDescent="0.2">
      <c r="K7085" t="s">
        <v>42</v>
      </c>
      <c r="L7085" t="s">
        <v>38</v>
      </c>
      <c r="M7085">
        <v>0</v>
      </c>
    </row>
    <row r="7086" spans="11:13" x14ac:dyDescent="0.2">
      <c r="K7086" t="s">
        <v>41</v>
      </c>
      <c r="L7086" t="s">
        <v>37</v>
      </c>
      <c r="M7086">
        <v>0</v>
      </c>
    </row>
    <row r="7087" spans="11:13" x14ac:dyDescent="0.2">
      <c r="K7087" t="s">
        <v>42</v>
      </c>
      <c r="L7087" t="s">
        <v>38</v>
      </c>
      <c r="M7087">
        <v>0</v>
      </c>
    </row>
    <row r="7088" spans="11:13" x14ac:dyDescent="0.2">
      <c r="K7088" t="s">
        <v>42</v>
      </c>
      <c r="L7088" t="s">
        <v>38</v>
      </c>
      <c r="M7088">
        <v>0</v>
      </c>
    </row>
    <row r="7089" spans="11:13" x14ac:dyDescent="0.2">
      <c r="K7089" t="s">
        <v>42</v>
      </c>
      <c r="L7089" t="s">
        <v>38</v>
      </c>
      <c r="M7089">
        <v>0</v>
      </c>
    </row>
    <row r="7090" spans="11:13" x14ac:dyDescent="0.2">
      <c r="K7090" t="s">
        <v>42</v>
      </c>
      <c r="L7090" t="s">
        <v>38</v>
      </c>
      <c r="M7090">
        <v>0</v>
      </c>
    </row>
    <row r="7091" spans="11:13" x14ac:dyDescent="0.2">
      <c r="K7091" t="s">
        <v>41</v>
      </c>
      <c r="L7091" t="s">
        <v>37</v>
      </c>
      <c r="M7091">
        <v>1</v>
      </c>
    </row>
    <row r="7092" spans="11:13" x14ac:dyDescent="0.2">
      <c r="K7092" t="s">
        <v>42</v>
      </c>
      <c r="L7092" t="s">
        <v>38</v>
      </c>
      <c r="M7092">
        <v>0</v>
      </c>
    </row>
    <row r="7093" spans="11:13" x14ac:dyDescent="0.2">
      <c r="K7093" t="s">
        <v>41</v>
      </c>
      <c r="L7093" t="s">
        <v>37</v>
      </c>
      <c r="M7093">
        <v>0</v>
      </c>
    </row>
    <row r="7094" spans="11:13" x14ac:dyDescent="0.2">
      <c r="K7094" t="s">
        <v>41</v>
      </c>
      <c r="L7094" t="s">
        <v>37</v>
      </c>
      <c r="M7094">
        <v>0</v>
      </c>
    </row>
    <row r="7095" spans="11:13" x14ac:dyDescent="0.2">
      <c r="K7095" t="s">
        <v>41</v>
      </c>
      <c r="L7095" t="s">
        <v>37</v>
      </c>
      <c r="M7095">
        <v>0</v>
      </c>
    </row>
    <row r="7096" spans="11:13" x14ac:dyDescent="0.2">
      <c r="K7096" t="s">
        <v>41</v>
      </c>
      <c r="L7096" t="s">
        <v>37</v>
      </c>
      <c r="M7096">
        <v>0</v>
      </c>
    </row>
    <row r="7097" spans="11:13" x14ac:dyDescent="0.2">
      <c r="K7097" t="s">
        <v>42</v>
      </c>
      <c r="L7097" t="s">
        <v>38</v>
      </c>
      <c r="M7097">
        <v>0</v>
      </c>
    </row>
    <row r="7098" spans="11:13" x14ac:dyDescent="0.2">
      <c r="K7098" t="s">
        <v>42</v>
      </c>
      <c r="L7098" t="s">
        <v>38</v>
      </c>
      <c r="M7098">
        <v>0</v>
      </c>
    </row>
    <row r="7099" spans="11:13" x14ac:dyDescent="0.2">
      <c r="K7099" t="s">
        <v>41</v>
      </c>
      <c r="L7099" t="s">
        <v>37</v>
      </c>
      <c r="M7099">
        <v>0</v>
      </c>
    </row>
    <row r="7100" spans="11:13" x14ac:dyDescent="0.2">
      <c r="K7100" t="s">
        <v>41</v>
      </c>
      <c r="L7100" t="s">
        <v>37</v>
      </c>
      <c r="M7100">
        <v>0</v>
      </c>
    </row>
    <row r="7101" spans="11:13" x14ac:dyDescent="0.2">
      <c r="K7101" t="s">
        <v>41</v>
      </c>
      <c r="L7101" t="s">
        <v>37</v>
      </c>
      <c r="M7101">
        <v>0</v>
      </c>
    </row>
    <row r="7102" spans="11:13" x14ac:dyDescent="0.2">
      <c r="K7102" t="s">
        <v>41</v>
      </c>
      <c r="L7102" t="s">
        <v>37</v>
      </c>
      <c r="M7102">
        <v>0</v>
      </c>
    </row>
    <row r="7103" spans="11:13" x14ac:dyDescent="0.2">
      <c r="K7103" t="s">
        <v>41</v>
      </c>
      <c r="L7103" t="s">
        <v>37</v>
      </c>
      <c r="M7103">
        <v>0</v>
      </c>
    </row>
    <row r="7104" spans="11:13" x14ac:dyDescent="0.2">
      <c r="K7104" t="s">
        <v>41</v>
      </c>
      <c r="L7104" t="s">
        <v>37</v>
      </c>
      <c r="M7104">
        <v>0</v>
      </c>
    </row>
    <row r="7105" spans="11:13" x14ac:dyDescent="0.2">
      <c r="K7105" t="s">
        <v>42</v>
      </c>
      <c r="L7105" t="s">
        <v>38</v>
      </c>
      <c r="M7105">
        <v>0</v>
      </c>
    </row>
    <row r="7106" spans="11:13" x14ac:dyDescent="0.2">
      <c r="K7106" t="s">
        <v>41</v>
      </c>
      <c r="L7106" t="s">
        <v>37</v>
      </c>
      <c r="M7106">
        <v>0</v>
      </c>
    </row>
    <row r="7107" spans="11:13" x14ac:dyDescent="0.2">
      <c r="K7107" t="s">
        <v>42</v>
      </c>
      <c r="L7107" t="s">
        <v>38</v>
      </c>
      <c r="M7107">
        <v>0</v>
      </c>
    </row>
    <row r="7108" spans="11:13" x14ac:dyDescent="0.2">
      <c r="K7108" t="s">
        <v>41</v>
      </c>
      <c r="L7108" t="s">
        <v>37</v>
      </c>
      <c r="M7108">
        <v>0</v>
      </c>
    </row>
    <row r="7109" spans="11:13" x14ac:dyDescent="0.2">
      <c r="K7109" t="s">
        <v>42</v>
      </c>
      <c r="L7109" t="s">
        <v>38</v>
      </c>
      <c r="M7109">
        <v>0</v>
      </c>
    </row>
    <row r="7110" spans="11:13" x14ac:dyDescent="0.2">
      <c r="K7110" t="s">
        <v>42</v>
      </c>
      <c r="L7110" t="s">
        <v>38</v>
      </c>
      <c r="M7110">
        <v>0</v>
      </c>
    </row>
    <row r="7111" spans="11:13" x14ac:dyDescent="0.2">
      <c r="K7111" t="s">
        <v>42</v>
      </c>
      <c r="L7111" t="s">
        <v>38</v>
      </c>
      <c r="M7111">
        <v>0</v>
      </c>
    </row>
    <row r="7112" spans="11:13" x14ac:dyDescent="0.2">
      <c r="K7112" t="s">
        <v>42</v>
      </c>
      <c r="L7112" t="s">
        <v>38</v>
      </c>
      <c r="M7112">
        <v>0</v>
      </c>
    </row>
    <row r="7113" spans="11:13" x14ac:dyDescent="0.2">
      <c r="K7113" t="s">
        <v>42</v>
      </c>
      <c r="L7113" t="s">
        <v>38</v>
      </c>
      <c r="M7113">
        <v>0</v>
      </c>
    </row>
    <row r="7114" spans="11:13" x14ac:dyDescent="0.2">
      <c r="K7114" t="s">
        <v>42</v>
      </c>
      <c r="L7114" t="s">
        <v>38</v>
      </c>
      <c r="M7114">
        <v>0</v>
      </c>
    </row>
    <row r="7115" spans="11:13" x14ac:dyDescent="0.2">
      <c r="K7115" t="s">
        <v>42</v>
      </c>
      <c r="L7115" t="s">
        <v>38</v>
      </c>
      <c r="M7115">
        <v>0</v>
      </c>
    </row>
    <row r="7116" spans="11:13" x14ac:dyDescent="0.2">
      <c r="K7116" t="s">
        <v>41</v>
      </c>
      <c r="L7116" t="s">
        <v>37</v>
      </c>
      <c r="M7116">
        <v>0</v>
      </c>
    </row>
    <row r="7117" spans="11:13" x14ac:dyDescent="0.2">
      <c r="K7117" t="s">
        <v>42</v>
      </c>
      <c r="L7117" t="s">
        <v>38</v>
      </c>
      <c r="M7117">
        <v>0</v>
      </c>
    </row>
    <row r="7118" spans="11:13" x14ac:dyDescent="0.2">
      <c r="K7118" t="s">
        <v>41</v>
      </c>
      <c r="L7118" t="s">
        <v>37</v>
      </c>
      <c r="M7118">
        <v>0</v>
      </c>
    </row>
    <row r="7119" spans="11:13" x14ac:dyDescent="0.2">
      <c r="K7119" t="s">
        <v>41</v>
      </c>
      <c r="L7119" t="s">
        <v>37</v>
      </c>
      <c r="M7119">
        <v>0</v>
      </c>
    </row>
    <row r="7120" spans="11:13" x14ac:dyDescent="0.2">
      <c r="K7120" t="s">
        <v>42</v>
      </c>
      <c r="L7120" t="s">
        <v>38</v>
      </c>
      <c r="M7120">
        <v>0</v>
      </c>
    </row>
    <row r="7121" spans="11:13" x14ac:dyDescent="0.2">
      <c r="K7121" t="s">
        <v>42</v>
      </c>
      <c r="L7121" t="s">
        <v>38</v>
      </c>
      <c r="M7121">
        <v>0</v>
      </c>
    </row>
    <row r="7122" spans="11:13" x14ac:dyDescent="0.2">
      <c r="K7122" t="s">
        <v>41</v>
      </c>
      <c r="L7122" t="s">
        <v>37</v>
      </c>
      <c r="M7122">
        <v>0</v>
      </c>
    </row>
    <row r="7123" spans="11:13" x14ac:dyDescent="0.2">
      <c r="K7123" t="s">
        <v>42</v>
      </c>
      <c r="L7123" t="s">
        <v>38</v>
      </c>
      <c r="M7123">
        <v>0</v>
      </c>
    </row>
    <row r="7124" spans="11:13" x14ac:dyDescent="0.2">
      <c r="K7124" t="s">
        <v>42</v>
      </c>
      <c r="L7124" t="s">
        <v>38</v>
      </c>
      <c r="M7124">
        <v>0</v>
      </c>
    </row>
    <row r="7125" spans="11:13" x14ac:dyDescent="0.2">
      <c r="K7125" t="s">
        <v>42</v>
      </c>
      <c r="L7125" t="s">
        <v>38</v>
      </c>
      <c r="M7125">
        <v>0</v>
      </c>
    </row>
    <row r="7126" spans="11:13" x14ac:dyDescent="0.2">
      <c r="K7126" t="s">
        <v>41</v>
      </c>
      <c r="L7126" t="s">
        <v>37</v>
      </c>
      <c r="M7126">
        <v>0</v>
      </c>
    </row>
    <row r="7127" spans="11:13" x14ac:dyDescent="0.2">
      <c r="K7127" t="s">
        <v>42</v>
      </c>
      <c r="L7127" t="s">
        <v>38</v>
      </c>
      <c r="M7127">
        <v>0</v>
      </c>
    </row>
    <row r="7128" spans="11:13" x14ac:dyDescent="0.2">
      <c r="K7128" t="s">
        <v>41</v>
      </c>
      <c r="L7128" t="s">
        <v>37</v>
      </c>
      <c r="M7128">
        <v>0</v>
      </c>
    </row>
    <row r="7129" spans="11:13" x14ac:dyDescent="0.2">
      <c r="K7129" t="s">
        <v>42</v>
      </c>
      <c r="L7129" t="s">
        <v>38</v>
      </c>
      <c r="M7129">
        <v>0</v>
      </c>
    </row>
    <row r="7130" spans="11:13" x14ac:dyDescent="0.2">
      <c r="K7130" t="s">
        <v>42</v>
      </c>
      <c r="L7130" t="s">
        <v>38</v>
      </c>
      <c r="M7130">
        <v>0</v>
      </c>
    </row>
    <row r="7131" spans="11:13" x14ac:dyDescent="0.2">
      <c r="K7131" t="s">
        <v>42</v>
      </c>
      <c r="L7131" t="s">
        <v>38</v>
      </c>
      <c r="M7131">
        <v>0</v>
      </c>
    </row>
    <row r="7132" spans="11:13" x14ac:dyDescent="0.2">
      <c r="K7132" t="s">
        <v>41</v>
      </c>
      <c r="L7132" t="s">
        <v>37</v>
      </c>
      <c r="M7132">
        <v>0</v>
      </c>
    </row>
    <row r="7133" spans="11:13" x14ac:dyDescent="0.2">
      <c r="K7133" t="s">
        <v>41</v>
      </c>
      <c r="L7133" t="s">
        <v>37</v>
      </c>
      <c r="M7133">
        <v>0</v>
      </c>
    </row>
    <row r="7134" spans="11:13" x14ac:dyDescent="0.2">
      <c r="K7134" t="s">
        <v>41</v>
      </c>
      <c r="L7134" t="s">
        <v>37</v>
      </c>
      <c r="M7134">
        <v>0</v>
      </c>
    </row>
    <row r="7135" spans="11:13" x14ac:dyDescent="0.2">
      <c r="K7135" t="s">
        <v>41</v>
      </c>
      <c r="L7135" t="s">
        <v>37</v>
      </c>
      <c r="M7135">
        <v>0</v>
      </c>
    </row>
    <row r="7136" spans="11:13" x14ac:dyDescent="0.2">
      <c r="K7136" t="s">
        <v>41</v>
      </c>
      <c r="L7136" t="s">
        <v>37</v>
      </c>
      <c r="M7136">
        <v>0</v>
      </c>
    </row>
    <row r="7137" spans="11:13" x14ac:dyDescent="0.2">
      <c r="K7137" t="s">
        <v>42</v>
      </c>
      <c r="L7137" t="s">
        <v>38</v>
      </c>
      <c r="M7137">
        <v>0</v>
      </c>
    </row>
    <row r="7138" spans="11:13" x14ac:dyDescent="0.2">
      <c r="K7138" t="s">
        <v>41</v>
      </c>
      <c r="L7138" t="s">
        <v>37</v>
      </c>
      <c r="M7138">
        <v>0</v>
      </c>
    </row>
    <row r="7139" spans="11:13" x14ac:dyDescent="0.2">
      <c r="K7139" t="s">
        <v>42</v>
      </c>
      <c r="L7139" t="s">
        <v>38</v>
      </c>
      <c r="M7139">
        <v>0</v>
      </c>
    </row>
    <row r="7140" spans="11:13" x14ac:dyDescent="0.2">
      <c r="K7140" t="s">
        <v>41</v>
      </c>
      <c r="L7140" t="s">
        <v>37</v>
      </c>
      <c r="M7140">
        <v>0</v>
      </c>
    </row>
    <row r="7141" spans="11:13" x14ac:dyDescent="0.2">
      <c r="K7141" t="s">
        <v>42</v>
      </c>
      <c r="L7141" t="s">
        <v>38</v>
      </c>
      <c r="M7141">
        <v>0</v>
      </c>
    </row>
    <row r="7142" spans="11:13" x14ac:dyDescent="0.2">
      <c r="K7142" t="s">
        <v>42</v>
      </c>
      <c r="L7142" t="s">
        <v>38</v>
      </c>
      <c r="M7142">
        <v>1</v>
      </c>
    </row>
    <row r="7143" spans="11:13" x14ac:dyDescent="0.2">
      <c r="K7143" t="s">
        <v>42</v>
      </c>
      <c r="L7143" t="s">
        <v>38</v>
      </c>
      <c r="M7143">
        <v>0</v>
      </c>
    </row>
    <row r="7144" spans="11:13" x14ac:dyDescent="0.2">
      <c r="K7144" t="s">
        <v>41</v>
      </c>
      <c r="L7144" t="s">
        <v>37</v>
      </c>
      <c r="M7144">
        <v>0</v>
      </c>
    </row>
    <row r="7145" spans="11:13" x14ac:dyDescent="0.2">
      <c r="K7145" t="s">
        <v>41</v>
      </c>
      <c r="L7145" t="s">
        <v>37</v>
      </c>
      <c r="M7145">
        <v>0</v>
      </c>
    </row>
    <row r="7146" spans="11:13" x14ac:dyDescent="0.2">
      <c r="K7146" t="s">
        <v>41</v>
      </c>
      <c r="L7146" t="s">
        <v>37</v>
      </c>
      <c r="M7146">
        <v>0</v>
      </c>
    </row>
    <row r="7147" spans="11:13" x14ac:dyDescent="0.2">
      <c r="K7147" t="s">
        <v>42</v>
      </c>
      <c r="L7147" t="s">
        <v>38</v>
      </c>
      <c r="M7147">
        <v>0</v>
      </c>
    </row>
    <row r="7148" spans="11:13" x14ac:dyDescent="0.2">
      <c r="K7148" t="s">
        <v>42</v>
      </c>
      <c r="L7148" t="s">
        <v>38</v>
      </c>
      <c r="M7148">
        <v>0</v>
      </c>
    </row>
    <row r="7149" spans="11:13" x14ac:dyDescent="0.2">
      <c r="K7149" t="s">
        <v>41</v>
      </c>
      <c r="L7149" t="s">
        <v>37</v>
      </c>
      <c r="M7149">
        <v>0</v>
      </c>
    </row>
    <row r="7150" spans="11:13" x14ac:dyDescent="0.2">
      <c r="K7150" t="s">
        <v>41</v>
      </c>
      <c r="L7150" t="s">
        <v>37</v>
      </c>
      <c r="M7150">
        <v>0</v>
      </c>
    </row>
    <row r="7151" spans="11:13" x14ac:dyDescent="0.2">
      <c r="K7151" t="s">
        <v>41</v>
      </c>
      <c r="L7151" t="s">
        <v>37</v>
      </c>
      <c r="M7151">
        <v>0</v>
      </c>
    </row>
    <row r="7152" spans="11:13" x14ac:dyDescent="0.2">
      <c r="K7152" t="s">
        <v>41</v>
      </c>
      <c r="L7152" t="s">
        <v>37</v>
      </c>
      <c r="M7152">
        <v>0</v>
      </c>
    </row>
    <row r="7153" spans="11:13" x14ac:dyDescent="0.2">
      <c r="K7153" t="s">
        <v>41</v>
      </c>
      <c r="L7153" t="s">
        <v>37</v>
      </c>
      <c r="M7153">
        <v>0</v>
      </c>
    </row>
    <row r="7154" spans="11:13" x14ac:dyDescent="0.2">
      <c r="K7154" t="s">
        <v>41</v>
      </c>
      <c r="L7154" t="s">
        <v>37</v>
      </c>
      <c r="M7154">
        <v>0</v>
      </c>
    </row>
    <row r="7155" spans="11:13" x14ac:dyDescent="0.2">
      <c r="K7155" t="s">
        <v>42</v>
      </c>
      <c r="L7155" t="s">
        <v>38</v>
      </c>
      <c r="M7155">
        <v>0</v>
      </c>
    </row>
    <row r="7156" spans="11:13" x14ac:dyDescent="0.2">
      <c r="K7156" t="s">
        <v>41</v>
      </c>
      <c r="L7156" t="s">
        <v>37</v>
      </c>
      <c r="M7156">
        <v>0</v>
      </c>
    </row>
    <row r="7157" spans="11:13" x14ac:dyDescent="0.2">
      <c r="K7157" t="s">
        <v>42</v>
      </c>
      <c r="L7157" t="s">
        <v>38</v>
      </c>
      <c r="M7157">
        <v>0</v>
      </c>
    </row>
    <row r="7158" spans="11:13" x14ac:dyDescent="0.2">
      <c r="K7158" t="s">
        <v>41</v>
      </c>
      <c r="L7158" t="s">
        <v>37</v>
      </c>
      <c r="M7158">
        <v>0</v>
      </c>
    </row>
    <row r="7159" spans="11:13" x14ac:dyDescent="0.2">
      <c r="K7159" t="s">
        <v>41</v>
      </c>
      <c r="L7159" t="s">
        <v>37</v>
      </c>
      <c r="M7159">
        <v>0</v>
      </c>
    </row>
    <row r="7160" spans="11:13" x14ac:dyDescent="0.2">
      <c r="K7160" t="s">
        <v>41</v>
      </c>
      <c r="L7160" t="s">
        <v>37</v>
      </c>
      <c r="M7160">
        <v>0</v>
      </c>
    </row>
    <row r="7161" spans="11:13" x14ac:dyDescent="0.2">
      <c r="K7161" t="s">
        <v>42</v>
      </c>
      <c r="L7161" t="s">
        <v>38</v>
      </c>
      <c r="M7161">
        <v>0</v>
      </c>
    </row>
    <row r="7162" spans="11:13" x14ac:dyDescent="0.2">
      <c r="K7162" t="s">
        <v>41</v>
      </c>
      <c r="L7162" t="s">
        <v>37</v>
      </c>
      <c r="M7162">
        <v>0</v>
      </c>
    </row>
    <row r="7163" spans="11:13" x14ac:dyDescent="0.2">
      <c r="K7163" t="s">
        <v>42</v>
      </c>
      <c r="L7163" t="s">
        <v>38</v>
      </c>
      <c r="M7163">
        <v>0</v>
      </c>
    </row>
    <row r="7164" spans="11:13" x14ac:dyDescent="0.2">
      <c r="K7164" t="s">
        <v>42</v>
      </c>
      <c r="L7164" t="s">
        <v>38</v>
      </c>
      <c r="M7164">
        <v>0</v>
      </c>
    </row>
    <row r="7165" spans="11:13" x14ac:dyDescent="0.2">
      <c r="K7165" t="s">
        <v>42</v>
      </c>
      <c r="L7165" t="s">
        <v>38</v>
      </c>
      <c r="M7165">
        <v>0</v>
      </c>
    </row>
    <row r="7166" spans="11:13" x14ac:dyDescent="0.2">
      <c r="K7166" t="s">
        <v>41</v>
      </c>
      <c r="L7166" t="s">
        <v>37</v>
      </c>
      <c r="M7166">
        <v>0</v>
      </c>
    </row>
    <row r="7167" spans="11:13" x14ac:dyDescent="0.2">
      <c r="K7167" t="s">
        <v>42</v>
      </c>
      <c r="L7167" t="s">
        <v>38</v>
      </c>
      <c r="M7167">
        <v>0</v>
      </c>
    </row>
    <row r="7168" spans="11:13" x14ac:dyDescent="0.2">
      <c r="K7168" t="s">
        <v>41</v>
      </c>
      <c r="L7168" t="s">
        <v>37</v>
      </c>
      <c r="M7168">
        <v>0</v>
      </c>
    </row>
    <row r="7169" spans="11:13" x14ac:dyDescent="0.2">
      <c r="K7169" t="s">
        <v>41</v>
      </c>
      <c r="L7169" t="s">
        <v>37</v>
      </c>
      <c r="M7169">
        <v>0</v>
      </c>
    </row>
    <row r="7170" spans="11:13" x14ac:dyDescent="0.2">
      <c r="K7170" t="s">
        <v>42</v>
      </c>
      <c r="L7170" t="s">
        <v>38</v>
      </c>
      <c r="M7170">
        <v>0</v>
      </c>
    </row>
    <row r="7171" spans="11:13" x14ac:dyDescent="0.2">
      <c r="K7171" t="s">
        <v>41</v>
      </c>
      <c r="L7171" t="s">
        <v>37</v>
      </c>
      <c r="M7171">
        <v>0</v>
      </c>
    </row>
    <row r="7172" spans="11:13" x14ac:dyDescent="0.2">
      <c r="K7172" t="s">
        <v>41</v>
      </c>
      <c r="L7172" t="s">
        <v>37</v>
      </c>
      <c r="M7172">
        <v>0</v>
      </c>
    </row>
    <row r="7173" spans="11:13" x14ac:dyDescent="0.2">
      <c r="K7173" t="s">
        <v>41</v>
      </c>
      <c r="L7173" t="s">
        <v>37</v>
      </c>
      <c r="M7173">
        <v>0</v>
      </c>
    </row>
    <row r="7174" spans="11:13" x14ac:dyDescent="0.2">
      <c r="K7174" t="s">
        <v>42</v>
      </c>
      <c r="L7174" t="s">
        <v>38</v>
      </c>
      <c r="M7174">
        <v>0</v>
      </c>
    </row>
    <row r="7175" spans="11:13" x14ac:dyDescent="0.2">
      <c r="K7175" t="s">
        <v>41</v>
      </c>
      <c r="L7175" t="s">
        <v>37</v>
      </c>
      <c r="M7175">
        <v>0</v>
      </c>
    </row>
    <row r="7176" spans="11:13" x14ac:dyDescent="0.2">
      <c r="K7176" t="s">
        <v>42</v>
      </c>
      <c r="L7176" t="s">
        <v>38</v>
      </c>
      <c r="M7176">
        <v>0</v>
      </c>
    </row>
    <row r="7177" spans="11:13" x14ac:dyDescent="0.2">
      <c r="K7177" t="s">
        <v>41</v>
      </c>
      <c r="L7177" t="s">
        <v>37</v>
      </c>
      <c r="M7177">
        <v>0</v>
      </c>
    </row>
    <row r="7178" spans="11:13" x14ac:dyDescent="0.2">
      <c r="K7178" t="s">
        <v>42</v>
      </c>
      <c r="L7178" t="s">
        <v>38</v>
      </c>
      <c r="M7178">
        <v>1</v>
      </c>
    </row>
    <row r="7179" spans="11:13" x14ac:dyDescent="0.2">
      <c r="K7179" t="s">
        <v>41</v>
      </c>
      <c r="L7179" t="s">
        <v>37</v>
      </c>
      <c r="M7179">
        <v>1</v>
      </c>
    </row>
    <row r="7180" spans="11:13" x14ac:dyDescent="0.2">
      <c r="K7180" t="s">
        <v>41</v>
      </c>
      <c r="L7180" t="s">
        <v>37</v>
      </c>
      <c r="M7180">
        <v>0</v>
      </c>
    </row>
    <row r="7181" spans="11:13" x14ac:dyDescent="0.2">
      <c r="K7181" t="s">
        <v>42</v>
      </c>
      <c r="L7181" t="s">
        <v>38</v>
      </c>
      <c r="M7181">
        <v>0</v>
      </c>
    </row>
    <row r="7182" spans="11:13" x14ac:dyDescent="0.2">
      <c r="K7182" t="s">
        <v>42</v>
      </c>
      <c r="L7182" t="s">
        <v>38</v>
      </c>
      <c r="M7182">
        <v>0</v>
      </c>
    </row>
    <row r="7183" spans="11:13" x14ac:dyDescent="0.2">
      <c r="K7183" t="s">
        <v>42</v>
      </c>
      <c r="L7183" t="s">
        <v>38</v>
      </c>
      <c r="M7183">
        <v>0</v>
      </c>
    </row>
    <row r="7184" spans="11:13" x14ac:dyDescent="0.2">
      <c r="K7184" t="s">
        <v>41</v>
      </c>
      <c r="L7184" t="s">
        <v>37</v>
      </c>
      <c r="M7184">
        <v>0</v>
      </c>
    </row>
    <row r="7185" spans="11:13" x14ac:dyDescent="0.2">
      <c r="K7185" t="s">
        <v>42</v>
      </c>
      <c r="L7185" t="s">
        <v>38</v>
      </c>
      <c r="M7185">
        <v>0</v>
      </c>
    </row>
    <row r="7186" spans="11:13" x14ac:dyDescent="0.2">
      <c r="K7186" t="s">
        <v>42</v>
      </c>
      <c r="L7186" t="s">
        <v>38</v>
      </c>
      <c r="M7186">
        <v>0</v>
      </c>
    </row>
    <row r="7187" spans="11:13" x14ac:dyDescent="0.2">
      <c r="K7187" t="s">
        <v>41</v>
      </c>
      <c r="L7187" t="s">
        <v>37</v>
      </c>
      <c r="M7187">
        <v>0</v>
      </c>
    </row>
    <row r="7188" spans="11:13" x14ac:dyDescent="0.2">
      <c r="K7188" t="s">
        <v>42</v>
      </c>
      <c r="L7188" t="s">
        <v>38</v>
      </c>
      <c r="M7188">
        <v>0</v>
      </c>
    </row>
    <row r="7189" spans="11:13" x14ac:dyDescent="0.2">
      <c r="K7189" t="s">
        <v>42</v>
      </c>
      <c r="L7189" t="s">
        <v>38</v>
      </c>
      <c r="M7189">
        <v>0</v>
      </c>
    </row>
    <row r="7190" spans="11:13" x14ac:dyDescent="0.2">
      <c r="K7190" t="s">
        <v>42</v>
      </c>
      <c r="L7190" t="s">
        <v>38</v>
      </c>
      <c r="M7190">
        <v>0</v>
      </c>
    </row>
    <row r="7191" spans="11:13" x14ac:dyDescent="0.2">
      <c r="K7191" t="s">
        <v>42</v>
      </c>
      <c r="L7191" t="s">
        <v>38</v>
      </c>
      <c r="M7191">
        <v>0</v>
      </c>
    </row>
    <row r="7192" spans="11:13" x14ac:dyDescent="0.2">
      <c r="K7192" t="s">
        <v>41</v>
      </c>
      <c r="L7192" t="s">
        <v>37</v>
      </c>
      <c r="M7192">
        <v>0</v>
      </c>
    </row>
    <row r="7193" spans="11:13" x14ac:dyDescent="0.2">
      <c r="K7193" t="s">
        <v>41</v>
      </c>
      <c r="L7193" t="s">
        <v>37</v>
      </c>
      <c r="M7193">
        <v>0</v>
      </c>
    </row>
    <row r="7194" spans="11:13" x14ac:dyDescent="0.2">
      <c r="K7194" t="s">
        <v>42</v>
      </c>
      <c r="L7194" t="s">
        <v>38</v>
      </c>
      <c r="M7194">
        <v>0</v>
      </c>
    </row>
    <row r="7195" spans="11:13" x14ac:dyDescent="0.2">
      <c r="K7195" t="s">
        <v>42</v>
      </c>
      <c r="L7195" t="s">
        <v>38</v>
      </c>
      <c r="M7195">
        <v>0</v>
      </c>
    </row>
    <row r="7196" spans="11:13" x14ac:dyDescent="0.2">
      <c r="K7196" t="s">
        <v>42</v>
      </c>
      <c r="L7196" t="s">
        <v>38</v>
      </c>
      <c r="M7196">
        <v>0</v>
      </c>
    </row>
    <row r="7197" spans="11:13" x14ac:dyDescent="0.2">
      <c r="K7197" t="s">
        <v>42</v>
      </c>
      <c r="L7197" t="s">
        <v>38</v>
      </c>
      <c r="M7197">
        <v>0</v>
      </c>
    </row>
    <row r="7198" spans="11:13" x14ac:dyDescent="0.2">
      <c r="K7198" t="s">
        <v>41</v>
      </c>
      <c r="L7198" t="s">
        <v>37</v>
      </c>
      <c r="M7198">
        <v>0</v>
      </c>
    </row>
    <row r="7199" spans="11:13" x14ac:dyDescent="0.2">
      <c r="K7199" t="s">
        <v>42</v>
      </c>
      <c r="L7199" t="s">
        <v>38</v>
      </c>
      <c r="M7199">
        <v>0</v>
      </c>
    </row>
    <row r="7200" spans="11:13" x14ac:dyDescent="0.2">
      <c r="K7200" t="s">
        <v>42</v>
      </c>
      <c r="L7200" t="s">
        <v>38</v>
      </c>
      <c r="M7200">
        <v>0</v>
      </c>
    </row>
    <row r="7201" spans="11:13" x14ac:dyDescent="0.2">
      <c r="K7201" t="s">
        <v>42</v>
      </c>
      <c r="L7201" t="s">
        <v>38</v>
      </c>
      <c r="M7201">
        <v>0</v>
      </c>
    </row>
    <row r="7202" spans="11:13" x14ac:dyDescent="0.2">
      <c r="K7202" t="s">
        <v>41</v>
      </c>
      <c r="L7202" t="s">
        <v>37</v>
      </c>
      <c r="M7202">
        <v>0</v>
      </c>
    </row>
    <row r="7203" spans="11:13" x14ac:dyDescent="0.2">
      <c r="K7203" t="s">
        <v>42</v>
      </c>
      <c r="L7203" t="s">
        <v>38</v>
      </c>
      <c r="M7203">
        <v>0</v>
      </c>
    </row>
    <row r="7204" spans="11:13" x14ac:dyDescent="0.2">
      <c r="K7204" t="s">
        <v>42</v>
      </c>
      <c r="L7204" t="s">
        <v>38</v>
      </c>
      <c r="M7204">
        <v>0</v>
      </c>
    </row>
    <row r="7205" spans="11:13" x14ac:dyDescent="0.2">
      <c r="K7205" t="s">
        <v>42</v>
      </c>
      <c r="L7205" t="s">
        <v>38</v>
      </c>
      <c r="M7205">
        <v>0</v>
      </c>
    </row>
    <row r="7206" spans="11:13" x14ac:dyDescent="0.2">
      <c r="K7206" t="s">
        <v>42</v>
      </c>
      <c r="L7206" t="s">
        <v>38</v>
      </c>
      <c r="M7206">
        <v>0</v>
      </c>
    </row>
    <row r="7207" spans="11:13" x14ac:dyDescent="0.2">
      <c r="K7207" t="s">
        <v>42</v>
      </c>
      <c r="L7207" t="s">
        <v>38</v>
      </c>
      <c r="M7207">
        <v>0</v>
      </c>
    </row>
    <row r="7208" spans="11:13" x14ac:dyDescent="0.2">
      <c r="K7208" t="s">
        <v>42</v>
      </c>
      <c r="L7208" t="s">
        <v>38</v>
      </c>
      <c r="M7208">
        <v>0</v>
      </c>
    </row>
    <row r="7209" spans="11:13" x14ac:dyDescent="0.2">
      <c r="K7209" t="s">
        <v>41</v>
      </c>
      <c r="L7209" t="s">
        <v>37</v>
      </c>
      <c r="M7209">
        <v>0</v>
      </c>
    </row>
    <row r="7210" spans="11:13" x14ac:dyDescent="0.2">
      <c r="K7210" t="s">
        <v>41</v>
      </c>
      <c r="L7210" t="s">
        <v>37</v>
      </c>
      <c r="M7210">
        <v>0</v>
      </c>
    </row>
    <row r="7211" spans="11:13" x14ac:dyDescent="0.2">
      <c r="K7211" t="s">
        <v>42</v>
      </c>
      <c r="L7211" t="s">
        <v>38</v>
      </c>
      <c r="M7211">
        <v>0</v>
      </c>
    </row>
    <row r="7212" spans="11:13" x14ac:dyDescent="0.2">
      <c r="K7212" t="s">
        <v>42</v>
      </c>
      <c r="L7212" t="s">
        <v>38</v>
      </c>
      <c r="M7212">
        <v>0</v>
      </c>
    </row>
    <row r="7213" spans="11:13" x14ac:dyDescent="0.2">
      <c r="K7213" t="s">
        <v>41</v>
      </c>
      <c r="L7213" t="s">
        <v>37</v>
      </c>
      <c r="M7213">
        <v>0</v>
      </c>
    </row>
    <row r="7214" spans="11:13" x14ac:dyDescent="0.2">
      <c r="K7214" t="s">
        <v>42</v>
      </c>
      <c r="L7214" t="s">
        <v>38</v>
      </c>
      <c r="M7214">
        <v>0</v>
      </c>
    </row>
    <row r="7215" spans="11:13" x14ac:dyDescent="0.2">
      <c r="K7215" t="s">
        <v>41</v>
      </c>
      <c r="L7215" t="s">
        <v>37</v>
      </c>
      <c r="M7215">
        <v>1</v>
      </c>
    </row>
    <row r="7216" spans="11:13" x14ac:dyDescent="0.2">
      <c r="K7216" t="s">
        <v>42</v>
      </c>
      <c r="L7216" t="s">
        <v>38</v>
      </c>
      <c r="M7216">
        <v>0</v>
      </c>
    </row>
    <row r="7217" spans="11:13" x14ac:dyDescent="0.2">
      <c r="K7217" t="s">
        <v>41</v>
      </c>
      <c r="L7217" t="s">
        <v>37</v>
      </c>
      <c r="M7217">
        <v>0</v>
      </c>
    </row>
    <row r="7218" spans="11:13" x14ac:dyDescent="0.2">
      <c r="K7218" t="s">
        <v>42</v>
      </c>
      <c r="L7218" t="s">
        <v>38</v>
      </c>
      <c r="M7218">
        <v>1</v>
      </c>
    </row>
    <row r="7219" spans="11:13" x14ac:dyDescent="0.2">
      <c r="K7219" t="s">
        <v>42</v>
      </c>
      <c r="L7219" t="s">
        <v>38</v>
      </c>
      <c r="M7219">
        <v>0</v>
      </c>
    </row>
    <row r="7220" spans="11:13" x14ac:dyDescent="0.2">
      <c r="K7220" t="s">
        <v>42</v>
      </c>
      <c r="L7220" t="s">
        <v>38</v>
      </c>
      <c r="M7220">
        <v>0</v>
      </c>
    </row>
    <row r="7221" spans="11:13" x14ac:dyDescent="0.2">
      <c r="K7221" t="s">
        <v>41</v>
      </c>
      <c r="L7221" t="s">
        <v>37</v>
      </c>
      <c r="M7221">
        <v>0</v>
      </c>
    </row>
    <row r="7222" spans="11:13" x14ac:dyDescent="0.2">
      <c r="K7222" t="s">
        <v>41</v>
      </c>
      <c r="L7222" t="s">
        <v>37</v>
      </c>
      <c r="M7222">
        <v>0</v>
      </c>
    </row>
    <row r="7223" spans="11:13" x14ac:dyDescent="0.2">
      <c r="K7223" t="s">
        <v>42</v>
      </c>
      <c r="L7223" t="s">
        <v>38</v>
      </c>
      <c r="M7223">
        <v>0</v>
      </c>
    </row>
    <row r="7224" spans="11:13" x14ac:dyDescent="0.2">
      <c r="K7224" t="s">
        <v>41</v>
      </c>
      <c r="L7224" t="s">
        <v>37</v>
      </c>
      <c r="M7224">
        <v>0</v>
      </c>
    </row>
    <row r="7225" spans="11:13" x14ac:dyDescent="0.2">
      <c r="K7225" t="s">
        <v>42</v>
      </c>
      <c r="L7225" t="s">
        <v>38</v>
      </c>
      <c r="M7225">
        <v>0</v>
      </c>
    </row>
    <row r="7226" spans="11:13" x14ac:dyDescent="0.2">
      <c r="K7226" t="s">
        <v>41</v>
      </c>
      <c r="L7226" t="s">
        <v>37</v>
      </c>
      <c r="M7226">
        <v>0</v>
      </c>
    </row>
    <row r="7227" spans="11:13" x14ac:dyDescent="0.2">
      <c r="K7227" t="s">
        <v>41</v>
      </c>
      <c r="L7227" t="s">
        <v>37</v>
      </c>
      <c r="M7227">
        <v>0</v>
      </c>
    </row>
    <row r="7228" spans="11:13" x14ac:dyDescent="0.2">
      <c r="K7228" t="s">
        <v>42</v>
      </c>
      <c r="L7228" t="s">
        <v>38</v>
      </c>
      <c r="M7228">
        <v>0</v>
      </c>
    </row>
    <row r="7229" spans="11:13" x14ac:dyDescent="0.2">
      <c r="K7229" t="s">
        <v>42</v>
      </c>
      <c r="L7229" t="s">
        <v>38</v>
      </c>
      <c r="M7229">
        <v>0</v>
      </c>
    </row>
    <row r="7230" spans="11:13" x14ac:dyDescent="0.2">
      <c r="K7230" t="s">
        <v>42</v>
      </c>
      <c r="L7230" t="s">
        <v>38</v>
      </c>
      <c r="M7230">
        <v>0</v>
      </c>
    </row>
    <row r="7231" spans="11:13" x14ac:dyDescent="0.2">
      <c r="K7231" t="s">
        <v>42</v>
      </c>
      <c r="L7231" t="s">
        <v>38</v>
      </c>
      <c r="M7231">
        <v>0</v>
      </c>
    </row>
    <row r="7232" spans="11:13" x14ac:dyDescent="0.2">
      <c r="K7232" t="s">
        <v>41</v>
      </c>
      <c r="L7232" t="s">
        <v>37</v>
      </c>
      <c r="M7232">
        <v>0</v>
      </c>
    </row>
    <row r="7233" spans="11:13" x14ac:dyDescent="0.2">
      <c r="K7233" t="s">
        <v>41</v>
      </c>
      <c r="L7233" t="s">
        <v>37</v>
      </c>
      <c r="M7233">
        <v>0</v>
      </c>
    </row>
    <row r="7234" spans="11:13" x14ac:dyDescent="0.2">
      <c r="K7234" t="s">
        <v>42</v>
      </c>
      <c r="L7234" t="s">
        <v>38</v>
      </c>
      <c r="M7234">
        <v>0</v>
      </c>
    </row>
    <row r="7235" spans="11:13" x14ac:dyDescent="0.2">
      <c r="K7235" t="s">
        <v>41</v>
      </c>
      <c r="L7235" t="s">
        <v>37</v>
      </c>
      <c r="M7235">
        <v>0</v>
      </c>
    </row>
    <row r="7236" spans="11:13" x14ac:dyDescent="0.2">
      <c r="K7236" t="s">
        <v>41</v>
      </c>
      <c r="L7236" t="s">
        <v>37</v>
      </c>
      <c r="M7236">
        <v>0</v>
      </c>
    </row>
    <row r="7237" spans="11:13" x14ac:dyDescent="0.2">
      <c r="K7237" t="s">
        <v>41</v>
      </c>
      <c r="L7237" t="s">
        <v>37</v>
      </c>
      <c r="M7237">
        <v>0</v>
      </c>
    </row>
    <row r="7238" spans="11:13" x14ac:dyDescent="0.2">
      <c r="K7238" t="s">
        <v>42</v>
      </c>
      <c r="L7238" t="s">
        <v>38</v>
      </c>
      <c r="M7238">
        <v>0</v>
      </c>
    </row>
    <row r="7239" spans="11:13" x14ac:dyDescent="0.2">
      <c r="K7239" t="s">
        <v>42</v>
      </c>
      <c r="L7239" t="s">
        <v>38</v>
      </c>
      <c r="M7239">
        <v>0</v>
      </c>
    </row>
    <row r="7240" spans="11:13" x14ac:dyDescent="0.2">
      <c r="K7240" t="s">
        <v>42</v>
      </c>
      <c r="L7240" t="s">
        <v>38</v>
      </c>
      <c r="M7240">
        <v>1</v>
      </c>
    </row>
    <row r="7241" spans="11:13" x14ac:dyDescent="0.2">
      <c r="K7241" t="s">
        <v>41</v>
      </c>
      <c r="L7241" t="s">
        <v>37</v>
      </c>
      <c r="M7241">
        <v>0</v>
      </c>
    </row>
    <row r="7242" spans="11:13" x14ac:dyDescent="0.2">
      <c r="K7242" t="s">
        <v>41</v>
      </c>
      <c r="L7242" t="s">
        <v>37</v>
      </c>
      <c r="M7242">
        <v>0</v>
      </c>
    </row>
    <row r="7243" spans="11:13" x14ac:dyDescent="0.2">
      <c r="K7243" t="s">
        <v>42</v>
      </c>
      <c r="L7243" t="s">
        <v>38</v>
      </c>
      <c r="M7243">
        <v>0</v>
      </c>
    </row>
    <row r="7244" spans="11:13" x14ac:dyDescent="0.2">
      <c r="K7244" t="s">
        <v>41</v>
      </c>
      <c r="L7244" t="s">
        <v>37</v>
      </c>
      <c r="M7244">
        <v>0</v>
      </c>
    </row>
    <row r="7245" spans="11:13" x14ac:dyDescent="0.2">
      <c r="K7245" t="s">
        <v>41</v>
      </c>
      <c r="L7245" t="s">
        <v>37</v>
      </c>
      <c r="M7245">
        <v>0</v>
      </c>
    </row>
    <row r="7246" spans="11:13" x14ac:dyDescent="0.2">
      <c r="K7246" t="s">
        <v>42</v>
      </c>
      <c r="L7246" t="s">
        <v>38</v>
      </c>
      <c r="M7246">
        <v>1</v>
      </c>
    </row>
    <row r="7247" spans="11:13" x14ac:dyDescent="0.2">
      <c r="K7247" t="s">
        <v>42</v>
      </c>
      <c r="L7247" t="s">
        <v>38</v>
      </c>
      <c r="M7247">
        <v>0</v>
      </c>
    </row>
    <row r="7248" spans="11:13" x14ac:dyDescent="0.2">
      <c r="K7248" t="s">
        <v>41</v>
      </c>
      <c r="L7248" t="s">
        <v>37</v>
      </c>
      <c r="M7248">
        <v>0</v>
      </c>
    </row>
    <row r="7249" spans="11:13" x14ac:dyDescent="0.2">
      <c r="K7249" t="s">
        <v>41</v>
      </c>
      <c r="L7249" t="s">
        <v>37</v>
      </c>
      <c r="M7249">
        <v>0</v>
      </c>
    </row>
    <row r="7250" spans="11:13" x14ac:dyDescent="0.2">
      <c r="K7250" t="s">
        <v>41</v>
      </c>
      <c r="L7250" t="s">
        <v>37</v>
      </c>
      <c r="M7250">
        <v>0</v>
      </c>
    </row>
    <row r="7251" spans="11:13" x14ac:dyDescent="0.2">
      <c r="K7251" t="s">
        <v>42</v>
      </c>
      <c r="L7251" t="s">
        <v>38</v>
      </c>
      <c r="M7251">
        <v>0</v>
      </c>
    </row>
    <row r="7252" spans="11:13" x14ac:dyDescent="0.2">
      <c r="K7252" t="s">
        <v>42</v>
      </c>
      <c r="L7252" t="s">
        <v>38</v>
      </c>
      <c r="M7252">
        <v>0</v>
      </c>
    </row>
    <row r="7253" spans="11:13" x14ac:dyDescent="0.2">
      <c r="K7253" t="s">
        <v>42</v>
      </c>
      <c r="L7253" t="s">
        <v>38</v>
      </c>
      <c r="M7253">
        <v>0</v>
      </c>
    </row>
    <row r="7254" spans="11:13" x14ac:dyDescent="0.2">
      <c r="K7254" t="s">
        <v>41</v>
      </c>
      <c r="L7254" t="s">
        <v>37</v>
      </c>
      <c r="M7254">
        <v>0</v>
      </c>
    </row>
    <row r="7255" spans="11:13" x14ac:dyDescent="0.2">
      <c r="K7255" t="s">
        <v>42</v>
      </c>
      <c r="L7255" t="s">
        <v>38</v>
      </c>
      <c r="M7255">
        <v>0</v>
      </c>
    </row>
    <row r="7256" spans="11:13" x14ac:dyDescent="0.2">
      <c r="K7256" t="s">
        <v>42</v>
      </c>
      <c r="L7256" t="s">
        <v>38</v>
      </c>
      <c r="M7256">
        <v>0</v>
      </c>
    </row>
    <row r="7257" spans="11:13" x14ac:dyDescent="0.2">
      <c r="K7257" t="s">
        <v>42</v>
      </c>
      <c r="L7257" t="s">
        <v>38</v>
      </c>
      <c r="M7257">
        <v>0</v>
      </c>
    </row>
    <row r="7258" spans="11:13" x14ac:dyDescent="0.2">
      <c r="K7258" t="s">
        <v>42</v>
      </c>
      <c r="L7258" t="s">
        <v>38</v>
      </c>
      <c r="M7258">
        <v>0</v>
      </c>
    </row>
    <row r="7259" spans="11:13" x14ac:dyDescent="0.2">
      <c r="K7259" t="s">
        <v>42</v>
      </c>
      <c r="L7259" t="s">
        <v>38</v>
      </c>
      <c r="M7259">
        <v>0</v>
      </c>
    </row>
    <row r="7260" spans="11:13" x14ac:dyDescent="0.2">
      <c r="K7260" t="s">
        <v>42</v>
      </c>
      <c r="L7260" t="s">
        <v>38</v>
      </c>
      <c r="M7260">
        <v>0</v>
      </c>
    </row>
    <row r="7261" spans="11:13" x14ac:dyDescent="0.2">
      <c r="K7261" t="s">
        <v>42</v>
      </c>
      <c r="L7261" t="s">
        <v>38</v>
      </c>
      <c r="M7261">
        <v>0</v>
      </c>
    </row>
    <row r="7262" spans="11:13" x14ac:dyDescent="0.2">
      <c r="K7262" t="s">
        <v>42</v>
      </c>
      <c r="L7262" t="s">
        <v>38</v>
      </c>
      <c r="M7262">
        <v>0</v>
      </c>
    </row>
    <row r="7263" spans="11:13" x14ac:dyDescent="0.2">
      <c r="K7263" t="s">
        <v>41</v>
      </c>
      <c r="L7263" t="s">
        <v>37</v>
      </c>
      <c r="M7263">
        <v>0</v>
      </c>
    </row>
    <row r="7264" spans="11:13" x14ac:dyDescent="0.2">
      <c r="K7264" t="s">
        <v>42</v>
      </c>
      <c r="L7264" t="s">
        <v>38</v>
      </c>
      <c r="M7264">
        <v>0</v>
      </c>
    </row>
    <row r="7265" spans="11:13" x14ac:dyDescent="0.2">
      <c r="K7265" t="s">
        <v>42</v>
      </c>
      <c r="L7265" t="s">
        <v>38</v>
      </c>
      <c r="M7265">
        <v>0</v>
      </c>
    </row>
    <row r="7266" spans="11:13" x14ac:dyDescent="0.2">
      <c r="K7266" t="s">
        <v>42</v>
      </c>
      <c r="L7266" t="s">
        <v>38</v>
      </c>
      <c r="M7266">
        <v>0</v>
      </c>
    </row>
    <row r="7267" spans="11:13" x14ac:dyDescent="0.2">
      <c r="K7267" t="s">
        <v>42</v>
      </c>
      <c r="L7267" t="s">
        <v>38</v>
      </c>
      <c r="M7267">
        <v>0</v>
      </c>
    </row>
    <row r="7268" spans="11:13" x14ac:dyDescent="0.2">
      <c r="K7268" t="s">
        <v>42</v>
      </c>
      <c r="L7268" t="s">
        <v>38</v>
      </c>
      <c r="M7268">
        <v>0</v>
      </c>
    </row>
    <row r="7269" spans="11:13" x14ac:dyDescent="0.2">
      <c r="K7269" t="s">
        <v>42</v>
      </c>
      <c r="L7269" t="s">
        <v>38</v>
      </c>
      <c r="M7269">
        <v>0</v>
      </c>
    </row>
    <row r="7270" spans="11:13" x14ac:dyDescent="0.2">
      <c r="K7270" t="s">
        <v>42</v>
      </c>
      <c r="L7270" t="s">
        <v>38</v>
      </c>
      <c r="M7270">
        <v>0</v>
      </c>
    </row>
    <row r="7271" spans="11:13" x14ac:dyDescent="0.2">
      <c r="K7271" t="s">
        <v>42</v>
      </c>
      <c r="L7271" t="s">
        <v>38</v>
      </c>
      <c r="M7271">
        <v>0</v>
      </c>
    </row>
    <row r="7272" spans="11:13" x14ac:dyDescent="0.2">
      <c r="K7272" t="s">
        <v>42</v>
      </c>
      <c r="L7272" t="s">
        <v>38</v>
      </c>
      <c r="M7272">
        <v>0</v>
      </c>
    </row>
    <row r="7273" spans="11:13" x14ac:dyDescent="0.2">
      <c r="K7273" t="s">
        <v>42</v>
      </c>
      <c r="L7273" t="s">
        <v>38</v>
      </c>
      <c r="M7273">
        <v>1</v>
      </c>
    </row>
    <row r="7274" spans="11:13" x14ac:dyDescent="0.2">
      <c r="K7274" t="s">
        <v>42</v>
      </c>
      <c r="L7274" t="s">
        <v>38</v>
      </c>
      <c r="M7274">
        <v>0</v>
      </c>
    </row>
    <row r="7275" spans="11:13" x14ac:dyDescent="0.2">
      <c r="K7275" t="s">
        <v>42</v>
      </c>
      <c r="L7275" t="s">
        <v>38</v>
      </c>
      <c r="M7275">
        <v>0</v>
      </c>
    </row>
    <row r="7276" spans="11:13" x14ac:dyDescent="0.2">
      <c r="K7276" t="s">
        <v>41</v>
      </c>
      <c r="L7276" t="s">
        <v>37</v>
      </c>
      <c r="M7276">
        <v>0</v>
      </c>
    </row>
    <row r="7277" spans="11:13" x14ac:dyDescent="0.2">
      <c r="K7277" t="s">
        <v>41</v>
      </c>
      <c r="L7277" t="s">
        <v>37</v>
      </c>
      <c r="M7277">
        <v>0</v>
      </c>
    </row>
    <row r="7278" spans="11:13" x14ac:dyDescent="0.2">
      <c r="K7278" t="s">
        <v>41</v>
      </c>
      <c r="L7278" t="s">
        <v>37</v>
      </c>
      <c r="M7278">
        <v>0</v>
      </c>
    </row>
    <row r="7279" spans="11:13" x14ac:dyDescent="0.2">
      <c r="K7279" t="s">
        <v>42</v>
      </c>
      <c r="L7279" t="s">
        <v>38</v>
      </c>
      <c r="M7279">
        <v>0</v>
      </c>
    </row>
    <row r="7280" spans="11:13" x14ac:dyDescent="0.2">
      <c r="K7280" t="s">
        <v>42</v>
      </c>
      <c r="L7280" t="s">
        <v>38</v>
      </c>
      <c r="M7280">
        <v>0</v>
      </c>
    </row>
    <row r="7281" spans="11:13" x14ac:dyDescent="0.2">
      <c r="K7281" t="s">
        <v>41</v>
      </c>
      <c r="L7281" t="s">
        <v>37</v>
      </c>
      <c r="M7281">
        <v>0</v>
      </c>
    </row>
    <row r="7282" spans="11:13" x14ac:dyDescent="0.2">
      <c r="K7282" t="s">
        <v>42</v>
      </c>
      <c r="L7282" t="s">
        <v>38</v>
      </c>
      <c r="M7282">
        <v>0</v>
      </c>
    </row>
    <row r="7283" spans="11:13" x14ac:dyDescent="0.2">
      <c r="K7283" t="s">
        <v>41</v>
      </c>
      <c r="L7283" t="s">
        <v>37</v>
      </c>
      <c r="M7283">
        <v>0</v>
      </c>
    </row>
    <row r="7284" spans="11:13" x14ac:dyDescent="0.2">
      <c r="K7284" t="s">
        <v>42</v>
      </c>
      <c r="L7284" t="s">
        <v>38</v>
      </c>
      <c r="M7284">
        <v>0</v>
      </c>
    </row>
    <row r="7285" spans="11:13" x14ac:dyDescent="0.2">
      <c r="K7285" t="s">
        <v>41</v>
      </c>
      <c r="L7285" t="s">
        <v>37</v>
      </c>
      <c r="M7285">
        <v>0</v>
      </c>
    </row>
    <row r="7286" spans="11:13" x14ac:dyDescent="0.2">
      <c r="K7286" t="s">
        <v>41</v>
      </c>
      <c r="L7286" t="s">
        <v>37</v>
      </c>
      <c r="M7286">
        <v>0</v>
      </c>
    </row>
    <row r="7287" spans="11:13" x14ac:dyDescent="0.2">
      <c r="K7287" t="s">
        <v>42</v>
      </c>
      <c r="L7287" t="s">
        <v>38</v>
      </c>
      <c r="M7287">
        <v>0</v>
      </c>
    </row>
    <row r="7288" spans="11:13" x14ac:dyDescent="0.2">
      <c r="K7288" t="s">
        <v>41</v>
      </c>
      <c r="L7288" t="s">
        <v>37</v>
      </c>
      <c r="M7288">
        <v>0</v>
      </c>
    </row>
    <row r="7289" spans="11:13" x14ac:dyDescent="0.2">
      <c r="K7289" t="s">
        <v>41</v>
      </c>
      <c r="L7289" t="s">
        <v>37</v>
      </c>
      <c r="M7289">
        <v>0</v>
      </c>
    </row>
    <row r="7290" spans="11:13" x14ac:dyDescent="0.2">
      <c r="K7290" t="s">
        <v>41</v>
      </c>
      <c r="L7290" t="s">
        <v>37</v>
      </c>
      <c r="M7290">
        <v>0</v>
      </c>
    </row>
    <row r="7291" spans="11:13" x14ac:dyDescent="0.2">
      <c r="K7291" t="s">
        <v>41</v>
      </c>
      <c r="L7291" t="s">
        <v>37</v>
      </c>
      <c r="M7291">
        <v>0</v>
      </c>
    </row>
    <row r="7292" spans="11:13" x14ac:dyDescent="0.2">
      <c r="K7292" t="s">
        <v>41</v>
      </c>
      <c r="L7292" t="s">
        <v>37</v>
      </c>
      <c r="M7292">
        <v>0</v>
      </c>
    </row>
    <row r="7293" spans="11:13" x14ac:dyDescent="0.2">
      <c r="K7293" t="s">
        <v>41</v>
      </c>
      <c r="L7293" t="s">
        <v>37</v>
      </c>
      <c r="M7293">
        <v>0</v>
      </c>
    </row>
    <row r="7294" spans="11:13" x14ac:dyDescent="0.2">
      <c r="K7294" t="s">
        <v>42</v>
      </c>
      <c r="L7294" t="s">
        <v>38</v>
      </c>
      <c r="M7294">
        <v>0</v>
      </c>
    </row>
    <row r="7295" spans="11:13" x14ac:dyDescent="0.2">
      <c r="K7295" t="s">
        <v>42</v>
      </c>
      <c r="L7295" t="s">
        <v>38</v>
      </c>
      <c r="M7295">
        <v>0</v>
      </c>
    </row>
    <row r="7296" spans="11:13" x14ac:dyDescent="0.2">
      <c r="K7296" t="s">
        <v>42</v>
      </c>
      <c r="L7296" t="s">
        <v>38</v>
      </c>
      <c r="M7296">
        <v>0</v>
      </c>
    </row>
    <row r="7297" spans="11:13" x14ac:dyDescent="0.2">
      <c r="K7297" t="s">
        <v>41</v>
      </c>
      <c r="L7297" t="s">
        <v>37</v>
      </c>
      <c r="M7297">
        <v>0</v>
      </c>
    </row>
    <row r="7298" spans="11:13" x14ac:dyDescent="0.2">
      <c r="K7298" t="s">
        <v>42</v>
      </c>
      <c r="L7298" t="s">
        <v>38</v>
      </c>
      <c r="M7298">
        <v>0</v>
      </c>
    </row>
    <row r="7299" spans="11:13" x14ac:dyDescent="0.2">
      <c r="K7299" t="s">
        <v>41</v>
      </c>
      <c r="L7299" t="s">
        <v>37</v>
      </c>
      <c r="M7299">
        <v>0</v>
      </c>
    </row>
    <row r="7300" spans="11:13" x14ac:dyDescent="0.2">
      <c r="K7300" t="s">
        <v>41</v>
      </c>
      <c r="L7300" t="s">
        <v>37</v>
      </c>
      <c r="M7300">
        <v>0</v>
      </c>
    </row>
    <row r="7301" spans="11:13" x14ac:dyDescent="0.2">
      <c r="K7301" t="s">
        <v>42</v>
      </c>
      <c r="L7301" t="s">
        <v>38</v>
      </c>
      <c r="M7301">
        <v>0</v>
      </c>
    </row>
    <row r="7302" spans="11:13" x14ac:dyDescent="0.2">
      <c r="K7302" t="s">
        <v>41</v>
      </c>
      <c r="L7302" t="s">
        <v>37</v>
      </c>
      <c r="M7302">
        <v>0</v>
      </c>
    </row>
    <row r="7303" spans="11:13" x14ac:dyDescent="0.2">
      <c r="K7303" t="s">
        <v>42</v>
      </c>
      <c r="L7303" t="s">
        <v>38</v>
      </c>
      <c r="M7303">
        <v>0</v>
      </c>
    </row>
    <row r="7304" spans="11:13" x14ac:dyDescent="0.2">
      <c r="K7304" t="s">
        <v>42</v>
      </c>
      <c r="L7304" t="s">
        <v>38</v>
      </c>
      <c r="M7304">
        <v>0</v>
      </c>
    </row>
    <row r="7305" spans="11:13" x14ac:dyDescent="0.2">
      <c r="K7305" t="s">
        <v>41</v>
      </c>
      <c r="L7305" t="s">
        <v>37</v>
      </c>
      <c r="M7305">
        <v>0</v>
      </c>
    </row>
    <row r="7306" spans="11:13" x14ac:dyDescent="0.2">
      <c r="K7306" t="s">
        <v>42</v>
      </c>
      <c r="L7306" t="s">
        <v>38</v>
      </c>
      <c r="M7306">
        <v>0</v>
      </c>
    </row>
    <row r="7307" spans="11:13" x14ac:dyDescent="0.2">
      <c r="K7307" t="s">
        <v>42</v>
      </c>
      <c r="L7307" t="s">
        <v>38</v>
      </c>
      <c r="M7307">
        <v>0</v>
      </c>
    </row>
    <row r="7308" spans="11:13" x14ac:dyDescent="0.2">
      <c r="K7308" t="s">
        <v>41</v>
      </c>
      <c r="L7308" t="s">
        <v>37</v>
      </c>
      <c r="M7308">
        <v>0</v>
      </c>
    </row>
    <row r="7309" spans="11:13" x14ac:dyDescent="0.2">
      <c r="K7309" t="s">
        <v>42</v>
      </c>
      <c r="L7309" t="s">
        <v>38</v>
      </c>
      <c r="M7309">
        <v>0</v>
      </c>
    </row>
    <row r="7310" spans="11:13" x14ac:dyDescent="0.2">
      <c r="K7310" t="s">
        <v>41</v>
      </c>
      <c r="L7310" t="s">
        <v>37</v>
      </c>
      <c r="M7310">
        <v>0</v>
      </c>
    </row>
    <row r="7311" spans="11:13" x14ac:dyDescent="0.2">
      <c r="K7311" t="s">
        <v>42</v>
      </c>
      <c r="L7311" t="s">
        <v>38</v>
      </c>
      <c r="M7311">
        <v>0</v>
      </c>
    </row>
    <row r="7312" spans="11:13" x14ac:dyDescent="0.2">
      <c r="K7312" t="s">
        <v>41</v>
      </c>
      <c r="L7312" t="s">
        <v>37</v>
      </c>
      <c r="M7312">
        <v>0</v>
      </c>
    </row>
    <row r="7313" spans="11:13" x14ac:dyDescent="0.2">
      <c r="K7313" t="s">
        <v>41</v>
      </c>
      <c r="L7313" t="s">
        <v>37</v>
      </c>
      <c r="M7313">
        <v>0</v>
      </c>
    </row>
    <row r="7314" spans="11:13" x14ac:dyDescent="0.2">
      <c r="K7314" t="s">
        <v>42</v>
      </c>
      <c r="L7314" t="s">
        <v>38</v>
      </c>
      <c r="M7314">
        <v>0</v>
      </c>
    </row>
    <row r="7315" spans="11:13" x14ac:dyDescent="0.2">
      <c r="K7315" t="s">
        <v>42</v>
      </c>
      <c r="L7315" t="s">
        <v>38</v>
      </c>
      <c r="M7315">
        <v>0</v>
      </c>
    </row>
    <row r="7316" spans="11:13" x14ac:dyDescent="0.2">
      <c r="K7316" t="s">
        <v>41</v>
      </c>
      <c r="L7316" t="s">
        <v>37</v>
      </c>
      <c r="M7316">
        <v>0</v>
      </c>
    </row>
    <row r="7317" spans="11:13" x14ac:dyDescent="0.2">
      <c r="K7317" t="s">
        <v>42</v>
      </c>
      <c r="L7317" t="s">
        <v>38</v>
      </c>
      <c r="M7317">
        <v>0</v>
      </c>
    </row>
    <row r="7318" spans="11:13" x14ac:dyDescent="0.2">
      <c r="K7318" t="s">
        <v>41</v>
      </c>
      <c r="L7318" t="s">
        <v>37</v>
      </c>
      <c r="M7318">
        <v>0</v>
      </c>
    </row>
    <row r="7319" spans="11:13" x14ac:dyDescent="0.2">
      <c r="K7319" t="s">
        <v>42</v>
      </c>
      <c r="L7319" t="s">
        <v>38</v>
      </c>
      <c r="M7319">
        <v>0</v>
      </c>
    </row>
    <row r="7320" spans="11:13" x14ac:dyDescent="0.2">
      <c r="K7320" t="s">
        <v>41</v>
      </c>
      <c r="L7320" t="s">
        <v>37</v>
      </c>
      <c r="M7320">
        <v>0</v>
      </c>
    </row>
    <row r="7321" spans="11:13" x14ac:dyDescent="0.2">
      <c r="K7321" t="s">
        <v>41</v>
      </c>
      <c r="L7321" t="s">
        <v>37</v>
      </c>
      <c r="M7321">
        <v>0</v>
      </c>
    </row>
    <row r="7322" spans="11:13" x14ac:dyDescent="0.2">
      <c r="K7322" t="s">
        <v>41</v>
      </c>
      <c r="L7322" t="s">
        <v>37</v>
      </c>
      <c r="M7322">
        <v>0</v>
      </c>
    </row>
    <row r="7323" spans="11:13" x14ac:dyDescent="0.2">
      <c r="K7323" t="s">
        <v>41</v>
      </c>
      <c r="L7323" t="s">
        <v>37</v>
      </c>
      <c r="M7323">
        <v>0</v>
      </c>
    </row>
    <row r="7324" spans="11:13" x14ac:dyDescent="0.2">
      <c r="K7324" t="s">
        <v>42</v>
      </c>
      <c r="L7324" t="s">
        <v>38</v>
      </c>
      <c r="M7324">
        <v>0</v>
      </c>
    </row>
    <row r="7325" spans="11:13" x14ac:dyDescent="0.2">
      <c r="K7325" t="s">
        <v>42</v>
      </c>
      <c r="L7325" t="s">
        <v>38</v>
      </c>
      <c r="M7325">
        <v>0</v>
      </c>
    </row>
    <row r="7326" spans="11:13" x14ac:dyDescent="0.2">
      <c r="K7326" t="s">
        <v>41</v>
      </c>
      <c r="L7326" t="s">
        <v>37</v>
      </c>
      <c r="M7326">
        <v>0</v>
      </c>
    </row>
    <row r="7327" spans="11:13" x14ac:dyDescent="0.2">
      <c r="K7327" t="s">
        <v>41</v>
      </c>
      <c r="L7327" t="s">
        <v>37</v>
      </c>
      <c r="M7327">
        <v>0</v>
      </c>
    </row>
    <row r="7328" spans="11:13" x14ac:dyDescent="0.2">
      <c r="K7328" t="s">
        <v>42</v>
      </c>
      <c r="L7328" t="s">
        <v>38</v>
      </c>
      <c r="M7328">
        <v>0</v>
      </c>
    </row>
    <row r="7329" spans="11:13" x14ac:dyDescent="0.2">
      <c r="K7329" t="s">
        <v>41</v>
      </c>
      <c r="L7329" t="s">
        <v>37</v>
      </c>
      <c r="M7329">
        <v>0</v>
      </c>
    </row>
    <row r="7330" spans="11:13" x14ac:dyDescent="0.2">
      <c r="K7330" t="s">
        <v>42</v>
      </c>
      <c r="L7330" t="s">
        <v>38</v>
      </c>
      <c r="M7330">
        <v>0</v>
      </c>
    </row>
    <row r="7331" spans="11:13" x14ac:dyDescent="0.2">
      <c r="K7331" t="s">
        <v>41</v>
      </c>
      <c r="L7331" t="s">
        <v>37</v>
      </c>
      <c r="M7331">
        <v>0</v>
      </c>
    </row>
    <row r="7332" spans="11:13" x14ac:dyDescent="0.2">
      <c r="K7332" t="s">
        <v>41</v>
      </c>
      <c r="L7332" t="s">
        <v>37</v>
      </c>
      <c r="M7332">
        <v>0</v>
      </c>
    </row>
    <row r="7333" spans="11:13" x14ac:dyDescent="0.2">
      <c r="K7333" t="s">
        <v>42</v>
      </c>
      <c r="L7333" t="s">
        <v>38</v>
      </c>
      <c r="M7333">
        <v>1</v>
      </c>
    </row>
    <row r="7334" spans="11:13" x14ac:dyDescent="0.2">
      <c r="K7334" t="s">
        <v>42</v>
      </c>
      <c r="L7334" t="s">
        <v>38</v>
      </c>
      <c r="M7334">
        <v>0</v>
      </c>
    </row>
    <row r="7335" spans="11:13" x14ac:dyDescent="0.2">
      <c r="K7335" t="s">
        <v>42</v>
      </c>
      <c r="L7335" t="s">
        <v>38</v>
      </c>
      <c r="M7335">
        <v>0</v>
      </c>
    </row>
    <row r="7336" spans="11:13" x14ac:dyDescent="0.2">
      <c r="K7336" t="s">
        <v>42</v>
      </c>
      <c r="L7336" t="s">
        <v>38</v>
      </c>
      <c r="M7336">
        <v>0</v>
      </c>
    </row>
    <row r="7337" spans="11:13" x14ac:dyDescent="0.2">
      <c r="K7337" t="s">
        <v>41</v>
      </c>
      <c r="L7337" t="s">
        <v>37</v>
      </c>
      <c r="M7337">
        <v>0</v>
      </c>
    </row>
    <row r="7338" spans="11:13" x14ac:dyDescent="0.2">
      <c r="K7338" t="s">
        <v>41</v>
      </c>
      <c r="L7338" t="s">
        <v>37</v>
      </c>
      <c r="M7338">
        <v>0</v>
      </c>
    </row>
    <row r="7339" spans="11:13" x14ac:dyDescent="0.2">
      <c r="K7339" t="s">
        <v>42</v>
      </c>
      <c r="L7339" t="s">
        <v>38</v>
      </c>
      <c r="M7339">
        <v>0</v>
      </c>
    </row>
    <row r="7340" spans="11:13" x14ac:dyDescent="0.2">
      <c r="K7340" t="s">
        <v>41</v>
      </c>
      <c r="L7340" t="s">
        <v>37</v>
      </c>
      <c r="M7340">
        <v>0</v>
      </c>
    </row>
    <row r="7341" spans="11:13" x14ac:dyDescent="0.2">
      <c r="K7341" t="s">
        <v>42</v>
      </c>
      <c r="L7341" t="s">
        <v>38</v>
      </c>
      <c r="M7341">
        <v>0</v>
      </c>
    </row>
    <row r="7342" spans="11:13" x14ac:dyDescent="0.2">
      <c r="K7342" t="s">
        <v>42</v>
      </c>
      <c r="L7342" t="s">
        <v>38</v>
      </c>
      <c r="M7342">
        <v>0</v>
      </c>
    </row>
    <row r="7343" spans="11:13" x14ac:dyDescent="0.2">
      <c r="K7343" t="s">
        <v>42</v>
      </c>
      <c r="L7343" t="s">
        <v>38</v>
      </c>
      <c r="M7343">
        <v>0</v>
      </c>
    </row>
    <row r="7344" spans="11:13" x14ac:dyDescent="0.2">
      <c r="K7344" t="s">
        <v>42</v>
      </c>
      <c r="L7344" t="s">
        <v>38</v>
      </c>
      <c r="M7344">
        <v>0</v>
      </c>
    </row>
    <row r="7345" spans="11:13" x14ac:dyDescent="0.2">
      <c r="K7345" t="s">
        <v>41</v>
      </c>
      <c r="L7345" t="s">
        <v>37</v>
      </c>
      <c r="M7345">
        <v>0</v>
      </c>
    </row>
    <row r="7346" spans="11:13" x14ac:dyDescent="0.2">
      <c r="K7346" t="s">
        <v>42</v>
      </c>
      <c r="L7346" t="s">
        <v>38</v>
      </c>
      <c r="M7346">
        <v>0</v>
      </c>
    </row>
    <row r="7347" spans="11:13" x14ac:dyDescent="0.2">
      <c r="K7347" t="s">
        <v>41</v>
      </c>
      <c r="L7347" t="s">
        <v>37</v>
      </c>
      <c r="M7347">
        <v>0</v>
      </c>
    </row>
    <row r="7348" spans="11:13" x14ac:dyDescent="0.2">
      <c r="K7348" t="s">
        <v>42</v>
      </c>
      <c r="L7348" t="s">
        <v>38</v>
      </c>
      <c r="M7348">
        <v>0</v>
      </c>
    </row>
    <row r="7349" spans="11:13" x14ac:dyDescent="0.2">
      <c r="K7349" t="s">
        <v>42</v>
      </c>
      <c r="L7349" t="s">
        <v>38</v>
      </c>
      <c r="M7349">
        <v>0</v>
      </c>
    </row>
    <row r="7350" spans="11:13" x14ac:dyDescent="0.2">
      <c r="K7350" t="s">
        <v>42</v>
      </c>
      <c r="L7350" t="s">
        <v>38</v>
      </c>
      <c r="M7350">
        <v>0</v>
      </c>
    </row>
    <row r="7351" spans="11:13" x14ac:dyDescent="0.2">
      <c r="K7351" t="s">
        <v>41</v>
      </c>
      <c r="L7351" t="s">
        <v>37</v>
      </c>
      <c r="M7351">
        <v>0</v>
      </c>
    </row>
    <row r="7352" spans="11:13" x14ac:dyDescent="0.2">
      <c r="K7352" t="s">
        <v>41</v>
      </c>
      <c r="L7352" t="s">
        <v>37</v>
      </c>
      <c r="M7352">
        <v>0</v>
      </c>
    </row>
    <row r="7353" spans="11:13" x14ac:dyDescent="0.2">
      <c r="K7353" t="s">
        <v>41</v>
      </c>
      <c r="L7353" t="s">
        <v>37</v>
      </c>
      <c r="M7353">
        <v>0</v>
      </c>
    </row>
    <row r="7354" spans="11:13" x14ac:dyDescent="0.2">
      <c r="K7354" t="s">
        <v>42</v>
      </c>
      <c r="L7354" t="s">
        <v>38</v>
      </c>
      <c r="M7354">
        <v>0</v>
      </c>
    </row>
    <row r="7355" spans="11:13" x14ac:dyDescent="0.2">
      <c r="K7355" t="s">
        <v>41</v>
      </c>
      <c r="L7355" t="s">
        <v>37</v>
      </c>
      <c r="M7355">
        <v>0</v>
      </c>
    </row>
    <row r="7356" spans="11:13" x14ac:dyDescent="0.2">
      <c r="K7356" t="s">
        <v>42</v>
      </c>
      <c r="L7356" t="s">
        <v>38</v>
      </c>
      <c r="M7356">
        <v>0</v>
      </c>
    </row>
    <row r="7357" spans="11:13" x14ac:dyDescent="0.2">
      <c r="K7357" t="s">
        <v>41</v>
      </c>
      <c r="L7357" t="s">
        <v>37</v>
      </c>
      <c r="M7357">
        <v>0</v>
      </c>
    </row>
    <row r="7358" spans="11:13" x14ac:dyDescent="0.2">
      <c r="K7358" t="s">
        <v>41</v>
      </c>
      <c r="L7358" t="s">
        <v>37</v>
      </c>
      <c r="M7358">
        <v>0</v>
      </c>
    </row>
    <row r="7359" spans="11:13" x14ac:dyDescent="0.2">
      <c r="K7359" t="s">
        <v>42</v>
      </c>
      <c r="L7359" t="s">
        <v>38</v>
      </c>
      <c r="M7359">
        <v>0</v>
      </c>
    </row>
    <row r="7360" spans="11:13" x14ac:dyDescent="0.2">
      <c r="K7360" t="s">
        <v>42</v>
      </c>
      <c r="L7360" t="s">
        <v>38</v>
      </c>
      <c r="M7360">
        <v>0</v>
      </c>
    </row>
    <row r="7361" spans="11:13" x14ac:dyDescent="0.2">
      <c r="K7361" t="s">
        <v>41</v>
      </c>
      <c r="L7361" t="s">
        <v>37</v>
      </c>
      <c r="M7361">
        <v>1</v>
      </c>
    </row>
    <row r="7362" spans="11:13" x14ac:dyDescent="0.2">
      <c r="K7362" t="s">
        <v>41</v>
      </c>
      <c r="L7362" t="s">
        <v>37</v>
      </c>
      <c r="M7362">
        <v>1</v>
      </c>
    </row>
    <row r="7363" spans="11:13" x14ac:dyDescent="0.2">
      <c r="K7363" t="s">
        <v>42</v>
      </c>
      <c r="L7363" t="s">
        <v>38</v>
      </c>
      <c r="M7363">
        <v>1</v>
      </c>
    </row>
    <row r="7364" spans="11:13" x14ac:dyDescent="0.2">
      <c r="K7364" t="s">
        <v>41</v>
      </c>
      <c r="L7364" t="s">
        <v>37</v>
      </c>
      <c r="M7364">
        <v>0</v>
      </c>
    </row>
    <row r="7365" spans="11:13" x14ac:dyDescent="0.2">
      <c r="K7365" t="s">
        <v>42</v>
      </c>
      <c r="L7365" t="s">
        <v>38</v>
      </c>
      <c r="M7365">
        <v>0</v>
      </c>
    </row>
    <row r="7366" spans="11:13" x14ac:dyDescent="0.2">
      <c r="K7366" t="s">
        <v>41</v>
      </c>
      <c r="L7366" t="s">
        <v>37</v>
      </c>
      <c r="M7366">
        <v>0</v>
      </c>
    </row>
    <row r="7367" spans="11:13" x14ac:dyDescent="0.2">
      <c r="K7367" t="s">
        <v>42</v>
      </c>
      <c r="L7367" t="s">
        <v>38</v>
      </c>
      <c r="M7367">
        <v>0</v>
      </c>
    </row>
    <row r="7368" spans="11:13" x14ac:dyDescent="0.2">
      <c r="K7368" t="s">
        <v>41</v>
      </c>
      <c r="L7368" t="s">
        <v>37</v>
      </c>
      <c r="M7368">
        <v>0</v>
      </c>
    </row>
    <row r="7369" spans="11:13" x14ac:dyDescent="0.2">
      <c r="K7369" t="s">
        <v>42</v>
      </c>
      <c r="L7369" t="s">
        <v>38</v>
      </c>
      <c r="M7369">
        <v>0</v>
      </c>
    </row>
    <row r="7370" spans="11:13" x14ac:dyDescent="0.2">
      <c r="K7370" t="s">
        <v>41</v>
      </c>
      <c r="L7370" t="s">
        <v>37</v>
      </c>
      <c r="M7370">
        <v>0</v>
      </c>
    </row>
    <row r="7371" spans="11:13" x14ac:dyDescent="0.2">
      <c r="K7371" t="s">
        <v>42</v>
      </c>
      <c r="L7371" t="s">
        <v>38</v>
      </c>
      <c r="M7371">
        <v>0</v>
      </c>
    </row>
    <row r="7372" spans="11:13" x14ac:dyDescent="0.2">
      <c r="K7372" t="s">
        <v>41</v>
      </c>
      <c r="L7372" t="s">
        <v>37</v>
      </c>
      <c r="M7372">
        <v>0</v>
      </c>
    </row>
    <row r="7373" spans="11:13" x14ac:dyDescent="0.2">
      <c r="K7373" t="s">
        <v>41</v>
      </c>
      <c r="L7373" t="s">
        <v>37</v>
      </c>
      <c r="M7373">
        <v>0</v>
      </c>
    </row>
    <row r="7374" spans="11:13" x14ac:dyDescent="0.2">
      <c r="K7374" t="s">
        <v>41</v>
      </c>
      <c r="L7374" t="s">
        <v>37</v>
      </c>
      <c r="M7374">
        <v>0</v>
      </c>
    </row>
    <row r="7375" spans="11:13" x14ac:dyDescent="0.2">
      <c r="K7375" t="s">
        <v>42</v>
      </c>
      <c r="L7375" t="s">
        <v>38</v>
      </c>
      <c r="M7375">
        <v>0</v>
      </c>
    </row>
    <row r="7376" spans="11:13" x14ac:dyDescent="0.2">
      <c r="K7376" t="s">
        <v>42</v>
      </c>
      <c r="L7376" t="s">
        <v>38</v>
      </c>
      <c r="M7376">
        <v>0</v>
      </c>
    </row>
    <row r="7377" spans="11:13" x14ac:dyDescent="0.2">
      <c r="K7377" t="s">
        <v>41</v>
      </c>
      <c r="L7377" t="s">
        <v>37</v>
      </c>
      <c r="M7377">
        <v>0</v>
      </c>
    </row>
    <row r="7378" spans="11:13" x14ac:dyDescent="0.2">
      <c r="K7378" t="s">
        <v>42</v>
      </c>
      <c r="L7378" t="s">
        <v>38</v>
      </c>
      <c r="M7378">
        <v>0</v>
      </c>
    </row>
    <row r="7379" spans="11:13" x14ac:dyDescent="0.2">
      <c r="K7379" t="s">
        <v>41</v>
      </c>
      <c r="L7379" t="s">
        <v>37</v>
      </c>
      <c r="M7379">
        <v>0</v>
      </c>
    </row>
    <row r="7380" spans="11:13" x14ac:dyDescent="0.2">
      <c r="K7380" t="s">
        <v>41</v>
      </c>
      <c r="L7380" t="s">
        <v>37</v>
      </c>
      <c r="M7380">
        <v>0</v>
      </c>
    </row>
    <row r="7381" spans="11:13" x14ac:dyDescent="0.2">
      <c r="K7381" t="s">
        <v>41</v>
      </c>
      <c r="L7381" t="s">
        <v>37</v>
      </c>
      <c r="M7381">
        <v>0</v>
      </c>
    </row>
    <row r="7382" spans="11:13" x14ac:dyDescent="0.2">
      <c r="K7382" t="s">
        <v>41</v>
      </c>
      <c r="L7382" t="s">
        <v>37</v>
      </c>
      <c r="M7382">
        <v>0</v>
      </c>
    </row>
    <row r="7383" spans="11:13" x14ac:dyDescent="0.2">
      <c r="K7383" t="s">
        <v>42</v>
      </c>
      <c r="L7383" t="s">
        <v>38</v>
      </c>
      <c r="M7383">
        <v>1</v>
      </c>
    </row>
    <row r="7384" spans="11:13" x14ac:dyDescent="0.2">
      <c r="K7384" t="s">
        <v>42</v>
      </c>
      <c r="L7384" t="s">
        <v>38</v>
      </c>
      <c r="M7384">
        <v>0</v>
      </c>
    </row>
    <row r="7385" spans="11:13" x14ac:dyDescent="0.2">
      <c r="K7385" t="s">
        <v>42</v>
      </c>
      <c r="L7385" t="s">
        <v>38</v>
      </c>
      <c r="M7385">
        <v>0</v>
      </c>
    </row>
    <row r="7386" spans="11:13" x14ac:dyDescent="0.2">
      <c r="K7386" t="s">
        <v>41</v>
      </c>
      <c r="L7386" t="s">
        <v>37</v>
      </c>
      <c r="M7386">
        <v>0</v>
      </c>
    </row>
    <row r="7387" spans="11:13" x14ac:dyDescent="0.2">
      <c r="K7387" t="s">
        <v>41</v>
      </c>
      <c r="L7387" t="s">
        <v>37</v>
      </c>
      <c r="M7387">
        <v>0</v>
      </c>
    </row>
    <row r="7388" spans="11:13" x14ac:dyDescent="0.2">
      <c r="K7388" t="s">
        <v>41</v>
      </c>
      <c r="L7388" t="s">
        <v>37</v>
      </c>
      <c r="M7388">
        <v>0</v>
      </c>
    </row>
    <row r="7389" spans="11:13" x14ac:dyDescent="0.2">
      <c r="K7389" t="s">
        <v>42</v>
      </c>
      <c r="L7389" t="s">
        <v>38</v>
      </c>
      <c r="M7389">
        <v>0</v>
      </c>
    </row>
    <row r="7390" spans="11:13" x14ac:dyDescent="0.2">
      <c r="K7390" t="s">
        <v>42</v>
      </c>
      <c r="L7390" t="s">
        <v>38</v>
      </c>
      <c r="M7390">
        <v>0</v>
      </c>
    </row>
    <row r="7391" spans="11:13" x14ac:dyDescent="0.2">
      <c r="K7391" t="s">
        <v>41</v>
      </c>
      <c r="L7391" t="s">
        <v>37</v>
      </c>
      <c r="M7391">
        <v>0</v>
      </c>
    </row>
    <row r="7392" spans="11:13" x14ac:dyDescent="0.2">
      <c r="K7392" t="s">
        <v>42</v>
      </c>
      <c r="L7392" t="s">
        <v>38</v>
      </c>
      <c r="M7392">
        <v>0</v>
      </c>
    </row>
    <row r="7393" spans="11:13" x14ac:dyDescent="0.2">
      <c r="K7393" t="s">
        <v>41</v>
      </c>
      <c r="L7393" t="s">
        <v>37</v>
      </c>
      <c r="M7393">
        <v>0</v>
      </c>
    </row>
    <row r="7394" spans="11:13" x14ac:dyDescent="0.2">
      <c r="K7394" t="s">
        <v>42</v>
      </c>
      <c r="L7394" t="s">
        <v>38</v>
      </c>
      <c r="M7394">
        <v>0</v>
      </c>
    </row>
    <row r="7395" spans="11:13" x14ac:dyDescent="0.2">
      <c r="K7395" t="s">
        <v>41</v>
      </c>
      <c r="L7395" t="s">
        <v>37</v>
      </c>
      <c r="M7395">
        <v>0</v>
      </c>
    </row>
    <row r="7396" spans="11:13" x14ac:dyDescent="0.2">
      <c r="K7396" t="s">
        <v>42</v>
      </c>
      <c r="L7396" t="s">
        <v>38</v>
      </c>
      <c r="M7396">
        <v>0</v>
      </c>
    </row>
    <row r="7397" spans="11:13" x14ac:dyDescent="0.2">
      <c r="K7397" t="s">
        <v>42</v>
      </c>
      <c r="L7397" t="s">
        <v>38</v>
      </c>
      <c r="M7397">
        <v>0</v>
      </c>
    </row>
    <row r="7398" spans="11:13" x14ac:dyDescent="0.2">
      <c r="K7398" t="s">
        <v>41</v>
      </c>
      <c r="L7398" t="s">
        <v>37</v>
      </c>
      <c r="M7398">
        <v>0</v>
      </c>
    </row>
    <row r="7399" spans="11:13" x14ac:dyDescent="0.2">
      <c r="K7399" t="s">
        <v>42</v>
      </c>
      <c r="L7399" t="s">
        <v>38</v>
      </c>
      <c r="M7399">
        <v>0</v>
      </c>
    </row>
    <row r="7400" spans="11:13" x14ac:dyDescent="0.2">
      <c r="K7400" t="s">
        <v>42</v>
      </c>
      <c r="L7400" t="s">
        <v>38</v>
      </c>
      <c r="M7400">
        <v>0</v>
      </c>
    </row>
    <row r="7401" spans="11:13" x14ac:dyDescent="0.2">
      <c r="K7401" t="s">
        <v>42</v>
      </c>
      <c r="L7401" t="s">
        <v>38</v>
      </c>
      <c r="M7401">
        <v>0</v>
      </c>
    </row>
    <row r="7402" spans="11:13" x14ac:dyDescent="0.2">
      <c r="K7402" t="s">
        <v>41</v>
      </c>
      <c r="L7402" t="s">
        <v>37</v>
      </c>
      <c r="M7402">
        <v>0</v>
      </c>
    </row>
    <row r="7403" spans="11:13" x14ac:dyDescent="0.2">
      <c r="K7403" t="s">
        <v>41</v>
      </c>
      <c r="L7403" t="s">
        <v>37</v>
      </c>
      <c r="M7403">
        <v>0</v>
      </c>
    </row>
    <row r="7404" spans="11:13" x14ac:dyDescent="0.2">
      <c r="K7404" t="s">
        <v>41</v>
      </c>
      <c r="L7404" t="s">
        <v>37</v>
      </c>
      <c r="M7404">
        <v>0</v>
      </c>
    </row>
    <row r="7405" spans="11:13" x14ac:dyDescent="0.2">
      <c r="K7405" t="s">
        <v>41</v>
      </c>
      <c r="L7405" t="s">
        <v>37</v>
      </c>
      <c r="M7405">
        <v>0</v>
      </c>
    </row>
    <row r="7406" spans="11:13" x14ac:dyDescent="0.2">
      <c r="K7406" t="s">
        <v>41</v>
      </c>
      <c r="L7406" t="s">
        <v>37</v>
      </c>
      <c r="M7406">
        <v>0</v>
      </c>
    </row>
    <row r="7407" spans="11:13" x14ac:dyDescent="0.2">
      <c r="K7407" t="s">
        <v>42</v>
      </c>
      <c r="L7407" t="s">
        <v>38</v>
      </c>
      <c r="M7407">
        <v>0</v>
      </c>
    </row>
    <row r="7408" spans="11:13" x14ac:dyDescent="0.2">
      <c r="K7408" t="s">
        <v>42</v>
      </c>
      <c r="L7408" t="s">
        <v>38</v>
      </c>
      <c r="M7408">
        <v>0</v>
      </c>
    </row>
    <row r="7409" spans="11:13" x14ac:dyDescent="0.2">
      <c r="K7409" t="s">
        <v>41</v>
      </c>
      <c r="L7409" t="s">
        <v>37</v>
      </c>
      <c r="M7409">
        <v>0</v>
      </c>
    </row>
    <row r="7410" spans="11:13" x14ac:dyDescent="0.2">
      <c r="K7410" t="s">
        <v>41</v>
      </c>
      <c r="L7410" t="s">
        <v>37</v>
      </c>
      <c r="M7410">
        <v>0</v>
      </c>
    </row>
    <row r="7411" spans="11:13" x14ac:dyDescent="0.2">
      <c r="K7411" t="s">
        <v>41</v>
      </c>
      <c r="L7411" t="s">
        <v>37</v>
      </c>
      <c r="M7411">
        <v>0</v>
      </c>
    </row>
    <row r="7412" spans="11:13" x14ac:dyDescent="0.2">
      <c r="K7412" t="s">
        <v>42</v>
      </c>
      <c r="L7412" t="s">
        <v>38</v>
      </c>
      <c r="M7412">
        <v>0</v>
      </c>
    </row>
    <row r="7413" spans="11:13" x14ac:dyDescent="0.2">
      <c r="K7413" t="s">
        <v>41</v>
      </c>
      <c r="L7413" t="s">
        <v>37</v>
      </c>
      <c r="M7413">
        <v>0</v>
      </c>
    </row>
    <row r="7414" spans="11:13" x14ac:dyDescent="0.2">
      <c r="K7414" t="s">
        <v>42</v>
      </c>
      <c r="L7414" t="s">
        <v>38</v>
      </c>
      <c r="M7414">
        <v>0</v>
      </c>
    </row>
    <row r="7415" spans="11:13" x14ac:dyDescent="0.2">
      <c r="K7415" t="s">
        <v>42</v>
      </c>
      <c r="L7415" t="s">
        <v>38</v>
      </c>
      <c r="M7415">
        <v>0</v>
      </c>
    </row>
    <row r="7416" spans="11:13" x14ac:dyDescent="0.2">
      <c r="K7416" t="s">
        <v>41</v>
      </c>
      <c r="L7416" t="s">
        <v>37</v>
      </c>
      <c r="M7416">
        <v>0</v>
      </c>
    </row>
    <row r="7417" spans="11:13" x14ac:dyDescent="0.2">
      <c r="K7417" t="s">
        <v>42</v>
      </c>
      <c r="L7417" t="s">
        <v>38</v>
      </c>
      <c r="M7417">
        <v>0</v>
      </c>
    </row>
    <row r="7418" spans="11:13" x14ac:dyDescent="0.2">
      <c r="K7418" t="s">
        <v>42</v>
      </c>
      <c r="L7418" t="s">
        <v>38</v>
      </c>
      <c r="M7418">
        <v>0</v>
      </c>
    </row>
    <row r="7419" spans="11:13" x14ac:dyDescent="0.2">
      <c r="K7419" t="s">
        <v>41</v>
      </c>
      <c r="L7419" t="s">
        <v>37</v>
      </c>
      <c r="M7419">
        <v>0</v>
      </c>
    </row>
    <row r="7420" spans="11:13" x14ac:dyDescent="0.2">
      <c r="K7420" t="s">
        <v>41</v>
      </c>
      <c r="L7420" t="s">
        <v>37</v>
      </c>
      <c r="M7420">
        <v>0</v>
      </c>
    </row>
    <row r="7421" spans="11:13" x14ac:dyDescent="0.2">
      <c r="K7421" t="s">
        <v>41</v>
      </c>
      <c r="L7421" t="s">
        <v>37</v>
      </c>
      <c r="M7421">
        <v>0</v>
      </c>
    </row>
    <row r="7422" spans="11:13" x14ac:dyDescent="0.2">
      <c r="K7422" t="s">
        <v>42</v>
      </c>
      <c r="L7422" t="s">
        <v>38</v>
      </c>
      <c r="M7422">
        <v>0</v>
      </c>
    </row>
    <row r="7423" spans="11:13" x14ac:dyDescent="0.2">
      <c r="K7423" t="s">
        <v>41</v>
      </c>
      <c r="L7423" t="s">
        <v>37</v>
      </c>
      <c r="M7423">
        <v>1</v>
      </c>
    </row>
    <row r="7424" spans="11:13" x14ac:dyDescent="0.2">
      <c r="K7424" t="s">
        <v>41</v>
      </c>
      <c r="L7424" t="s">
        <v>37</v>
      </c>
      <c r="M7424">
        <v>0</v>
      </c>
    </row>
    <row r="7425" spans="11:13" x14ac:dyDescent="0.2">
      <c r="K7425" t="s">
        <v>41</v>
      </c>
      <c r="L7425" t="s">
        <v>37</v>
      </c>
      <c r="M7425">
        <v>0</v>
      </c>
    </row>
    <row r="7426" spans="11:13" x14ac:dyDescent="0.2">
      <c r="K7426" t="s">
        <v>42</v>
      </c>
      <c r="L7426" t="s">
        <v>38</v>
      </c>
      <c r="M7426">
        <v>0</v>
      </c>
    </row>
    <row r="7427" spans="11:13" x14ac:dyDescent="0.2">
      <c r="K7427" t="s">
        <v>41</v>
      </c>
      <c r="L7427" t="s">
        <v>37</v>
      </c>
      <c r="M7427">
        <v>0</v>
      </c>
    </row>
    <row r="7428" spans="11:13" x14ac:dyDescent="0.2">
      <c r="K7428" t="s">
        <v>41</v>
      </c>
      <c r="L7428" t="s">
        <v>37</v>
      </c>
      <c r="M7428">
        <v>0</v>
      </c>
    </row>
    <row r="7429" spans="11:13" x14ac:dyDescent="0.2">
      <c r="K7429" t="s">
        <v>42</v>
      </c>
      <c r="L7429" t="s">
        <v>38</v>
      </c>
      <c r="M7429">
        <v>0</v>
      </c>
    </row>
    <row r="7430" spans="11:13" x14ac:dyDescent="0.2">
      <c r="K7430" t="s">
        <v>41</v>
      </c>
      <c r="L7430" t="s">
        <v>37</v>
      </c>
      <c r="M7430">
        <v>0</v>
      </c>
    </row>
    <row r="7431" spans="11:13" x14ac:dyDescent="0.2">
      <c r="K7431" t="s">
        <v>41</v>
      </c>
      <c r="L7431" t="s">
        <v>37</v>
      </c>
      <c r="M7431">
        <v>0</v>
      </c>
    </row>
    <row r="7432" spans="11:13" x14ac:dyDescent="0.2">
      <c r="K7432" t="s">
        <v>41</v>
      </c>
      <c r="L7432" t="s">
        <v>37</v>
      </c>
      <c r="M7432">
        <v>0</v>
      </c>
    </row>
    <row r="7433" spans="11:13" x14ac:dyDescent="0.2">
      <c r="K7433" t="s">
        <v>42</v>
      </c>
      <c r="L7433" t="s">
        <v>38</v>
      </c>
      <c r="M7433">
        <v>0</v>
      </c>
    </row>
    <row r="7434" spans="11:13" x14ac:dyDescent="0.2">
      <c r="K7434" t="s">
        <v>41</v>
      </c>
      <c r="L7434" t="s">
        <v>37</v>
      </c>
      <c r="M7434">
        <v>0</v>
      </c>
    </row>
    <row r="7435" spans="11:13" x14ac:dyDescent="0.2">
      <c r="K7435" t="s">
        <v>41</v>
      </c>
      <c r="L7435" t="s">
        <v>37</v>
      </c>
      <c r="M7435">
        <v>0</v>
      </c>
    </row>
    <row r="7436" spans="11:13" x14ac:dyDescent="0.2">
      <c r="K7436" t="s">
        <v>41</v>
      </c>
      <c r="L7436" t="s">
        <v>37</v>
      </c>
      <c r="M7436">
        <v>0</v>
      </c>
    </row>
    <row r="7437" spans="11:13" x14ac:dyDescent="0.2">
      <c r="K7437" t="s">
        <v>42</v>
      </c>
      <c r="L7437" t="s">
        <v>38</v>
      </c>
      <c r="M7437">
        <v>0</v>
      </c>
    </row>
    <row r="7438" spans="11:13" x14ac:dyDescent="0.2">
      <c r="K7438" t="s">
        <v>42</v>
      </c>
      <c r="L7438" t="s">
        <v>38</v>
      </c>
      <c r="M7438">
        <v>0</v>
      </c>
    </row>
    <row r="7439" spans="11:13" x14ac:dyDescent="0.2">
      <c r="K7439" t="s">
        <v>41</v>
      </c>
      <c r="L7439" t="s">
        <v>37</v>
      </c>
      <c r="M7439">
        <v>0</v>
      </c>
    </row>
    <row r="7440" spans="11:13" x14ac:dyDescent="0.2">
      <c r="K7440" t="s">
        <v>42</v>
      </c>
      <c r="L7440" t="s">
        <v>38</v>
      </c>
      <c r="M7440">
        <v>0</v>
      </c>
    </row>
    <row r="7441" spans="11:13" x14ac:dyDescent="0.2">
      <c r="K7441" t="s">
        <v>42</v>
      </c>
      <c r="L7441" t="s">
        <v>38</v>
      </c>
      <c r="M7441">
        <v>0</v>
      </c>
    </row>
    <row r="7442" spans="11:13" x14ac:dyDescent="0.2">
      <c r="K7442" t="s">
        <v>42</v>
      </c>
      <c r="L7442" t="s">
        <v>38</v>
      </c>
      <c r="M7442">
        <v>0</v>
      </c>
    </row>
    <row r="7443" spans="11:13" x14ac:dyDescent="0.2">
      <c r="K7443" t="s">
        <v>42</v>
      </c>
      <c r="L7443" t="s">
        <v>38</v>
      </c>
      <c r="M7443">
        <v>0</v>
      </c>
    </row>
    <row r="7444" spans="11:13" x14ac:dyDescent="0.2">
      <c r="K7444" t="s">
        <v>42</v>
      </c>
      <c r="L7444" t="s">
        <v>38</v>
      </c>
      <c r="M7444">
        <v>0</v>
      </c>
    </row>
    <row r="7445" spans="11:13" x14ac:dyDescent="0.2">
      <c r="K7445" t="s">
        <v>41</v>
      </c>
      <c r="L7445" t="s">
        <v>37</v>
      </c>
      <c r="M7445">
        <v>0</v>
      </c>
    </row>
    <row r="7446" spans="11:13" x14ac:dyDescent="0.2">
      <c r="K7446" t="s">
        <v>41</v>
      </c>
      <c r="L7446" t="s">
        <v>37</v>
      </c>
      <c r="M7446">
        <v>0</v>
      </c>
    </row>
    <row r="7447" spans="11:13" x14ac:dyDescent="0.2">
      <c r="K7447" t="s">
        <v>42</v>
      </c>
      <c r="L7447" t="s">
        <v>38</v>
      </c>
      <c r="M7447">
        <v>1</v>
      </c>
    </row>
    <row r="7448" spans="11:13" x14ac:dyDescent="0.2">
      <c r="K7448" t="s">
        <v>42</v>
      </c>
      <c r="L7448" t="s">
        <v>38</v>
      </c>
      <c r="M7448">
        <v>0</v>
      </c>
    </row>
    <row r="7449" spans="11:13" x14ac:dyDescent="0.2">
      <c r="K7449" t="s">
        <v>41</v>
      </c>
      <c r="L7449" t="s">
        <v>37</v>
      </c>
      <c r="M7449">
        <v>0</v>
      </c>
    </row>
    <row r="7450" spans="11:13" x14ac:dyDescent="0.2">
      <c r="K7450" t="s">
        <v>42</v>
      </c>
      <c r="L7450" t="s">
        <v>38</v>
      </c>
      <c r="M7450">
        <v>0</v>
      </c>
    </row>
    <row r="7451" spans="11:13" x14ac:dyDescent="0.2">
      <c r="K7451" t="s">
        <v>41</v>
      </c>
      <c r="L7451" t="s">
        <v>37</v>
      </c>
      <c r="M7451">
        <v>0</v>
      </c>
    </row>
    <row r="7452" spans="11:13" x14ac:dyDescent="0.2">
      <c r="K7452" t="s">
        <v>41</v>
      </c>
      <c r="L7452" t="s">
        <v>37</v>
      </c>
      <c r="M7452">
        <v>0</v>
      </c>
    </row>
    <row r="7453" spans="11:13" x14ac:dyDescent="0.2">
      <c r="K7453" t="s">
        <v>42</v>
      </c>
      <c r="L7453" t="s">
        <v>38</v>
      </c>
      <c r="M7453">
        <v>0</v>
      </c>
    </row>
    <row r="7454" spans="11:13" x14ac:dyDescent="0.2">
      <c r="K7454" t="s">
        <v>42</v>
      </c>
      <c r="L7454" t="s">
        <v>38</v>
      </c>
      <c r="M7454">
        <v>0</v>
      </c>
    </row>
    <row r="7455" spans="11:13" x14ac:dyDescent="0.2">
      <c r="K7455" t="s">
        <v>41</v>
      </c>
      <c r="L7455" t="s">
        <v>37</v>
      </c>
      <c r="M7455">
        <v>0</v>
      </c>
    </row>
    <row r="7456" spans="11:13" x14ac:dyDescent="0.2">
      <c r="K7456" t="s">
        <v>42</v>
      </c>
      <c r="L7456" t="s">
        <v>38</v>
      </c>
      <c r="M7456">
        <v>0</v>
      </c>
    </row>
    <row r="7457" spans="11:13" x14ac:dyDescent="0.2">
      <c r="K7457" t="s">
        <v>41</v>
      </c>
      <c r="L7457" t="s">
        <v>37</v>
      </c>
      <c r="M7457">
        <v>0</v>
      </c>
    </row>
    <row r="7458" spans="11:13" x14ac:dyDescent="0.2">
      <c r="K7458" t="s">
        <v>42</v>
      </c>
      <c r="L7458" t="s">
        <v>38</v>
      </c>
      <c r="M7458">
        <v>0</v>
      </c>
    </row>
    <row r="7459" spans="11:13" x14ac:dyDescent="0.2">
      <c r="K7459" t="s">
        <v>42</v>
      </c>
      <c r="L7459" t="s">
        <v>38</v>
      </c>
      <c r="M7459">
        <v>0</v>
      </c>
    </row>
    <row r="7460" spans="11:13" x14ac:dyDescent="0.2">
      <c r="K7460" t="s">
        <v>42</v>
      </c>
      <c r="L7460" t="s">
        <v>38</v>
      </c>
      <c r="M7460">
        <v>0</v>
      </c>
    </row>
    <row r="7461" spans="11:13" x14ac:dyDescent="0.2">
      <c r="K7461" t="s">
        <v>41</v>
      </c>
      <c r="L7461" t="s">
        <v>37</v>
      </c>
      <c r="M7461">
        <v>0</v>
      </c>
    </row>
    <row r="7462" spans="11:13" x14ac:dyDescent="0.2">
      <c r="K7462" t="s">
        <v>41</v>
      </c>
      <c r="L7462" t="s">
        <v>37</v>
      </c>
      <c r="M7462">
        <v>0</v>
      </c>
    </row>
    <row r="7463" spans="11:13" x14ac:dyDescent="0.2">
      <c r="K7463" t="s">
        <v>41</v>
      </c>
      <c r="L7463" t="s">
        <v>37</v>
      </c>
      <c r="M7463">
        <v>0</v>
      </c>
    </row>
    <row r="7464" spans="11:13" x14ac:dyDescent="0.2">
      <c r="K7464" t="s">
        <v>41</v>
      </c>
      <c r="L7464" t="s">
        <v>37</v>
      </c>
      <c r="M7464">
        <v>0</v>
      </c>
    </row>
    <row r="7465" spans="11:13" x14ac:dyDescent="0.2">
      <c r="K7465" t="s">
        <v>41</v>
      </c>
      <c r="L7465" t="s">
        <v>37</v>
      </c>
      <c r="M7465">
        <v>0</v>
      </c>
    </row>
    <row r="7466" spans="11:13" x14ac:dyDescent="0.2">
      <c r="K7466" t="s">
        <v>42</v>
      </c>
      <c r="L7466" t="s">
        <v>38</v>
      </c>
      <c r="M7466">
        <v>0</v>
      </c>
    </row>
    <row r="7467" spans="11:13" x14ac:dyDescent="0.2">
      <c r="K7467" t="s">
        <v>42</v>
      </c>
      <c r="L7467" t="s">
        <v>38</v>
      </c>
      <c r="M7467">
        <v>0</v>
      </c>
    </row>
    <row r="7468" spans="11:13" x14ac:dyDescent="0.2">
      <c r="K7468" t="s">
        <v>42</v>
      </c>
      <c r="L7468" t="s">
        <v>38</v>
      </c>
      <c r="M7468">
        <v>0</v>
      </c>
    </row>
    <row r="7469" spans="11:13" x14ac:dyDescent="0.2">
      <c r="K7469" t="s">
        <v>41</v>
      </c>
      <c r="L7469" t="s">
        <v>37</v>
      </c>
      <c r="M7469">
        <v>0</v>
      </c>
    </row>
    <row r="7470" spans="11:13" x14ac:dyDescent="0.2">
      <c r="K7470" t="s">
        <v>42</v>
      </c>
      <c r="L7470" t="s">
        <v>38</v>
      </c>
      <c r="M7470">
        <v>0</v>
      </c>
    </row>
    <row r="7471" spans="11:13" x14ac:dyDescent="0.2">
      <c r="K7471" t="s">
        <v>41</v>
      </c>
      <c r="L7471" t="s">
        <v>37</v>
      </c>
      <c r="M7471">
        <v>0</v>
      </c>
    </row>
    <row r="7472" spans="11:13" x14ac:dyDescent="0.2">
      <c r="K7472" t="s">
        <v>41</v>
      </c>
      <c r="L7472" t="s">
        <v>37</v>
      </c>
      <c r="M7472">
        <v>0</v>
      </c>
    </row>
    <row r="7473" spans="11:13" x14ac:dyDescent="0.2">
      <c r="K7473" t="s">
        <v>42</v>
      </c>
      <c r="L7473" t="s">
        <v>38</v>
      </c>
      <c r="M7473">
        <v>0</v>
      </c>
    </row>
    <row r="7474" spans="11:13" x14ac:dyDescent="0.2">
      <c r="K7474" t="s">
        <v>42</v>
      </c>
      <c r="L7474" t="s">
        <v>38</v>
      </c>
      <c r="M7474">
        <v>0</v>
      </c>
    </row>
    <row r="7475" spans="11:13" x14ac:dyDescent="0.2">
      <c r="K7475" t="s">
        <v>42</v>
      </c>
      <c r="L7475" t="s">
        <v>38</v>
      </c>
      <c r="M7475">
        <v>0</v>
      </c>
    </row>
    <row r="7476" spans="11:13" x14ac:dyDescent="0.2">
      <c r="K7476" t="s">
        <v>42</v>
      </c>
      <c r="L7476" t="s">
        <v>38</v>
      </c>
      <c r="M7476">
        <v>0</v>
      </c>
    </row>
    <row r="7477" spans="11:13" x14ac:dyDescent="0.2">
      <c r="K7477" t="s">
        <v>42</v>
      </c>
      <c r="L7477" t="s">
        <v>38</v>
      </c>
      <c r="M7477">
        <v>0</v>
      </c>
    </row>
    <row r="7478" spans="11:13" x14ac:dyDescent="0.2">
      <c r="K7478" t="s">
        <v>41</v>
      </c>
      <c r="L7478" t="s">
        <v>37</v>
      </c>
      <c r="M7478">
        <v>0</v>
      </c>
    </row>
    <row r="7479" spans="11:13" x14ac:dyDescent="0.2">
      <c r="K7479" t="s">
        <v>41</v>
      </c>
      <c r="L7479" t="s">
        <v>37</v>
      </c>
      <c r="M7479">
        <v>0</v>
      </c>
    </row>
    <row r="7480" spans="11:13" x14ac:dyDescent="0.2">
      <c r="K7480" t="s">
        <v>42</v>
      </c>
      <c r="L7480" t="s">
        <v>38</v>
      </c>
      <c r="M7480">
        <v>0</v>
      </c>
    </row>
    <row r="7481" spans="11:13" x14ac:dyDescent="0.2">
      <c r="K7481" t="s">
        <v>42</v>
      </c>
      <c r="L7481" t="s">
        <v>38</v>
      </c>
      <c r="M7481">
        <v>1</v>
      </c>
    </row>
    <row r="7482" spans="11:13" x14ac:dyDescent="0.2">
      <c r="K7482" t="s">
        <v>42</v>
      </c>
      <c r="L7482" t="s">
        <v>38</v>
      </c>
      <c r="M7482">
        <v>0</v>
      </c>
    </row>
    <row r="7483" spans="11:13" x14ac:dyDescent="0.2">
      <c r="K7483" t="s">
        <v>41</v>
      </c>
      <c r="L7483" t="s">
        <v>37</v>
      </c>
      <c r="M7483">
        <v>0</v>
      </c>
    </row>
    <row r="7484" spans="11:13" x14ac:dyDescent="0.2">
      <c r="K7484" t="s">
        <v>42</v>
      </c>
      <c r="L7484" t="s">
        <v>38</v>
      </c>
      <c r="M7484">
        <v>0</v>
      </c>
    </row>
    <row r="7485" spans="11:13" x14ac:dyDescent="0.2">
      <c r="K7485" t="s">
        <v>41</v>
      </c>
      <c r="L7485" t="s">
        <v>37</v>
      </c>
      <c r="M7485">
        <v>0</v>
      </c>
    </row>
    <row r="7486" spans="11:13" x14ac:dyDescent="0.2">
      <c r="K7486" t="s">
        <v>42</v>
      </c>
      <c r="L7486" t="s">
        <v>38</v>
      </c>
      <c r="M7486">
        <v>0</v>
      </c>
    </row>
    <row r="7487" spans="11:13" x14ac:dyDescent="0.2">
      <c r="K7487" t="s">
        <v>42</v>
      </c>
      <c r="L7487" t="s">
        <v>38</v>
      </c>
      <c r="M7487">
        <v>0</v>
      </c>
    </row>
    <row r="7488" spans="11:13" x14ac:dyDescent="0.2">
      <c r="K7488" t="s">
        <v>42</v>
      </c>
      <c r="L7488" t="s">
        <v>38</v>
      </c>
      <c r="M7488">
        <v>0</v>
      </c>
    </row>
    <row r="7489" spans="11:13" x14ac:dyDescent="0.2">
      <c r="K7489" t="s">
        <v>41</v>
      </c>
      <c r="L7489" t="s">
        <v>37</v>
      </c>
      <c r="M7489">
        <v>0</v>
      </c>
    </row>
    <row r="7490" spans="11:13" x14ac:dyDescent="0.2">
      <c r="K7490" t="s">
        <v>42</v>
      </c>
      <c r="L7490" t="s">
        <v>38</v>
      </c>
      <c r="M7490">
        <v>0</v>
      </c>
    </row>
    <row r="7491" spans="11:13" x14ac:dyDescent="0.2">
      <c r="K7491" t="s">
        <v>42</v>
      </c>
      <c r="L7491" t="s">
        <v>38</v>
      </c>
      <c r="M7491">
        <v>0</v>
      </c>
    </row>
    <row r="7492" spans="11:13" x14ac:dyDescent="0.2">
      <c r="K7492" t="s">
        <v>41</v>
      </c>
      <c r="L7492" t="s">
        <v>37</v>
      </c>
      <c r="M7492">
        <v>1</v>
      </c>
    </row>
    <row r="7493" spans="11:13" x14ac:dyDescent="0.2">
      <c r="K7493" t="s">
        <v>41</v>
      </c>
      <c r="L7493" t="s">
        <v>37</v>
      </c>
      <c r="M7493">
        <v>1</v>
      </c>
    </row>
    <row r="7494" spans="11:13" x14ac:dyDescent="0.2">
      <c r="K7494" t="s">
        <v>42</v>
      </c>
      <c r="L7494" t="s">
        <v>38</v>
      </c>
      <c r="M7494">
        <v>0</v>
      </c>
    </row>
    <row r="7495" spans="11:13" x14ac:dyDescent="0.2">
      <c r="K7495" t="s">
        <v>41</v>
      </c>
      <c r="L7495" t="s">
        <v>37</v>
      </c>
      <c r="M7495">
        <v>0</v>
      </c>
    </row>
    <row r="7496" spans="11:13" x14ac:dyDescent="0.2">
      <c r="K7496" t="s">
        <v>41</v>
      </c>
      <c r="L7496" t="s">
        <v>37</v>
      </c>
      <c r="M7496">
        <v>0</v>
      </c>
    </row>
    <row r="7497" spans="11:13" x14ac:dyDescent="0.2">
      <c r="K7497" t="s">
        <v>42</v>
      </c>
      <c r="L7497" t="s">
        <v>38</v>
      </c>
      <c r="M7497">
        <v>0</v>
      </c>
    </row>
    <row r="7498" spans="11:13" x14ac:dyDescent="0.2">
      <c r="K7498" t="s">
        <v>42</v>
      </c>
      <c r="L7498" t="s">
        <v>38</v>
      </c>
      <c r="M7498">
        <v>0</v>
      </c>
    </row>
    <row r="7499" spans="11:13" x14ac:dyDescent="0.2">
      <c r="K7499" t="s">
        <v>41</v>
      </c>
      <c r="L7499" t="s">
        <v>37</v>
      </c>
      <c r="M7499">
        <v>0</v>
      </c>
    </row>
    <row r="7500" spans="11:13" x14ac:dyDescent="0.2">
      <c r="K7500" t="s">
        <v>42</v>
      </c>
      <c r="L7500" t="s">
        <v>38</v>
      </c>
      <c r="M7500">
        <v>0</v>
      </c>
    </row>
    <row r="7501" spans="11:13" x14ac:dyDescent="0.2">
      <c r="K7501" t="s">
        <v>42</v>
      </c>
      <c r="L7501" t="s">
        <v>38</v>
      </c>
      <c r="M7501">
        <v>0</v>
      </c>
    </row>
    <row r="7502" spans="11:13" x14ac:dyDescent="0.2">
      <c r="K7502" t="s">
        <v>41</v>
      </c>
      <c r="L7502" t="s">
        <v>37</v>
      </c>
      <c r="M7502">
        <v>0</v>
      </c>
    </row>
    <row r="7503" spans="11:13" x14ac:dyDescent="0.2">
      <c r="K7503" t="s">
        <v>41</v>
      </c>
      <c r="L7503" t="s">
        <v>37</v>
      </c>
      <c r="M7503">
        <v>0</v>
      </c>
    </row>
    <row r="7504" spans="11:13" x14ac:dyDescent="0.2">
      <c r="K7504" t="s">
        <v>42</v>
      </c>
      <c r="L7504" t="s">
        <v>38</v>
      </c>
      <c r="M7504">
        <v>0</v>
      </c>
    </row>
    <row r="7505" spans="11:13" x14ac:dyDescent="0.2">
      <c r="K7505" t="s">
        <v>41</v>
      </c>
      <c r="L7505" t="s">
        <v>37</v>
      </c>
      <c r="M7505">
        <v>0</v>
      </c>
    </row>
    <row r="7506" spans="11:13" x14ac:dyDescent="0.2">
      <c r="K7506" t="s">
        <v>41</v>
      </c>
      <c r="L7506" t="s">
        <v>37</v>
      </c>
      <c r="M7506">
        <v>0</v>
      </c>
    </row>
    <row r="7507" spans="11:13" x14ac:dyDescent="0.2">
      <c r="K7507" t="s">
        <v>42</v>
      </c>
      <c r="L7507" t="s">
        <v>38</v>
      </c>
      <c r="M7507">
        <v>0</v>
      </c>
    </row>
    <row r="7508" spans="11:13" x14ac:dyDescent="0.2">
      <c r="K7508" t="s">
        <v>41</v>
      </c>
      <c r="L7508" t="s">
        <v>37</v>
      </c>
      <c r="M7508">
        <v>0</v>
      </c>
    </row>
    <row r="7509" spans="11:13" x14ac:dyDescent="0.2">
      <c r="K7509" t="s">
        <v>42</v>
      </c>
      <c r="L7509" t="s">
        <v>38</v>
      </c>
      <c r="M7509">
        <v>0</v>
      </c>
    </row>
    <row r="7510" spans="11:13" x14ac:dyDescent="0.2">
      <c r="K7510" t="s">
        <v>42</v>
      </c>
      <c r="L7510" t="s">
        <v>38</v>
      </c>
      <c r="M7510">
        <v>0</v>
      </c>
    </row>
    <row r="7511" spans="11:13" x14ac:dyDescent="0.2">
      <c r="K7511" t="s">
        <v>41</v>
      </c>
      <c r="L7511" t="s">
        <v>37</v>
      </c>
      <c r="M7511">
        <v>0</v>
      </c>
    </row>
    <row r="7512" spans="11:13" x14ac:dyDescent="0.2">
      <c r="K7512" t="s">
        <v>41</v>
      </c>
      <c r="L7512" t="s">
        <v>37</v>
      </c>
      <c r="M7512">
        <v>0</v>
      </c>
    </row>
    <row r="7513" spans="11:13" x14ac:dyDescent="0.2">
      <c r="K7513" t="s">
        <v>42</v>
      </c>
      <c r="L7513" t="s">
        <v>38</v>
      </c>
      <c r="M7513">
        <v>0</v>
      </c>
    </row>
    <row r="7514" spans="11:13" x14ac:dyDescent="0.2">
      <c r="K7514" t="s">
        <v>42</v>
      </c>
      <c r="L7514" t="s">
        <v>38</v>
      </c>
      <c r="M7514">
        <v>0</v>
      </c>
    </row>
    <row r="7515" spans="11:13" x14ac:dyDescent="0.2">
      <c r="K7515" t="s">
        <v>41</v>
      </c>
      <c r="L7515" t="s">
        <v>37</v>
      </c>
      <c r="M7515">
        <v>0</v>
      </c>
    </row>
    <row r="7516" spans="11:13" x14ac:dyDescent="0.2">
      <c r="K7516" t="s">
        <v>41</v>
      </c>
      <c r="L7516" t="s">
        <v>37</v>
      </c>
      <c r="M7516">
        <v>0</v>
      </c>
    </row>
    <row r="7517" spans="11:13" x14ac:dyDescent="0.2">
      <c r="K7517" t="s">
        <v>42</v>
      </c>
      <c r="L7517" t="s">
        <v>38</v>
      </c>
      <c r="M7517">
        <v>0</v>
      </c>
    </row>
    <row r="7518" spans="11:13" x14ac:dyDescent="0.2">
      <c r="K7518" t="s">
        <v>42</v>
      </c>
      <c r="L7518" t="s">
        <v>38</v>
      </c>
      <c r="M7518">
        <v>0</v>
      </c>
    </row>
    <row r="7519" spans="11:13" x14ac:dyDescent="0.2">
      <c r="K7519" t="s">
        <v>41</v>
      </c>
      <c r="L7519" t="s">
        <v>37</v>
      </c>
      <c r="M7519">
        <v>0</v>
      </c>
    </row>
    <row r="7520" spans="11:13" x14ac:dyDescent="0.2">
      <c r="K7520" t="s">
        <v>41</v>
      </c>
      <c r="L7520" t="s">
        <v>37</v>
      </c>
      <c r="M7520">
        <v>0</v>
      </c>
    </row>
    <row r="7521" spans="11:13" x14ac:dyDescent="0.2">
      <c r="K7521" t="s">
        <v>41</v>
      </c>
      <c r="L7521" t="s">
        <v>37</v>
      </c>
      <c r="M7521">
        <v>0</v>
      </c>
    </row>
    <row r="7522" spans="11:13" x14ac:dyDescent="0.2">
      <c r="K7522" t="s">
        <v>42</v>
      </c>
      <c r="L7522" t="s">
        <v>38</v>
      </c>
      <c r="M7522">
        <v>0</v>
      </c>
    </row>
    <row r="7523" spans="11:13" x14ac:dyDescent="0.2">
      <c r="K7523" t="s">
        <v>42</v>
      </c>
      <c r="L7523" t="s">
        <v>38</v>
      </c>
      <c r="M7523">
        <v>0</v>
      </c>
    </row>
    <row r="7524" spans="11:13" x14ac:dyDescent="0.2">
      <c r="K7524" t="s">
        <v>42</v>
      </c>
      <c r="L7524" t="s">
        <v>38</v>
      </c>
      <c r="M7524">
        <v>0</v>
      </c>
    </row>
    <row r="7525" spans="11:13" x14ac:dyDescent="0.2">
      <c r="K7525" t="s">
        <v>41</v>
      </c>
      <c r="L7525" t="s">
        <v>37</v>
      </c>
      <c r="M7525">
        <v>0</v>
      </c>
    </row>
    <row r="7526" spans="11:13" x14ac:dyDescent="0.2">
      <c r="K7526" t="s">
        <v>41</v>
      </c>
      <c r="L7526" t="s">
        <v>37</v>
      </c>
      <c r="M7526">
        <v>0</v>
      </c>
    </row>
    <row r="7527" spans="11:13" x14ac:dyDescent="0.2">
      <c r="K7527" t="s">
        <v>42</v>
      </c>
      <c r="L7527" t="s">
        <v>38</v>
      </c>
      <c r="M7527">
        <v>0</v>
      </c>
    </row>
    <row r="7528" spans="11:13" x14ac:dyDescent="0.2">
      <c r="K7528" t="s">
        <v>41</v>
      </c>
      <c r="L7528" t="s">
        <v>37</v>
      </c>
      <c r="M7528">
        <v>0</v>
      </c>
    </row>
    <row r="7529" spans="11:13" x14ac:dyDescent="0.2">
      <c r="K7529" t="s">
        <v>41</v>
      </c>
      <c r="L7529" t="s">
        <v>37</v>
      </c>
      <c r="M7529">
        <v>0</v>
      </c>
    </row>
    <row r="7530" spans="11:13" x14ac:dyDescent="0.2">
      <c r="K7530" t="s">
        <v>42</v>
      </c>
      <c r="L7530" t="s">
        <v>38</v>
      </c>
      <c r="M7530">
        <v>0</v>
      </c>
    </row>
    <row r="7531" spans="11:13" x14ac:dyDescent="0.2">
      <c r="K7531" t="s">
        <v>41</v>
      </c>
      <c r="L7531" t="s">
        <v>37</v>
      </c>
      <c r="M7531">
        <v>0</v>
      </c>
    </row>
    <row r="7532" spans="11:13" x14ac:dyDescent="0.2">
      <c r="K7532" t="s">
        <v>41</v>
      </c>
      <c r="L7532" t="s">
        <v>37</v>
      </c>
      <c r="M7532">
        <v>0</v>
      </c>
    </row>
    <row r="7533" spans="11:13" x14ac:dyDescent="0.2">
      <c r="K7533" t="s">
        <v>41</v>
      </c>
      <c r="L7533" t="s">
        <v>37</v>
      </c>
      <c r="M7533">
        <v>0</v>
      </c>
    </row>
    <row r="7534" spans="11:13" x14ac:dyDescent="0.2">
      <c r="K7534" t="s">
        <v>42</v>
      </c>
      <c r="L7534" t="s">
        <v>38</v>
      </c>
      <c r="M7534">
        <v>0</v>
      </c>
    </row>
    <row r="7535" spans="11:13" x14ac:dyDescent="0.2">
      <c r="K7535" t="s">
        <v>41</v>
      </c>
      <c r="L7535" t="s">
        <v>37</v>
      </c>
      <c r="M7535">
        <v>0</v>
      </c>
    </row>
    <row r="7536" spans="11:13" x14ac:dyDescent="0.2">
      <c r="K7536" t="s">
        <v>41</v>
      </c>
      <c r="L7536" t="s">
        <v>37</v>
      </c>
      <c r="M7536">
        <v>0</v>
      </c>
    </row>
    <row r="7537" spans="11:13" x14ac:dyDescent="0.2">
      <c r="K7537" t="s">
        <v>42</v>
      </c>
      <c r="L7537" t="s">
        <v>38</v>
      </c>
      <c r="M7537">
        <v>0</v>
      </c>
    </row>
    <row r="7538" spans="11:13" x14ac:dyDescent="0.2">
      <c r="K7538" t="s">
        <v>41</v>
      </c>
      <c r="L7538" t="s">
        <v>37</v>
      </c>
      <c r="M7538">
        <v>1</v>
      </c>
    </row>
    <row r="7539" spans="11:13" x14ac:dyDescent="0.2">
      <c r="K7539" t="s">
        <v>41</v>
      </c>
      <c r="L7539" t="s">
        <v>37</v>
      </c>
      <c r="M7539">
        <v>0</v>
      </c>
    </row>
    <row r="7540" spans="11:13" x14ac:dyDescent="0.2">
      <c r="K7540" t="s">
        <v>41</v>
      </c>
      <c r="L7540" t="s">
        <v>37</v>
      </c>
      <c r="M7540">
        <v>0</v>
      </c>
    </row>
    <row r="7541" spans="11:13" x14ac:dyDescent="0.2">
      <c r="K7541" t="s">
        <v>41</v>
      </c>
      <c r="L7541" t="s">
        <v>37</v>
      </c>
      <c r="M7541">
        <v>0</v>
      </c>
    </row>
    <row r="7542" spans="11:13" x14ac:dyDescent="0.2">
      <c r="K7542" t="s">
        <v>41</v>
      </c>
      <c r="L7542" t="s">
        <v>37</v>
      </c>
      <c r="M7542">
        <v>0</v>
      </c>
    </row>
    <row r="7543" spans="11:13" x14ac:dyDescent="0.2">
      <c r="K7543" t="s">
        <v>42</v>
      </c>
      <c r="L7543" t="s">
        <v>38</v>
      </c>
      <c r="M7543">
        <v>0</v>
      </c>
    </row>
    <row r="7544" spans="11:13" x14ac:dyDescent="0.2">
      <c r="K7544" t="s">
        <v>41</v>
      </c>
      <c r="L7544" t="s">
        <v>37</v>
      </c>
      <c r="M7544">
        <v>0</v>
      </c>
    </row>
    <row r="7545" spans="11:13" x14ac:dyDescent="0.2">
      <c r="K7545" t="s">
        <v>41</v>
      </c>
      <c r="L7545" t="s">
        <v>37</v>
      </c>
      <c r="M7545">
        <v>0</v>
      </c>
    </row>
    <row r="7546" spans="11:13" x14ac:dyDescent="0.2">
      <c r="K7546" t="s">
        <v>41</v>
      </c>
      <c r="L7546" t="s">
        <v>37</v>
      </c>
      <c r="M7546">
        <v>0</v>
      </c>
    </row>
    <row r="7547" spans="11:13" x14ac:dyDescent="0.2">
      <c r="K7547" t="s">
        <v>41</v>
      </c>
      <c r="L7547" t="s">
        <v>37</v>
      </c>
      <c r="M7547">
        <v>0</v>
      </c>
    </row>
    <row r="7548" spans="11:13" x14ac:dyDescent="0.2">
      <c r="K7548" t="s">
        <v>42</v>
      </c>
      <c r="L7548" t="s">
        <v>38</v>
      </c>
      <c r="M7548">
        <v>0</v>
      </c>
    </row>
    <row r="7549" spans="11:13" x14ac:dyDescent="0.2">
      <c r="K7549" t="s">
        <v>42</v>
      </c>
      <c r="L7549" t="s">
        <v>38</v>
      </c>
      <c r="M7549">
        <v>0</v>
      </c>
    </row>
    <row r="7550" spans="11:13" x14ac:dyDescent="0.2">
      <c r="K7550" t="s">
        <v>41</v>
      </c>
      <c r="L7550" t="s">
        <v>37</v>
      </c>
      <c r="M7550">
        <v>0</v>
      </c>
    </row>
    <row r="7551" spans="11:13" x14ac:dyDescent="0.2">
      <c r="K7551" t="s">
        <v>42</v>
      </c>
      <c r="L7551" t="s">
        <v>38</v>
      </c>
      <c r="M7551">
        <v>0</v>
      </c>
    </row>
    <row r="7552" spans="11:13" x14ac:dyDescent="0.2">
      <c r="K7552" t="s">
        <v>42</v>
      </c>
      <c r="L7552" t="s">
        <v>38</v>
      </c>
      <c r="M7552">
        <v>0</v>
      </c>
    </row>
    <row r="7553" spans="11:13" x14ac:dyDescent="0.2">
      <c r="K7553" t="s">
        <v>41</v>
      </c>
      <c r="L7553" t="s">
        <v>37</v>
      </c>
      <c r="M7553">
        <v>0</v>
      </c>
    </row>
    <row r="7554" spans="11:13" x14ac:dyDescent="0.2">
      <c r="K7554" t="s">
        <v>41</v>
      </c>
      <c r="L7554" t="s">
        <v>37</v>
      </c>
      <c r="M7554">
        <v>0</v>
      </c>
    </row>
    <row r="7555" spans="11:13" x14ac:dyDescent="0.2">
      <c r="K7555" t="s">
        <v>41</v>
      </c>
      <c r="L7555" t="s">
        <v>37</v>
      </c>
      <c r="M7555">
        <v>0</v>
      </c>
    </row>
    <row r="7556" spans="11:13" x14ac:dyDescent="0.2">
      <c r="K7556" t="s">
        <v>41</v>
      </c>
      <c r="L7556" t="s">
        <v>37</v>
      </c>
      <c r="M7556">
        <v>0</v>
      </c>
    </row>
    <row r="7557" spans="11:13" x14ac:dyDescent="0.2">
      <c r="K7557" t="s">
        <v>41</v>
      </c>
      <c r="L7557" t="s">
        <v>37</v>
      </c>
      <c r="M7557">
        <v>0</v>
      </c>
    </row>
    <row r="7558" spans="11:13" x14ac:dyDescent="0.2">
      <c r="K7558" t="s">
        <v>41</v>
      </c>
      <c r="L7558" t="s">
        <v>37</v>
      </c>
      <c r="M7558">
        <v>0</v>
      </c>
    </row>
    <row r="7559" spans="11:13" x14ac:dyDescent="0.2">
      <c r="K7559" t="s">
        <v>41</v>
      </c>
      <c r="L7559" t="s">
        <v>37</v>
      </c>
      <c r="M7559">
        <v>0</v>
      </c>
    </row>
    <row r="7560" spans="11:13" x14ac:dyDescent="0.2">
      <c r="K7560" t="s">
        <v>42</v>
      </c>
      <c r="L7560" t="s">
        <v>38</v>
      </c>
      <c r="M7560">
        <v>0</v>
      </c>
    </row>
    <row r="7561" spans="11:13" x14ac:dyDescent="0.2">
      <c r="K7561" t="s">
        <v>41</v>
      </c>
      <c r="L7561" t="s">
        <v>37</v>
      </c>
      <c r="M7561">
        <v>0</v>
      </c>
    </row>
    <row r="7562" spans="11:13" x14ac:dyDescent="0.2">
      <c r="K7562" t="s">
        <v>42</v>
      </c>
      <c r="L7562" t="s">
        <v>38</v>
      </c>
      <c r="M7562">
        <v>0</v>
      </c>
    </row>
    <row r="7563" spans="11:13" x14ac:dyDescent="0.2">
      <c r="K7563" t="s">
        <v>41</v>
      </c>
      <c r="L7563" t="s">
        <v>37</v>
      </c>
      <c r="M7563">
        <v>0</v>
      </c>
    </row>
    <row r="7564" spans="11:13" x14ac:dyDescent="0.2">
      <c r="K7564" t="s">
        <v>41</v>
      </c>
      <c r="L7564" t="s">
        <v>37</v>
      </c>
      <c r="M7564">
        <v>0</v>
      </c>
    </row>
    <row r="7565" spans="11:13" x14ac:dyDescent="0.2">
      <c r="K7565" t="s">
        <v>41</v>
      </c>
      <c r="L7565" t="s">
        <v>37</v>
      </c>
      <c r="M7565">
        <v>0</v>
      </c>
    </row>
    <row r="7566" spans="11:13" x14ac:dyDescent="0.2">
      <c r="K7566" t="s">
        <v>42</v>
      </c>
      <c r="L7566" t="s">
        <v>38</v>
      </c>
      <c r="M7566">
        <v>0</v>
      </c>
    </row>
    <row r="7567" spans="11:13" x14ac:dyDescent="0.2">
      <c r="K7567" t="s">
        <v>42</v>
      </c>
      <c r="L7567" t="s">
        <v>38</v>
      </c>
      <c r="M7567">
        <v>0</v>
      </c>
    </row>
    <row r="7568" spans="11:13" x14ac:dyDescent="0.2">
      <c r="K7568" t="s">
        <v>42</v>
      </c>
      <c r="L7568" t="s">
        <v>38</v>
      </c>
      <c r="M7568">
        <v>0</v>
      </c>
    </row>
    <row r="7569" spans="11:13" x14ac:dyDescent="0.2">
      <c r="K7569" t="s">
        <v>41</v>
      </c>
      <c r="L7569" t="s">
        <v>37</v>
      </c>
      <c r="M7569">
        <v>0</v>
      </c>
    </row>
    <row r="7570" spans="11:13" x14ac:dyDescent="0.2">
      <c r="K7570" t="s">
        <v>42</v>
      </c>
      <c r="L7570" t="s">
        <v>38</v>
      </c>
      <c r="M7570">
        <v>0</v>
      </c>
    </row>
    <row r="7571" spans="11:13" x14ac:dyDescent="0.2">
      <c r="K7571" t="s">
        <v>41</v>
      </c>
      <c r="L7571" t="s">
        <v>37</v>
      </c>
      <c r="M7571">
        <v>0</v>
      </c>
    </row>
    <row r="7572" spans="11:13" x14ac:dyDescent="0.2">
      <c r="K7572" t="s">
        <v>41</v>
      </c>
      <c r="L7572" t="s">
        <v>37</v>
      </c>
      <c r="M7572">
        <v>0</v>
      </c>
    </row>
    <row r="7573" spans="11:13" x14ac:dyDescent="0.2">
      <c r="K7573" t="s">
        <v>42</v>
      </c>
      <c r="L7573" t="s">
        <v>38</v>
      </c>
      <c r="M7573">
        <v>0</v>
      </c>
    </row>
    <row r="7574" spans="11:13" x14ac:dyDescent="0.2">
      <c r="K7574" t="s">
        <v>41</v>
      </c>
      <c r="L7574" t="s">
        <v>37</v>
      </c>
      <c r="M7574">
        <v>0</v>
      </c>
    </row>
    <row r="7575" spans="11:13" x14ac:dyDescent="0.2">
      <c r="K7575" t="s">
        <v>41</v>
      </c>
      <c r="L7575" t="s">
        <v>37</v>
      </c>
      <c r="M7575">
        <v>0</v>
      </c>
    </row>
    <row r="7576" spans="11:13" x14ac:dyDescent="0.2">
      <c r="K7576" t="s">
        <v>42</v>
      </c>
      <c r="L7576" t="s">
        <v>38</v>
      </c>
      <c r="M7576">
        <v>0</v>
      </c>
    </row>
    <row r="7577" spans="11:13" x14ac:dyDescent="0.2">
      <c r="K7577" t="s">
        <v>42</v>
      </c>
      <c r="L7577" t="s">
        <v>38</v>
      </c>
      <c r="M7577">
        <v>0</v>
      </c>
    </row>
    <row r="7578" spans="11:13" x14ac:dyDescent="0.2">
      <c r="K7578" t="s">
        <v>41</v>
      </c>
      <c r="L7578" t="s">
        <v>37</v>
      </c>
      <c r="M7578">
        <v>0</v>
      </c>
    </row>
    <row r="7579" spans="11:13" x14ac:dyDescent="0.2">
      <c r="K7579" t="s">
        <v>42</v>
      </c>
      <c r="L7579" t="s">
        <v>38</v>
      </c>
      <c r="M7579">
        <v>0</v>
      </c>
    </row>
    <row r="7580" spans="11:13" x14ac:dyDescent="0.2">
      <c r="K7580" t="s">
        <v>42</v>
      </c>
      <c r="L7580" t="s">
        <v>38</v>
      </c>
      <c r="M7580">
        <v>0</v>
      </c>
    </row>
    <row r="7581" spans="11:13" x14ac:dyDescent="0.2">
      <c r="K7581" t="s">
        <v>42</v>
      </c>
      <c r="L7581" t="s">
        <v>38</v>
      </c>
      <c r="M7581">
        <v>0</v>
      </c>
    </row>
    <row r="7582" spans="11:13" x14ac:dyDescent="0.2">
      <c r="K7582" t="s">
        <v>41</v>
      </c>
      <c r="L7582" t="s">
        <v>37</v>
      </c>
      <c r="M7582">
        <v>0</v>
      </c>
    </row>
    <row r="7583" spans="11:13" x14ac:dyDescent="0.2">
      <c r="K7583" t="s">
        <v>42</v>
      </c>
      <c r="L7583" t="s">
        <v>38</v>
      </c>
      <c r="M7583">
        <v>0</v>
      </c>
    </row>
    <row r="7584" spans="11:13" x14ac:dyDescent="0.2">
      <c r="K7584" t="s">
        <v>41</v>
      </c>
      <c r="L7584" t="s">
        <v>37</v>
      </c>
      <c r="M7584">
        <v>0</v>
      </c>
    </row>
    <row r="7585" spans="11:13" x14ac:dyDescent="0.2">
      <c r="K7585" t="s">
        <v>41</v>
      </c>
      <c r="L7585" t="s">
        <v>37</v>
      </c>
      <c r="M7585">
        <v>0</v>
      </c>
    </row>
    <row r="7586" spans="11:13" x14ac:dyDescent="0.2">
      <c r="K7586" t="s">
        <v>42</v>
      </c>
      <c r="L7586" t="s">
        <v>38</v>
      </c>
      <c r="M7586">
        <v>0</v>
      </c>
    </row>
    <row r="7587" spans="11:13" x14ac:dyDescent="0.2">
      <c r="K7587" t="s">
        <v>42</v>
      </c>
      <c r="L7587" t="s">
        <v>38</v>
      </c>
      <c r="M7587">
        <v>0</v>
      </c>
    </row>
    <row r="7588" spans="11:13" x14ac:dyDescent="0.2">
      <c r="K7588" t="s">
        <v>41</v>
      </c>
      <c r="L7588" t="s">
        <v>37</v>
      </c>
      <c r="M7588">
        <v>0</v>
      </c>
    </row>
    <row r="7589" spans="11:13" x14ac:dyDescent="0.2">
      <c r="K7589" t="s">
        <v>42</v>
      </c>
      <c r="L7589" t="s">
        <v>38</v>
      </c>
      <c r="M7589">
        <v>0</v>
      </c>
    </row>
    <row r="7590" spans="11:13" x14ac:dyDescent="0.2">
      <c r="K7590" t="s">
        <v>42</v>
      </c>
      <c r="L7590" t="s">
        <v>38</v>
      </c>
      <c r="M7590">
        <v>0</v>
      </c>
    </row>
    <row r="7591" spans="11:13" x14ac:dyDescent="0.2">
      <c r="K7591" t="s">
        <v>41</v>
      </c>
      <c r="L7591" t="s">
        <v>37</v>
      </c>
      <c r="M7591">
        <v>0</v>
      </c>
    </row>
    <row r="7592" spans="11:13" x14ac:dyDescent="0.2">
      <c r="K7592" t="s">
        <v>41</v>
      </c>
      <c r="L7592" t="s">
        <v>37</v>
      </c>
      <c r="M7592">
        <v>0</v>
      </c>
    </row>
    <row r="7593" spans="11:13" x14ac:dyDescent="0.2">
      <c r="K7593" t="s">
        <v>42</v>
      </c>
      <c r="L7593" t="s">
        <v>38</v>
      </c>
      <c r="M7593">
        <v>0</v>
      </c>
    </row>
    <row r="7594" spans="11:13" x14ac:dyDescent="0.2">
      <c r="K7594" t="s">
        <v>41</v>
      </c>
      <c r="L7594" t="s">
        <v>37</v>
      </c>
      <c r="M7594">
        <v>0</v>
      </c>
    </row>
    <row r="7595" spans="11:13" x14ac:dyDescent="0.2">
      <c r="K7595" t="s">
        <v>42</v>
      </c>
      <c r="L7595" t="s">
        <v>38</v>
      </c>
      <c r="M7595">
        <v>0</v>
      </c>
    </row>
    <row r="7596" spans="11:13" x14ac:dyDescent="0.2">
      <c r="K7596" t="s">
        <v>42</v>
      </c>
      <c r="L7596" t="s">
        <v>38</v>
      </c>
      <c r="M7596">
        <v>0</v>
      </c>
    </row>
    <row r="7597" spans="11:13" x14ac:dyDescent="0.2">
      <c r="K7597" t="s">
        <v>41</v>
      </c>
      <c r="L7597" t="s">
        <v>37</v>
      </c>
      <c r="M7597">
        <v>0</v>
      </c>
    </row>
    <row r="7598" spans="11:13" x14ac:dyDescent="0.2">
      <c r="K7598" t="s">
        <v>41</v>
      </c>
      <c r="L7598" t="s">
        <v>37</v>
      </c>
      <c r="M7598">
        <v>0</v>
      </c>
    </row>
    <row r="7599" spans="11:13" x14ac:dyDescent="0.2">
      <c r="K7599" t="s">
        <v>41</v>
      </c>
      <c r="L7599" t="s">
        <v>37</v>
      </c>
      <c r="M7599">
        <v>0</v>
      </c>
    </row>
    <row r="7600" spans="11:13" x14ac:dyDescent="0.2">
      <c r="K7600" t="s">
        <v>41</v>
      </c>
      <c r="L7600" t="s">
        <v>37</v>
      </c>
      <c r="M7600">
        <v>0</v>
      </c>
    </row>
    <row r="7601" spans="11:13" x14ac:dyDescent="0.2">
      <c r="K7601" t="s">
        <v>41</v>
      </c>
      <c r="L7601" t="s">
        <v>37</v>
      </c>
      <c r="M7601">
        <v>0</v>
      </c>
    </row>
    <row r="7602" spans="11:13" x14ac:dyDescent="0.2">
      <c r="K7602" t="s">
        <v>42</v>
      </c>
      <c r="L7602" t="s">
        <v>38</v>
      </c>
      <c r="M7602">
        <v>0</v>
      </c>
    </row>
    <row r="7603" spans="11:13" x14ac:dyDescent="0.2">
      <c r="K7603" t="s">
        <v>41</v>
      </c>
      <c r="L7603" t="s">
        <v>37</v>
      </c>
      <c r="M7603">
        <v>0</v>
      </c>
    </row>
    <row r="7604" spans="11:13" x14ac:dyDescent="0.2">
      <c r="K7604" t="s">
        <v>42</v>
      </c>
      <c r="L7604" t="s">
        <v>38</v>
      </c>
      <c r="M7604">
        <v>0</v>
      </c>
    </row>
    <row r="7605" spans="11:13" x14ac:dyDescent="0.2">
      <c r="K7605" t="s">
        <v>41</v>
      </c>
      <c r="L7605" t="s">
        <v>37</v>
      </c>
      <c r="M7605">
        <v>0</v>
      </c>
    </row>
    <row r="7606" spans="11:13" x14ac:dyDescent="0.2">
      <c r="K7606" t="s">
        <v>41</v>
      </c>
      <c r="L7606" t="s">
        <v>37</v>
      </c>
      <c r="M7606">
        <v>0</v>
      </c>
    </row>
    <row r="7607" spans="11:13" x14ac:dyDescent="0.2">
      <c r="K7607" t="s">
        <v>42</v>
      </c>
      <c r="L7607" t="s">
        <v>38</v>
      </c>
      <c r="M7607">
        <v>0</v>
      </c>
    </row>
    <row r="7608" spans="11:13" x14ac:dyDescent="0.2">
      <c r="K7608" t="s">
        <v>42</v>
      </c>
      <c r="L7608" t="s">
        <v>38</v>
      </c>
      <c r="M7608">
        <v>0</v>
      </c>
    </row>
    <row r="7609" spans="11:13" x14ac:dyDescent="0.2">
      <c r="K7609" t="s">
        <v>42</v>
      </c>
      <c r="L7609" t="s">
        <v>38</v>
      </c>
      <c r="M7609">
        <v>0</v>
      </c>
    </row>
    <row r="7610" spans="11:13" x14ac:dyDescent="0.2">
      <c r="K7610" t="s">
        <v>42</v>
      </c>
      <c r="L7610" t="s">
        <v>38</v>
      </c>
      <c r="M7610">
        <v>0</v>
      </c>
    </row>
    <row r="7611" spans="11:13" x14ac:dyDescent="0.2">
      <c r="K7611" t="s">
        <v>42</v>
      </c>
      <c r="L7611" t="s">
        <v>38</v>
      </c>
      <c r="M7611">
        <v>0</v>
      </c>
    </row>
    <row r="7612" spans="11:13" x14ac:dyDescent="0.2">
      <c r="K7612" t="s">
        <v>42</v>
      </c>
      <c r="L7612" t="s">
        <v>38</v>
      </c>
      <c r="M7612">
        <v>0</v>
      </c>
    </row>
    <row r="7613" spans="11:13" x14ac:dyDescent="0.2">
      <c r="K7613" t="s">
        <v>42</v>
      </c>
      <c r="L7613" t="s">
        <v>38</v>
      </c>
      <c r="M7613">
        <v>0</v>
      </c>
    </row>
    <row r="7614" spans="11:13" x14ac:dyDescent="0.2">
      <c r="K7614" t="s">
        <v>41</v>
      </c>
      <c r="L7614" t="s">
        <v>37</v>
      </c>
      <c r="M7614">
        <v>0</v>
      </c>
    </row>
    <row r="7615" spans="11:13" x14ac:dyDescent="0.2">
      <c r="K7615" t="s">
        <v>41</v>
      </c>
      <c r="L7615" t="s">
        <v>37</v>
      </c>
      <c r="M7615">
        <v>0</v>
      </c>
    </row>
    <row r="7616" spans="11:13" x14ac:dyDescent="0.2">
      <c r="K7616" t="s">
        <v>42</v>
      </c>
      <c r="L7616" t="s">
        <v>38</v>
      </c>
      <c r="M7616">
        <v>0</v>
      </c>
    </row>
    <row r="7617" spans="11:13" x14ac:dyDescent="0.2">
      <c r="K7617" t="s">
        <v>42</v>
      </c>
      <c r="L7617" t="s">
        <v>38</v>
      </c>
      <c r="M7617">
        <v>0</v>
      </c>
    </row>
    <row r="7618" spans="11:13" x14ac:dyDescent="0.2">
      <c r="K7618" t="s">
        <v>41</v>
      </c>
      <c r="L7618" t="s">
        <v>37</v>
      </c>
      <c r="M7618">
        <v>0</v>
      </c>
    </row>
    <row r="7619" spans="11:13" x14ac:dyDescent="0.2">
      <c r="K7619" t="s">
        <v>41</v>
      </c>
      <c r="L7619" t="s">
        <v>37</v>
      </c>
      <c r="M7619">
        <v>0</v>
      </c>
    </row>
    <row r="7620" spans="11:13" x14ac:dyDescent="0.2">
      <c r="K7620" t="s">
        <v>42</v>
      </c>
      <c r="L7620" t="s">
        <v>38</v>
      </c>
      <c r="M7620">
        <v>0</v>
      </c>
    </row>
    <row r="7621" spans="11:13" x14ac:dyDescent="0.2">
      <c r="K7621" t="s">
        <v>41</v>
      </c>
      <c r="L7621" t="s">
        <v>37</v>
      </c>
      <c r="M7621">
        <v>0</v>
      </c>
    </row>
    <row r="7622" spans="11:13" x14ac:dyDescent="0.2">
      <c r="K7622" t="s">
        <v>41</v>
      </c>
      <c r="L7622" t="s">
        <v>37</v>
      </c>
      <c r="M7622">
        <v>0</v>
      </c>
    </row>
    <row r="7623" spans="11:13" x14ac:dyDescent="0.2">
      <c r="K7623" t="s">
        <v>42</v>
      </c>
      <c r="L7623" t="s">
        <v>38</v>
      </c>
      <c r="M7623">
        <v>0</v>
      </c>
    </row>
    <row r="7624" spans="11:13" x14ac:dyDescent="0.2">
      <c r="K7624" t="s">
        <v>41</v>
      </c>
      <c r="L7624" t="s">
        <v>37</v>
      </c>
      <c r="M7624">
        <v>0</v>
      </c>
    </row>
    <row r="7625" spans="11:13" x14ac:dyDescent="0.2">
      <c r="K7625" t="s">
        <v>42</v>
      </c>
      <c r="L7625" t="s">
        <v>38</v>
      </c>
      <c r="M7625">
        <v>0</v>
      </c>
    </row>
    <row r="7626" spans="11:13" x14ac:dyDescent="0.2">
      <c r="K7626" t="s">
        <v>41</v>
      </c>
      <c r="L7626" t="s">
        <v>37</v>
      </c>
      <c r="M7626">
        <v>0</v>
      </c>
    </row>
    <row r="7627" spans="11:13" x14ac:dyDescent="0.2">
      <c r="K7627" t="s">
        <v>41</v>
      </c>
      <c r="L7627" t="s">
        <v>37</v>
      </c>
      <c r="M7627">
        <v>0</v>
      </c>
    </row>
    <row r="7628" spans="11:13" x14ac:dyDescent="0.2">
      <c r="K7628" t="s">
        <v>42</v>
      </c>
      <c r="L7628" t="s">
        <v>38</v>
      </c>
      <c r="M7628">
        <v>0</v>
      </c>
    </row>
    <row r="7629" spans="11:13" x14ac:dyDescent="0.2">
      <c r="K7629" t="s">
        <v>42</v>
      </c>
      <c r="L7629" t="s">
        <v>38</v>
      </c>
      <c r="M7629">
        <v>0</v>
      </c>
    </row>
    <row r="7630" spans="11:13" x14ac:dyDescent="0.2">
      <c r="K7630" t="s">
        <v>42</v>
      </c>
      <c r="L7630" t="s">
        <v>38</v>
      </c>
      <c r="M7630">
        <v>0</v>
      </c>
    </row>
    <row r="7631" spans="11:13" x14ac:dyDescent="0.2">
      <c r="K7631" t="s">
        <v>42</v>
      </c>
      <c r="L7631" t="s">
        <v>38</v>
      </c>
      <c r="M7631">
        <v>0</v>
      </c>
    </row>
    <row r="7632" spans="11:13" x14ac:dyDescent="0.2">
      <c r="K7632" t="s">
        <v>41</v>
      </c>
      <c r="L7632" t="s">
        <v>37</v>
      </c>
      <c r="M7632">
        <v>0</v>
      </c>
    </row>
    <row r="7633" spans="11:13" x14ac:dyDescent="0.2">
      <c r="K7633" t="s">
        <v>41</v>
      </c>
      <c r="L7633" t="s">
        <v>37</v>
      </c>
      <c r="M7633">
        <v>0</v>
      </c>
    </row>
    <row r="7634" spans="11:13" x14ac:dyDescent="0.2">
      <c r="K7634" t="s">
        <v>42</v>
      </c>
      <c r="L7634" t="s">
        <v>38</v>
      </c>
      <c r="M7634">
        <v>0</v>
      </c>
    </row>
    <row r="7635" spans="11:13" x14ac:dyDescent="0.2">
      <c r="K7635" t="s">
        <v>41</v>
      </c>
      <c r="L7635" t="s">
        <v>37</v>
      </c>
      <c r="M7635">
        <v>0</v>
      </c>
    </row>
    <row r="7636" spans="11:13" x14ac:dyDescent="0.2">
      <c r="K7636" t="s">
        <v>41</v>
      </c>
      <c r="L7636" t="s">
        <v>37</v>
      </c>
      <c r="M7636">
        <v>0</v>
      </c>
    </row>
    <row r="7637" spans="11:13" x14ac:dyDescent="0.2">
      <c r="K7637" t="s">
        <v>42</v>
      </c>
      <c r="L7637" t="s">
        <v>38</v>
      </c>
      <c r="M7637">
        <v>1</v>
      </c>
    </row>
    <row r="7638" spans="11:13" x14ac:dyDescent="0.2">
      <c r="K7638" t="s">
        <v>42</v>
      </c>
      <c r="L7638" t="s">
        <v>38</v>
      </c>
      <c r="M7638">
        <v>1</v>
      </c>
    </row>
    <row r="7639" spans="11:13" x14ac:dyDescent="0.2">
      <c r="K7639" t="s">
        <v>42</v>
      </c>
      <c r="L7639" t="s">
        <v>38</v>
      </c>
      <c r="M7639">
        <v>0</v>
      </c>
    </row>
    <row r="7640" spans="11:13" x14ac:dyDescent="0.2">
      <c r="K7640" t="s">
        <v>41</v>
      </c>
      <c r="L7640" t="s">
        <v>37</v>
      </c>
      <c r="M7640">
        <v>0</v>
      </c>
    </row>
    <row r="7641" spans="11:13" x14ac:dyDescent="0.2">
      <c r="K7641" t="s">
        <v>42</v>
      </c>
      <c r="L7641" t="s">
        <v>38</v>
      </c>
      <c r="M7641">
        <v>0</v>
      </c>
    </row>
    <row r="7642" spans="11:13" x14ac:dyDescent="0.2">
      <c r="K7642" t="s">
        <v>42</v>
      </c>
      <c r="L7642" t="s">
        <v>38</v>
      </c>
      <c r="M7642">
        <v>0</v>
      </c>
    </row>
    <row r="7643" spans="11:13" x14ac:dyDescent="0.2">
      <c r="K7643" t="s">
        <v>42</v>
      </c>
      <c r="L7643" t="s">
        <v>38</v>
      </c>
      <c r="M7643">
        <v>0</v>
      </c>
    </row>
    <row r="7644" spans="11:13" x14ac:dyDescent="0.2">
      <c r="K7644" t="s">
        <v>41</v>
      </c>
      <c r="L7644" t="s">
        <v>37</v>
      </c>
      <c r="M7644">
        <v>0</v>
      </c>
    </row>
    <row r="7645" spans="11:13" x14ac:dyDescent="0.2">
      <c r="K7645" t="s">
        <v>42</v>
      </c>
      <c r="L7645" t="s">
        <v>38</v>
      </c>
      <c r="M7645">
        <v>0</v>
      </c>
    </row>
    <row r="7646" spans="11:13" x14ac:dyDescent="0.2">
      <c r="K7646" t="s">
        <v>42</v>
      </c>
      <c r="L7646" t="s">
        <v>38</v>
      </c>
      <c r="M7646">
        <v>0</v>
      </c>
    </row>
    <row r="7647" spans="11:13" x14ac:dyDescent="0.2">
      <c r="K7647" t="s">
        <v>41</v>
      </c>
      <c r="L7647" t="s">
        <v>37</v>
      </c>
      <c r="M7647">
        <v>0</v>
      </c>
    </row>
    <row r="7648" spans="11:13" x14ac:dyDescent="0.2">
      <c r="K7648" t="s">
        <v>41</v>
      </c>
      <c r="L7648" t="s">
        <v>37</v>
      </c>
      <c r="M7648">
        <v>0</v>
      </c>
    </row>
    <row r="7649" spans="11:13" x14ac:dyDescent="0.2">
      <c r="K7649" t="s">
        <v>42</v>
      </c>
      <c r="L7649" t="s">
        <v>38</v>
      </c>
      <c r="M7649">
        <v>0</v>
      </c>
    </row>
    <row r="7650" spans="11:13" x14ac:dyDescent="0.2">
      <c r="K7650" t="s">
        <v>41</v>
      </c>
      <c r="L7650" t="s">
        <v>37</v>
      </c>
      <c r="M7650">
        <v>0</v>
      </c>
    </row>
    <row r="7651" spans="11:13" x14ac:dyDescent="0.2">
      <c r="K7651" t="s">
        <v>41</v>
      </c>
      <c r="L7651" t="s">
        <v>37</v>
      </c>
      <c r="M7651">
        <v>0</v>
      </c>
    </row>
    <row r="7652" spans="11:13" x14ac:dyDescent="0.2">
      <c r="K7652" t="s">
        <v>42</v>
      </c>
      <c r="L7652" t="s">
        <v>38</v>
      </c>
      <c r="M7652">
        <v>0</v>
      </c>
    </row>
    <row r="7653" spans="11:13" x14ac:dyDescent="0.2">
      <c r="K7653" t="s">
        <v>42</v>
      </c>
      <c r="L7653" t="s">
        <v>38</v>
      </c>
      <c r="M7653">
        <v>0</v>
      </c>
    </row>
    <row r="7654" spans="11:13" x14ac:dyDescent="0.2">
      <c r="K7654" t="s">
        <v>42</v>
      </c>
      <c r="L7654" t="s">
        <v>38</v>
      </c>
      <c r="M7654">
        <v>0</v>
      </c>
    </row>
    <row r="7655" spans="11:13" x14ac:dyDescent="0.2">
      <c r="K7655" t="s">
        <v>41</v>
      </c>
      <c r="L7655" t="s">
        <v>37</v>
      </c>
      <c r="M7655">
        <v>0</v>
      </c>
    </row>
    <row r="7656" spans="11:13" x14ac:dyDescent="0.2">
      <c r="K7656" t="s">
        <v>41</v>
      </c>
      <c r="L7656" t="s">
        <v>37</v>
      </c>
      <c r="M7656">
        <v>0</v>
      </c>
    </row>
    <row r="7657" spans="11:13" x14ac:dyDescent="0.2">
      <c r="K7657" t="s">
        <v>42</v>
      </c>
      <c r="L7657" t="s">
        <v>38</v>
      </c>
      <c r="M7657">
        <v>0</v>
      </c>
    </row>
    <row r="7658" spans="11:13" x14ac:dyDescent="0.2">
      <c r="K7658" t="s">
        <v>41</v>
      </c>
      <c r="L7658" t="s">
        <v>37</v>
      </c>
      <c r="M7658">
        <v>0</v>
      </c>
    </row>
    <row r="7659" spans="11:13" x14ac:dyDescent="0.2">
      <c r="K7659" t="s">
        <v>42</v>
      </c>
      <c r="L7659" t="s">
        <v>38</v>
      </c>
      <c r="M7659">
        <v>0</v>
      </c>
    </row>
    <row r="7660" spans="11:13" x14ac:dyDescent="0.2">
      <c r="K7660" t="s">
        <v>42</v>
      </c>
      <c r="L7660" t="s">
        <v>38</v>
      </c>
      <c r="M7660">
        <v>0</v>
      </c>
    </row>
    <row r="7661" spans="11:13" x14ac:dyDescent="0.2">
      <c r="K7661" t="s">
        <v>42</v>
      </c>
      <c r="L7661" t="s">
        <v>38</v>
      </c>
      <c r="M7661">
        <v>0</v>
      </c>
    </row>
    <row r="7662" spans="11:13" x14ac:dyDescent="0.2">
      <c r="K7662" t="s">
        <v>42</v>
      </c>
      <c r="L7662" t="s">
        <v>38</v>
      </c>
      <c r="M7662">
        <v>0</v>
      </c>
    </row>
    <row r="7663" spans="11:13" x14ac:dyDescent="0.2">
      <c r="K7663" t="s">
        <v>42</v>
      </c>
      <c r="L7663" t="s">
        <v>38</v>
      </c>
      <c r="M7663">
        <v>0</v>
      </c>
    </row>
    <row r="7664" spans="11:13" x14ac:dyDescent="0.2">
      <c r="K7664" t="s">
        <v>42</v>
      </c>
      <c r="L7664" t="s">
        <v>38</v>
      </c>
      <c r="M7664">
        <v>0</v>
      </c>
    </row>
    <row r="7665" spans="11:13" x14ac:dyDescent="0.2">
      <c r="K7665" t="s">
        <v>41</v>
      </c>
      <c r="L7665" t="s">
        <v>37</v>
      </c>
      <c r="M7665">
        <v>0</v>
      </c>
    </row>
    <row r="7666" spans="11:13" x14ac:dyDescent="0.2">
      <c r="K7666" t="s">
        <v>42</v>
      </c>
      <c r="L7666" t="s">
        <v>38</v>
      </c>
      <c r="M7666">
        <v>0</v>
      </c>
    </row>
    <row r="7667" spans="11:13" x14ac:dyDescent="0.2">
      <c r="K7667" t="s">
        <v>41</v>
      </c>
      <c r="L7667" t="s">
        <v>37</v>
      </c>
      <c r="M7667">
        <v>0</v>
      </c>
    </row>
    <row r="7668" spans="11:13" x14ac:dyDescent="0.2">
      <c r="K7668" t="s">
        <v>41</v>
      </c>
      <c r="L7668" t="s">
        <v>37</v>
      </c>
      <c r="M7668">
        <v>0</v>
      </c>
    </row>
    <row r="7669" spans="11:13" x14ac:dyDescent="0.2">
      <c r="K7669" t="s">
        <v>41</v>
      </c>
      <c r="L7669" t="s">
        <v>37</v>
      </c>
      <c r="M7669">
        <v>0</v>
      </c>
    </row>
    <row r="7670" spans="11:13" x14ac:dyDescent="0.2">
      <c r="K7670" t="s">
        <v>41</v>
      </c>
      <c r="L7670" t="s">
        <v>37</v>
      </c>
      <c r="M7670">
        <v>0</v>
      </c>
    </row>
    <row r="7671" spans="11:13" x14ac:dyDescent="0.2">
      <c r="K7671" t="s">
        <v>41</v>
      </c>
      <c r="L7671" t="s">
        <v>37</v>
      </c>
      <c r="M7671">
        <v>0</v>
      </c>
    </row>
    <row r="7672" spans="11:13" x14ac:dyDescent="0.2">
      <c r="K7672" t="s">
        <v>41</v>
      </c>
      <c r="L7672" t="s">
        <v>37</v>
      </c>
      <c r="M7672">
        <v>0</v>
      </c>
    </row>
    <row r="7673" spans="11:13" x14ac:dyDescent="0.2">
      <c r="K7673" t="s">
        <v>42</v>
      </c>
      <c r="L7673" t="s">
        <v>38</v>
      </c>
      <c r="M7673">
        <v>0</v>
      </c>
    </row>
    <row r="7674" spans="11:13" x14ac:dyDescent="0.2">
      <c r="K7674" t="s">
        <v>41</v>
      </c>
      <c r="L7674" t="s">
        <v>37</v>
      </c>
      <c r="M7674">
        <v>0</v>
      </c>
    </row>
    <row r="7675" spans="11:13" x14ac:dyDescent="0.2">
      <c r="K7675" t="s">
        <v>42</v>
      </c>
      <c r="L7675" t="s">
        <v>38</v>
      </c>
      <c r="M7675">
        <v>0</v>
      </c>
    </row>
    <row r="7676" spans="11:13" x14ac:dyDescent="0.2">
      <c r="K7676" t="s">
        <v>41</v>
      </c>
      <c r="L7676" t="s">
        <v>37</v>
      </c>
      <c r="M7676">
        <v>0</v>
      </c>
    </row>
    <row r="7677" spans="11:13" x14ac:dyDescent="0.2">
      <c r="K7677" t="s">
        <v>41</v>
      </c>
      <c r="L7677" t="s">
        <v>37</v>
      </c>
      <c r="M7677">
        <v>0</v>
      </c>
    </row>
    <row r="7678" spans="11:13" x14ac:dyDescent="0.2">
      <c r="K7678" t="s">
        <v>41</v>
      </c>
      <c r="L7678" t="s">
        <v>37</v>
      </c>
      <c r="M7678">
        <v>0</v>
      </c>
    </row>
    <row r="7679" spans="11:13" x14ac:dyDescent="0.2">
      <c r="K7679" t="s">
        <v>41</v>
      </c>
      <c r="L7679" t="s">
        <v>37</v>
      </c>
      <c r="M7679">
        <v>0</v>
      </c>
    </row>
    <row r="7680" spans="11:13" x14ac:dyDescent="0.2">
      <c r="K7680" t="s">
        <v>41</v>
      </c>
      <c r="L7680" t="s">
        <v>37</v>
      </c>
      <c r="M7680">
        <v>0</v>
      </c>
    </row>
    <row r="7681" spans="11:13" x14ac:dyDescent="0.2">
      <c r="K7681" t="s">
        <v>41</v>
      </c>
      <c r="L7681" t="s">
        <v>37</v>
      </c>
      <c r="M7681">
        <v>0</v>
      </c>
    </row>
    <row r="7682" spans="11:13" x14ac:dyDescent="0.2">
      <c r="K7682" t="s">
        <v>42</v>
      </c>
      <c r="L7682" t="s">
        <v>38</v>
      </c>
      <c r="M7682">
        <v>0</v>
      </c>
    </row>
    <row r="7683" spans="11:13" x14ac:dyDescent="0.2">
      <c r="K7683" t="s">
        <v>41</v>
      </c>
      <c r="L7683" t="s">
        <v>37</v>
      </c>
      <c r="M7683">
        <v>0</v>
      </c>
    </row>
    <row r="7684" spans="11:13" x14ac:dyDescent="0.2">
      <c r="K7684" t="s">
        <v>42</v>
      </c>
      <c r="L7684" t="s">
        <v>38</v>
      </c>
      <c r="M7684">
        <v>0</v>
      </c>
    </row>
    <row r="7685" spans="11:13" x14ac:dyDescent="0.2">
      <c r="K7685" t="s">
        <v>42</v>
      </c>
      <c r="L7685" t="s">
        <v>38</v>
      </c>
      <c r="M7685">
        <v>0</v>
      </c>
    </row>
    <row r="7686" spans="11:13" x14ac:dyDescent="0.2">
      <c r="K7686" t="s">
        <v>41</v>
      </c>
      <c r="L7686" t="s">
        <v>37</v>
      </c>
      <c r="M7686">
        <v>0</v>
      </c>
    </row>
    <row r="7687" spans="11:13" x14ac:dyDescent="0.2">
      <c r="K7687" t="s">
        <v>41</v>
      </c>
      <c r="L7687" t="s">
        <v>37</v>
      </c>
      <c r="M7687">
        <v>0</v>
      </c>
    </row>
    <row r="7688" spans="11:13" x14ac:dyDescent="0.2">
      <c r="K7688" t="s">
        <v>42</v>
      </c>
      <c r="L7688" t="s">
        <v>38</v>
      </c>
      <c r="M7688">
        <v>0</v>
      </c>
    </row>
    <row r="7689" spans="11:13" x14ac:dyDescent="0.2">
      <c r="K7689" t="s">
        <v>41</v>
      </c>
      <c r="L7689" t="s">
        <v>37</v>
      </c>
      <c r="M7689">
        <v>0</v>
      </c>
    </row>
    <row r="7690" spans="11:13" x14ac:dyDescent="0.2">
      <c r="K7690" t="s">
        <v>41</v>
      </c>
      <c r="L7690" t="s">
        <v>37</v>
      </c>
      <c r="M7690">
        <v>0</v>
      </c>
    </row>
    <row r="7691" spans="11:13" x14ac:dyDescent="0.2">
      <c r="K7691" t="s">
        <v>41</v>
      </c>
      <c r="L7691" t="s">
        <v>37</v>
      </c>
      <c r="M7691">
        <v>0</v>
      </c>
    </row>
    <row r="7692" spans="11:13" x14ac:dyDescent="0.2">
      <c r="K7692" t="s">
        <v>42</v>
      </c>
      <c r="L7692" t="s">
        <v>38</v>
      </c>
      <c r="M7692">
        <v>0</v>
      </c>
    </row>
    <row r="7693" spans="11:13" x14ac:dyDescent="0.2">
      <c r="K7693" t="s">
        <v>41</v>
      </c>
      <c r="L7693" t="s">
        <v>37</v>
      </c>
      <c r="M7693">
        <v>1</v>
      </c>
    </row>
    <row r="7694" spans="11:13" x14ac:dyDescent="0.2">
      <c r="K7694" t="s">
        <v>41</v>
      </c>
      <c r="L7694" t="s">
        <v>37</v>
      </c>
      <c r="M7694">
        <v>0</v>
      </c>
    </row>
    <row r="7695" spans="11:13" x14ac:dyDescent="0.2">
      <c r="K7695" t="s">
        <v>41</v>
      </c>
      <c r="L7695" t="s">
        <v>37</v>
      </c>
      <c r="M7695">
        <v>0</v>
      </c>
    </row>
    <row r="7696" spans="11:13" x14ac:dyDescent="0.2">
      <c r="K7696" t="s">
        <v>42</v>
      </c>
      <c r="L7696" t="s">
        <v>38</v>
      </c>
      <c r="M7696">
        <v>0</v>
      </c>
    </row>
    <row r="7697" spans="11:13" x14ac:dyDescent="0.2">
      <c r="K7697" t="s">
        <v>41</v>
      </c>
      <c r="L7697" t="s">
        <v>37</v>
      </c>
      <c r="M7697">
        <v>0</v>
      </c>
    </row>
    <row r="7698" spans="11:13" x14ac:dyDescent="0.2">
      <c r="K7698" t="s">
        <v>42</v>
      </c>
      <c r="L7698" t="s">
        <v>38</v>
      </c>
      <c r="M7698">
        <v>0</v>
      </c>
    </row>
    <row r="7699" spans="11:13" x14ac:dyDescent="0.2">
      <c r="K7699" t="s">
        <v>42</v>
      </c>
      <c r="L7699" t="s">
        <v>38</v>
      </c>
      <c r="M7699">
        <v>0</v>
      </c>
    </row>
    <row r="7700" spans="11:13" x14ac:dyDescent="0.2">
      <c r="K7700" t="s">
        <v>42</v>
      </c>
      <c r="L7700" t="s">
        <v>38</v>
      </c>
      <c r="M7700">
        <v>0</v>
      </c>
    </row>
    <row r="7701" spans="11:13" x14ac:dyDescent="0.2">
      <c r="K7701" t="s">
        <v>41</v>
      </c>
      <c r="L7701" t="s">
        <v>37</v>
      </c>
      <c r="M7701">
        <v>0</v>
      </c>
    </row>
    <row r="7702" spans="11:13" x14ac:dyDescent="0.2">
      <c r="K7702" t="s">
        <v>41</v>
      </c>
      <c r="L7702" t="s">
        <v>37</v>
      </c>
      <c r="M7702">
        <v>0</v>
      </c>
    </row>
    <row r="7703" spans="11:13" x14ac:dyDescent="0.2">
      <c r="K7703" t="s">
        <v>41</v>
      </c>
      <c r="L7703" t="s">
        <v>37</v>
      </c>
      <c r="M7703">
        <v>0</v>
      </c>
    </row>
    <row r="7704" spans="11:13" x14ac:dyDescent="0.2">
      <c r="K7704" t="s">
        <v>41</v>
      </c>
      <c r="L7704" t="s">
        <v>37</v>
      </c>
      <c r="M7704">
        <v>0</v>
      </c>
    </row>
    <row r="7705" spans="11:13" x14ac:dyDescent="0.2">
      <c r="K7705" t="s">
        <v>42</v>
      </c>
      <c r="L7705" t="s">
        <v>38</v>
      </c>
      <c r="M7705">
        <v>0</v>
      </c>
    </row>
    <row r="7706" spans="11:13" x14ac:dyDescent="0.2">
      <c r="K7706" t="s">
        <v>42</v>
      </c>
      <c r="L7706" t="s">
        <v>38</v>
      </c>
      <c r="M7706">
        <v>0</v>
      </c>
    </row>
    <row r="7707" spans="11:13" x14ac:dyDescent="0.2">
      <c r="K7707" t="s">
        <v>42</v>
      </c>
      <c r="L7707" t="s">
        <v>38</v>
      </c>
      <c r="M7707">
        <v>1</v>
      </c>
    </row>
    <row r="7708" spans="11:13" x14ac:dyDescent="0.2">
      <c r="K7708" t="s">
        <v>42</v>
      </c>
      <c r="L7708" t="s">
        <v>38</v>
      </c>
      <c r="M7708">
        <v>0</v>
      </c>
    </row>
    <row r="7709" spans="11:13" x14ac:dyDescent="0.2">
      <c r="K7709" t="s">
        <v>42</v>
      </c>
      <c r="L7709" t="s">
        <v>38</v>
      </c>
      <c r="M7709">
        <v>0</v>
      </c>
    </row>
    <row r="7710" spans="11:13" x14ac:dyDescent="0.2">
      <c r="K7710" t="s">
        <v>42</v>
      </c>
      <c r="L7710" t="s">
        <v>38</v>
      </c>
      <c r="M7710">
        <v>0</v>
      </c>
    </row>
    <row r="7711" spans="11:13" x14ac:dyDescent="0.2">
      <c r="K7711" t="s">
        <v>41</v>
      </c>
      <c r="L7711" t="s">
        <v>37</v>
      </c>
      <c r="M7711">
        <v>0</v>
      </c>
    </row>
    <row r="7712" spans="11:13" x14ac:dyDescent="0.2">
      <c r="K7712" t="s">
        <v>42</v>
      </c>
      <c r="L7712" t="s">
        <v>38</v>
      </c>
      <c r="M7712">
        <v>0</v>
      </c>
    </row>
    <row r="7713" spans="11:13" x14ac:dyDescent="0.2">
      <c r="K7713" t="s">
        <v>42</v>
      </c>
      <c r="L7713" t="s">
        <v>38</v>
      </c>
      <c r="M7713">
        <v>0</v>
      </c>
    </row>
    <row r="7714" spans="11:13" x14ac:dyDescent="0.2">
      <c r="K7714" t="s">
        <v>41</v>
      </c>
      <c r="L7714" t="s">
        <v>37</v>
      </c>
      <c r="M7714">
        <v>0</v>
      </c>
    </row>
    <row r="7715" spans="11:13" x14ac:dyDescent="0.2">
      <c r="K7715" t="s">
        <v>41</v>
      </c>
      <c r="L7715" t="s">
        <v>37</v>
      </c>
      <c r="M7715">
        <v>0</v>
      </c>
    </row>
    <row r="7716" spans="11:13" x14ac:dyDescent="0.2">
      <c r="K7716" t="s">
        <v>42</v>
      </c>
      <c r="L7716" t="s">
        <v>38</v>
      </c>
      <c r="M7716">
        <v>0</v>
      </c>
    </row>
    <row r="7717" spans="11:13" x14ac:dyDescent="0.2">
      <c r="K7717" t="s">
        <v>41</v>
      </c>
      <c r="L7717" t="s">
        <v>37</v>
      </c>
      <c r="M7717">
        <v>0</v>
      </c>
    </row>
    <row r="7718" spans="11:13" x14ac:dyDescent="0.2">
      <c r="K7718" t="s">
        <v>42</v>
      </c>
      <c r="L7718" t="s">
        <v>38</v>
      </c>
      <c r="M7718">
        <v>0</v>
      </c>
    </row>
    <row r="7719" spans="11:13" x14ac:dyDescent="0.2">
      <c r="K7719" t="s">
        <v>41</v>
      </c>
      <c r="L7719" t="s">
        <v>37</v>
      </c>
      <c r="M7719">
        <v>0</v>
      </c>
    </row>
    <row r="7720" spans="11:13" x14ac:dyDescent="0.2">
      <c r="K7720" t="s">
        <v>42</v>
      </c>
      <c r="L7720" t="s">
        <v>38</v>
      </c>
      <c r="M7720">
        <v>0</v>
      </c>
    </row>
    <row r="7721" spans="11:13" x14ac:dyDescent="0.2">
      <c r="K7721" t="s">
        <v>41</v>
      </c>
      <c r="L7721" t="s">
        <v>37</v>
      </c>
      <c r="M7721">
        <v>0</v>
      </c>
    </row>
    <row r="7722" spans="11:13" x14ac:dyDescent="0.2">
      <c r="K7722" t="s">
        <v>42</v>
      </c>
      <c r="L7722" t="s">
        <v>38</v>
      </c>
      <c r="M7722">
        <v>0</v>
      </c>
    </row>
    <row r="7723" spans="11:13" x14ac:dyDescent="0.2">
      <c r="K7723" t="s">
        <v>41</v>
      </c>
      <c r="L7723" t="s">
        <v>37</v>
      </c>
      <c r="M7723">
        <v>0</v>
      </c>
    </row>
    <row r="7724" spans="11:13" x14ac:dyDescent="0.2">
      <c r="K7724" t="s">
        <v>42</v>
      </c>
      <c r="L7724" t="s">
        <v>38</v>
      </c>
      <c r="M7724">
        <v>0</v>
      </c>
    </row>
    <row r="7725" spans="11:13" x14ac:dyDescent="0.2">
      <c r="K7725" t="s">
        <v>41</v>
      </c>
      <c r="L7725" t="s">
        <v>37</v>
      </c>
      <c r="M7725">
        <v>0</v>
      </c>
    </row>
    <row r="7726" spans="11:13" x14ac:dyDescent="0.2">
      <c r="K7726" t="s">
        <v>42</v>
      </c>
      <c r="L7726" t="s">
        <v>38</v>
      </c>
      <c r="M7726">
        <v>0</v>
      </c>
    </row>
    <row r="7727" spans="11:13" x14ac:dyDescent="0.2">
      <c r="K7727" t="s">
        <v>41</v>
      </c>
      <c r="L7727" t="s">
        <v>37</v>
      </c>
      <c r="M7727">
        <v>0</v>
      </c>
    </row>
    <row r="7728" spans="11:13" x14ac:dyDescent="0.2">
      <c r="K7728" t="s">
        <v>41</v>
      </c>
      <c r="L7728" t="s">
        <v>37</v>
      </c>
      <c r="M7728">
        <v>0</v>
      </c>
    </row>
    <row r="7729" spans="11:13" x14ac:dyDescent="0.2">
      <c r="K7729" t="s">
        <v>41</v>
      </c>
      <c r="L7729" t="s">
        <v>37</v>
      </c>
      <c r="M7729">
        <v>0</v>
      </c>
    </row>
    <row r="7730" spans="11:13" x14ac:dyDescent="0.2">
      <c r="K7730" t="s">
        <v>41</v>
      </c>
      <c r="L7730" t="s">
        <v>37</v>
      </c>
      <c r="M7730">
        <v>0</v>
      </c>
    </row>
    <row r="7731" spans="11:13" x14ac:dyDescent="0.2">
      <c r="K7731" t="s">
        <v>42</v>
      </c>
      <c r="L7731" t="s">
        <v>38</v>
      </c>
      <c r="M7731">
        <v>0</v>
      </c>
    </row>
    <row r="7732" spans="11:13" x14ac:dyDescent="0.2">
      <c r="K7732" t="s">
        <v>42</v>
      </c>
      <c r="L7732" t="s">
        <v>38</v>
      </c>
      <c r="M7732">
        <v>0</v>
      </c>
    </row>
    <row r="7733" spans="11:13" x14ac:dyDescent="0.2">
      <c r="K7733" t="s">
        <v>41</v>
      </c>
      <c r="L7733" t="s">
        <v>37</v>
      </c>
      <c r="M7733">
        <v>0</v>
      </c>
    </row>
    <row r="7734" spans="11:13" x14ac:dyDescent="0.2">
      <c r="K7734" t="s">
        <v>41</v>
      </c>
      <c r="L7734" t="s">
        <v>37</v>
      </c>
      <c r="M7734">
        <v>0</v>
      </c>
    </row>
    <row r="7735" spans="11:13" x14ac:dyDescent="0.2">
      <c r="K7735" t="s">
        <v>42</v>
      </c>
      <c r="L7735" t="s">
        <v>38</v>
      </c>
      <c r="M7735">
        <v>0</v>
      </c>
    </row>
    <row r="7736" spans="11:13" x14ac:dyDescent="0.2">
      <c r="K7736" t="s">
        <v>41</v>
      </c>
      <c r="L7736" t="s">
        <v>37</v>
      </c>
      <c r="M7736">
        <v>0</v>
      </c>
    </row>
    <row r="7737" spans="11:13" x14ac:dyDescent="0.2">
      <c r="K7737" t="s">
        <v>41</v>
      </c>
      <c r="L7737" t="s">
        <v>37</v>
      </c>
      <c r="M7737">
        <v>0</v>
      </c>
    </row>
    <row r="7738" spans="11:13" x14ac:dyDescent="0.2">
      <c r="K7738" t="s">
        <v>41</v>
      </c>
      <c r="L7738" t="s">
        <v>37</v>
      </c>
      <c r="M7738">
        <v>0</v>
      </c>
    </row>
    <row r="7739" spans="11:13" x14ac:dyDescent="0.2">
      <c r="K7739" t="s">
        <v>42</v>
      </c>
      <c r="L7739" t="s">
        <v>38</v>
      </c>
      <c r="M7739">
        <v>0</v>
      </c>
    </row>
    <row r="7740" spans="11:13" x14ac:dyDescent="0.2">
      <c r="K7740" t="s">
        <v>42</v>
      </c>
      <c r="L7740" t="s">
        <v>38</v>
      </c>
      <c r="M7740">
        <v>0</v>
      </c>
    </row>
    <row r="7741" spans="11:13" x14ac:dyDescent="0.2">
      <c r="K7741" t="s">
        <v>41</v>
      </c>
      <c r="L7741" t="s">
        <v>37</v>
      </c>
      <c r="M7741">
        <v>0</v>
      </c>
    </row>
    <row r="7742" spans="11:13" x14ac:dyDescent="0.2">
      <c r="K7742" t="s">
        <v>41</v>
      </c>
      <c r="L7742" t="s">
        <v>37</v>
      </c>
      <c r="M7742">
        <v>0</v>
      </c>
    </row>
    <row r="7743" spans="11:13" x14ac:dyDescent="0.2">
      <c r="K7743" t="s">
        <v>42</v>
      </c>
      <c r="L7743" t="s">
        <v>38</v>
      </c>
      <c r="M7743">
        <v>0</v>
      </c>
    </row>
    <row r="7744" spans="11:13" x14ac:dyDescent="0.2">
      <c r="K7744" t="s">
        <v>42</v>
      </c>
      <c r="L7744" t="s">
        <v>38</v>
      </c>
      <c r="M7744">
        <v>0</v>
      </c>
    </row>
    <row r="7745" spans="11:13" x14ac:dyDescent="0.2">
      <c r="K7745" t="s">
        <v>42</v>
      </c>
      <c r="L7745" t="s">
        <v>38</v>
      </c>
      <c r="M7745">
        <v>0</v>
      </c>
    </row>
    <row r="7746" spans="11:13" x14ac:dyDescent="0.2">
      <c r="K7746" t="s">
        <v>41</v>
      </c>
      <c r="L7746" t="s">
        <v>37</v>
      </c>
      <c r="M7746">
        <v>0</v>
      </c>
    </row>
    <row r="7747" spans="11:13" x14ac:dyDescent="0.2">
      <c r="K7747" t="s">
        <v>41</v>
      </c>
      <c r="L7747" t="s">
        <v>37</v>
      </c>
      <c r="M7747">
        <v>0</v>
      </c>
    </row>
    <row r="7748" spans="11:13" x14ac:dyDescent="0.2">
      <c r="K7748" t="s">
        <v>41</v>
      </c>
      <c r="L7748" t="s">
        <v>37</v>
      </c>
      <c r="M7748">
        <v>0</v>
      </c>
    </row>
    <row r="7749" spans="11:13" x14ac:dyDescent="0.2">
      <c r="K7749" t="s">
        <v>41</v>
      </c>
      <c r="L7749" t="s">
        <v>37</v>
      </c>
      <c r="M7749">
        <v>0</v>
      </c>
    </row>
    <row r="7750" spans="11:13" x14ac:dyDescent="0.2">
      <c r="K7750" t="s">
        <v>42</v>
      </c>
      <c r="L7750" t="s">
        <v>38</v>
      </c>
      <c r="M7750">
        <v>0</v>
      </c>
    </row>
    <row r="7751" spans="11:13" x14ac:dyDescent="0.2">
      <c r="K7751" t="s">
        <v>41</v>
      </c>
      <c r="L7751" t="s">
        <v>37</v>
      </c>
      <c r="M7751">
        <v>0</v>
      </c>
    </row>
    <row r="7752" spans="11:13" x14ac:dyDescent="0.2">
      <c r="K7752" t="s">
        <v>42</v>
      </c>
      <c r="L7752" t="s">
        <v>38</v>
      </c>
      <c r="M7752">
        <v>0</v>
      </c>
    </row>
    <row r="7753" spans="11:13" x14ac:dyDescent="0.2">
      <c r="K7753" t="s">
        <v>41</v>
      </c>
      <c r="L7753" t="s">
        <v>37</v>
      </c>
      <c r="M7753">
        <v>0</v>
      </c>
    </row>
    <row r="7754" spans="11:13" x14ac:dyDescent="0.2">
      <c r="K7754" t="s">
        <v>42</v>
      </c>
      <c r="L7754" t="s">
        <v>38</v>
      </c>
      <c r="M7754">
        <v>0</v>
      </c>
    </row>
    <row r="7755" spans="11:13" x14ac:dyDescent="0.2">
      <c r="K7755" t="s">
        <v>42</v>
      </c>
      <c r="L7755" t="s">
        <v>38</v>
      </c>
      <c r="M7755">
        <v>0</v>
      </c>
    </row>
    <row r="7756" spans="11:13" x14ac:dyDescent="0.2">
      <c r="K7756" t="s">
        <v>42</v>
      </c>
      <c r="L7756" t="s">
        <v>38</v>
      </c>
      <c r="M7756">
        <v>0</v>
      </c>
    </row>
    <row r="7757" spans="11:13" x14ac:dyDescent="0.2">
      <c r="K7757" t="s">
        <v>42</v>
      </c>
      <c r="L7757" t="s">
        <v>38</v>
      </c>
      <c r="M7757">
        <v>0</v>
      </c>
    </row>
    <row r="7758" spans="11:13" x14ac:dyDescent="0.2">
      <c r="K7758" t="s">
        <v>41</v>
      </c>
      <c r="L7758" t="s">
        <v>37</v>
      </c>
      <c r="M7758">
        <v>1</v>
      </c>
    </row>
    <row r="7759" spans="11:13" x14ac:dyDescent="0.2">
      <c r="K7759" t="s">
        <v>42</v>
      </c>
      <c r="L7759" t="s">
        <v>38</v>
      </c>
      <c r="M7759">
        <v>0</v>
      </c>
    </row>
    <row r="7760" spans="11:13" x14ac:dyDescent="0.2">
      <c r="K7760" t="s">
        <v>41</v>
      </c>
      <c r="L7760" t="s">
        <v>37</v>
      </c>
      <c r="M7760">
        <v>0</v>
      </c>
    </row>
    <row r="7761" spans="11:13" x14ac:dyDescent="0.2">
      <c r="K7761" t="s">
        <v>42</v>
      </c>
      <c r="L7761" t="s">
        <v>38</v>
      </c>
      <c r="M7761">
        <v>0</v>
      </c>
    </row>
    <row r="7762" spans="11:13" x14ac:dyDescent="0.2">
      <c r="K7762" t="s">
        <v>41</v>
      </c>
      <c r="L7762" t="s">
        <v>37</v>
      </c>
      <c r="M7762">
        <v>0</v>
      </c>
    </row>
    <row r="7763" spans="11:13" x14ac:dyDescent="0.2">
      <c r="K7763" t="s">
        <v>42</v>
      </c>
      <c r="L7763" t="s">
        <v>38</v>
      </c>
      <c r="M7763">
        <v>0</v>
      </c>
    </row>
    <row r="7764" spans="11:13" x14ac:dyDescent="0.2">
      <c r="K7764" t="s">
        <v>42</v>
      </c>
      <c r="L7764" t="s">
        <v>38</v>
      </c>
      <c r="M7764">
        <v>0</v>
      </c>
    </row>
    <row r="7765" spans="11:13" x14ac:dyDescent="0.2">
      <c r="K7765" t="s">
        <v>42</v>
      </c>
      <c r="L7765" t="s">
        <v>38</v>
      </c>
      <c r="M7765">
        <v>0</v>
      </c>
    </row>
    <row r="7766" spans="11:13" x14ac:dyDescent="0.2">
      <c r="K7766" t="s">
        <v>41</v>
      </c>
      <c r="L7766" t="s">
        <v>37</v>
      </c>
      <c r="M7766">
        <v>0</v>
      </c>
    </row>
    <row r="7767" spans="11:13" x14ac:dyDescent="0.2">
      <c r="K7767" t="s">
        <v>41</v>
      </c>
      <c r="L7767" t="s">
        <v>37</v>
      </c>
      <c r="M7767">
        <v>0</v>
      </c>
    </row>
    <row r="7768" spans="11:13" x14ac:dyDescent="0.2">
      <c r="K7768" t="s">
        <v>42</v>
      </c>
      <c r="L7768" t="s">
        <v>38</v>
      </c>
      <c r="M7768">
        <v>1</v>
      </c>
    </row>
    <row r="7769" spans="11:13" x14ac:dyDescent="0.2">
      <c r="K7769" t="s">
        <v>41</v>
      </c>
      <c r="L7769" t="s">
        <v>37</v>
      </c>
      <c r="M7769">
        <v>0</v>
      </c>
    </row>
    <row r="7770" spans="11:13" x14ac:dyDescent="0.2">
      <c r="K7770" t="s">
        <v>41</v>
      </c>
      <c r="L7770" t="s">
        <v>37</v>
      </c>
      <c r="M7770">
        <v>0</v>
      </c>
    </row>
    <row r="7771" spans="11:13" x14ac:dyDescent="0.2">
      <c r="K7771" t="s">
        <v>42</v>
      </c>
      <c r="L7771" t="s">
        <v>38</v>
      </c>
      <c r="M7771">
        <v>0</v>
      </c>
    </row>
    <row r="7772" spans="11:13" x14ac:dyDescent="0.2">
      <c r="K7772" t="s">
        <v>41</v>
      </c>
      <c r="L7772" t="s">
        <v>37</v>
      </c>
      <c r="M7772">
        <v>0</v>
      </c>
    </row>
    <row r="7773" spans="11:13" x14ac:dyDescent="0.2">
      <c r="K7773" t="s">
        <v>41</v>
      </c>
      <c r="L7773" t="s">
        <v>37</v>
      </c>
      <c r="M7773">
        <v>0</v>
      </c>
    </row>
    <row r="7774" spans="11:13" x14ac:dyDescent="0.2">
      <c r="K7774" t="s">
        <v>41</v>
      </c>
      <c r="L7774" t="s">
        <v>37</v>
      </c>
      <c r="M7774">
        <v>0</v>
      </c>
    </row>
    <row r="7775" spans="11:13" x14ac:dyDescent="0.2">
      <c r="K7775" t="s">
        <v>42</v>
      </c>
      <c r="L7775" t="s">
        <v>38</v>
      </c>
      <c r="M7775">
        <v>1</v>
      </c>
    </row>
    <row r="7776" spans="11:13" x14ac:dyDescent="0.2">
      <c r="K7776" t="s">
        <v>42</v>
      </c>
      <c r="L7776" t="s">
        <v>38</v>
      </c>
      <c r="M7776">
        <v>0</v>
      </c>
    </row>
    <row r="7777" spans="11:13" x14ac:dyDescent="0.2">
      <c r="K7777" t="s">
        <v>41</v>
      </c>
      <c r="L7777" t="s">
        <v>37</v>
      </c>
      <c r="M7777">
        <v>0</v>
      </c>
    </row>
    <row r="7778" spans="11:13" x14ac:dyDescent="0.2">
      <c r="K7778" t="s">
        <v>41</v>
      </c>
      <c r="L7778" t="s">
        <v>37</v>
      </c>
      <c r="M7778">
        <v>0</v>
      </c>
    </row>
    <row r="7779" spans="11:13" x14ac:dyDescent="0.2">
      <c r="K7779" t="s">
        <v>41</v>
      </c>
      <c r="L7779" t="s">
        <v>37</v>
      </c>
      <c r="M7779">
        <v>0</v>
      </c>
    </row>
    <row r="7780" spans="11:13" x14ac:dyDescent="0.2">
      <c r="K7780" t="s">
        <v>41</v>
      </c>
      <c r="L7780" t="s">
        <v>37</v>
      </c>
      <c r="M7780">
        <v>0</v>
      </c>
    </row>
    <row r="7781" spans="11:13" x14ac:dyDescent="0.2">
      <c r="K7781" t="s">
        <v>42</v>
      </c>
      <c r="L7781" t="s">
        <v>38</v>
      </c>
      <c r="M7781">
        <v>0</v>
      </c>
    </row>
    <row r="7782" spans="11:13" x14ac:dyDescent="0.2">
      <c r="K7782" t="s">
        <v>41</v>
      </c>
      <c r="L7782" t="s">
        <v>37</v>
      </c>
      <c r="M7782">
        <v>0</v>
      </c>
    </row>
    <row r="7783" spans="11:13" x14ac:dyDescent="0.2">
      <c r="K7783" t="s">
        <v>41</v>
      </c>
      <c r="L7783" t="s">
        <v>37</v>
      </c>
      <c r="M7783">
        <v>0</v>
      </c>
    </row>
    <row r="7784" spans="11:13" x14ac:dyDescent="0.2">
      <c r="K7784" t="s">
        <v>42</v>
      </c>
      <c r="L7784" t="s">
        <v>38</v>
      </c>
      <c r="M7784">
        <v>0</v>
      </c>
    </row>
    <row r="7785" spans="11:13" x14ac:dyDescent="0.2">
      <c r="K7785" t="s">
        <v>42</v>
      </c>
      <c r="L7785" t="s">
        <v>38</v>
      </c>
      <c r="M7785">
        <v>0</v>
      </c>
    </row>
    <row r="7786" spans="11:13" x14ac:dyDescent="0.2">
      <c r="K7786" t="s">
        <v>41</v>
      </c>
      <c r="L7786" t="s">
        <v>37</v>
      </c>
      <c r="M7786">
        <v>0</v>
      </c>
    </row>
    <row r="7787" spans="11:13" x14ac:dyDescent="0.2">
      <c r="K7787" t="s">
        <v>41</v>
      </c>
      <c r="L7787" t="s">
        <v>37</v>
      </c>
      <c r="M7787">
        <v>0</v>
      </c>
    </row>
    <row r="7788" spans="11:13" x14ac:dyDescent="0.2">
      <c r="K7788" t="s">
        <v>42</v>
      </c>
      <c r="L7788" t="s">
        <v>38</v>
      </c>
      <c r="M7788">
        <v>0</v>
      </c>
    </row>
    <row r="7789" spans="11:13" x14ac:dyDescent="0.2">
      <c r="K7789" t="s">
        <v>42</v>
      </c>
      <c r="L7789" t="s">
        <v>38</v>
      </c>
      <c r="M7789">
        <v>0</v>
      </c>
    </row>
    <row r="7790" spans="11:13" x14ac:dyDescent="0.2">
      <c r="K7790" t="s">
        <v>41</v>
      </c>
      <c r="L7790" t="s">
        <v>37</v>
      </c>
      <c r="M7790">
        <v>0</v>
      </c>
    </row>
    <row r="7791" spans="11:13" x14ac:dyDescent="0.2">
      <c r="K7791" t="s">
        <v>42</v>
      </c>
      <c r="L7791" t="s">
        <v>38</v>
      </c>
      <c r="M7791">
        <v>0</v>
      </c>
    </row>
    <row r="7792" spans="11:13" x14ac:dyDescent="0.2">
      <c r="K7792" t="s">
        <v>42</v>
      </c>
      <c r="L7792" t="s">
        <v>38</v>
      </c>
      <c r="M7792">
        <v>0</v>
      </c>
    </row>
    <row r="7793" spans="11:13" x14ac:dyDescent="0.2">
      <c r="K7793" t="s">
        <v>41</v>
      </c>
      <c r="L7793" t="s">
        <v>37</v>
      </c>
      <c r="M7793">
        <v>0</v>
      </c>
    </row>
    <row r="7794" spans="11:13" x14ac:dyDescent="0.2">
      <c r="K7794" t="s">
        <v>42</v>
      </c>
      <c r="L7794" t="s">
        <v>38</v>
      </c>
      <c r="M7794">
        <v>0</v>
      </c>
    </row>
    <row r="7795" spans="11:13" x14ac:dyDescent="0.2">
      <c r="K7795" t="s">
        <v>41</v>
      </c>
      <c r="L7795" t="s">
        <v>37</v>
      </c>
      <c r="M7795">
        <v>0</v>
      </c>
    </row>
    <row r="7796" spans="11:13" x14ac:dyDescent="0.2">
      <c r="K7796" t="s">
        <v>42</v>
      </c>
      <c r="L7796" t="s">
        <v>38</v>
      </c>
      <c r="M7796">
        <v>0</v>
      </c>
    </row>
    <row r="7797" spans="11:13" x14ac:dyDescent="0.2">
      <c r="K7797" t="s">
        <v>42</v>
      </c>
      <c r="L7797" t="s">
        <v>38</v>
      </c>
      <c r="M7797">
        <v>0</v>
      </c>
    </row>
    <row r="7798" spans="11:13" x14ac:dyDescent="0.2">
      <c r="K7798" t="s">
        <v>42</v>
      </c>
      <c r="L7798" t="s">
        <v>38</v>
      </c>
      <c r="M7798">
        <v>0</v>
      </c>
    </row>
    <row r="7799" spans="11:13" x14ac:dyDescent="0.2">
      <c r="K7799" t="s">
        <v>42</v>
      </c>
      <c r="L7799" t="s">
        <v>38</v>
      </c>
      <c r="M7799">
        <v>0</v>
      </c>
    </row>
    <row r="7800" spans="11:13" x14ac:dyDescent="0.2">
      <c r="K7800" t="s">
        <v>41</v>
      </c>
      <c r="L7800" t="s">
        <v>37</v>
      </c>
      <c r="M7800">
        <v>0</v>
      </c>
    </row>
    <row r="7801" spans="11:13" x14ac:dyDescent="0.2">
      <c r="K7801" t="s">
        <v>42</v>
      </c>
      <c r="L7801" t="s">
        <v>38</v>
      </c>
      <c r="M7801">
        <v>0</v>
      </c>
    </row>
    <row r="7802" spans="11:13" x14ac:dyDescent="0.2">
      <c r="K7802" t="s">
        <v>41</v>
      </c>
      <c r="L7802" t="s">
        <v>37</v>
      </c>
      <c r="M7802">
        <v>0</v>
      </c>
    </row>
    <row r="7803" spans="11:13" x14ac:dyDescent="0.2">
      <c r="K7803" t="s">
        <v>41</v>
      </c>
      <c r="L7803" t="s">
        <v>37</v>
      </c>
      <c r="M7803">
        <v>0</v>
      </c>
    </row>
    <row r="7804" spans="11:13" x14ac:dyDescent="0.2">
      <c r="K7804" t="s">
        <v>42</v>
      </c>
      <c r="L7804" t="s">
        <v>38</v>
      </c>
      <c r="M7804">
        <v>0</v>
      </c>
    </row>
    <row r="7805" spans="11:13" x14ac:dyDescent="0.2">
      <c r="K7805" t="s">
        <v>42</v>
      </c>
      <c r="L7805" t="s">
        <v>38</v>
      </c>
      <c r="M7805">
        <v>0</v>
      </c>
    </row>
    <row r="7806" spans="11:13" x14ac:dyDescent="0.2">
      <c r="K7806" t="s">
        <v>42</v>
      </c>
      <c r="L7806" t="s">
        <v>38</v>
      </c>
      <c r="M7806">
        <v>0</v>
      </c>
    </row>
    <row r="7807" spans="11:13" x14ac:dyDescent="0.2">
      <c r="K7807" t="s">
        <v>41</v>
      </c>
      <c r="L7807" t="s">
        <v>37</v>
      </c>
      <c r="M7807">
        <v>0</v>
      </c>
    </row>
    <row r="7808" spans="11:13" x14ac:dyDescent="0.2">
      <c r="K7808" t="s">
        <v>42</v>
      </c>
      <c r="L7808" t="s">
        <v>38</v>
      </c>
      <c r="M7808">
        <v>0</v>
      </c>
    </row>
    <row r="7809" spans="11:13" x14ac:dyDescent="0.2">
      <c r="K7809" t="s">
        <v>41</v>
      </c>
      <c r="L7809" t="s">
        <v>37</v>
      </c>
      <c r="M7809">
        <v>0</v>
      </c>
    </row>
    <row r="7810" spans="11:13" x14ac:dyDescent="0.2">
      <c r="K7810" t="s">
        <v>42</v>
      </c>
      <c r="L7810" t="s">
        <v>38</v>
      </c>
      <c r="M7810">
        <v>0</v>
      </c>
    </row>
    <row r="7811" spans="11:13" x14ac:dyDescent="0.2">
      <c r="K7811" t="s">
        <v>42</v>
      </c>
      <c r="L7811" t="s">
        <v>38</v>
      </c>
      <c r="M7811">
        <v>0</v>
      </c>
    </row>
    <row r="7812" spans="11:13" x14ac:dyDescent="0.2">
      <c r="K7812" t="s">
        <v>42</v>
      </c>
      <c r="L7812" t="s">
        <v>38</v>
      </c>
      <c r="M7812">
        <v>0</v>
      </c>
    </row>
    <row r="7813" spans="11:13" x14ac:dyDescent="0.2">
      <c r="K7813" t="s">
        <v>41</v>
      </c>
      <c r="L7813" t="s">
        <v>37</v>
      </c>
      <c r="M7813">
        <v>0</v>
      </c>
    </row>
    <row r="7814" spans="11:13" x14ac:dyDescent="0.2">
      <c r="K7814" t="s">
        <v>41</v>
      </c>
      <c r="L7814" t="s">
        <v>37</v>
      </c>
      <c r="M7814">
        <v>0</v>
      </c>
    </row>
    <row r="7815" spans="11:13" x14ac:dyDescent="0.2">
      <c r="K7815" t="s">
        <v>41</v>
      </c>
      <c r="L7815" t="s">
        <v>37</v>
      </c>
      <c r="M7815">
        <v>0</v>
      </c>
    </row>
    <row r="7816" spans="11:13" x14ac:dyDescent="0.2">
      <c r="K7816" t="s">
        <v>42</v>
      </c>
      <c r="L7816" t="s">
        <v>38</v>
      </c>
      <c r="M7816">
        <v>0</v>
      </c>
    </row>
    <row r="7817" spans="11:13" x14ac:dyDescent="0.2">
      <c r="K7817" t="s">
        <v>42</v>
      </c>
      <c r="L7817" t="s">
        <v>38</v>
      </c>
      <c r="M7817">
        <v>0</v>
      </c>
    </row>
    <row r="7818" spans="11:13" x14ac:dyDescent="0.2">
      <c r="K7818" t="s">
        <v>41</v>
      </c>
      <c r="L7818" t="s">
        <v>37</v>
      </c>
      <c r="M7818">
        <v>0</v>
      </c>
    </row>
    <row r="7819" spans="11:13" x14ac:dyDescent="0.2">
      <c r="K7819" t="s">
        <v>42</v>
      </c>
      <c r="L7819" t="s">
        <v>38</v>
      </c>
      <c r="M7819">
        <v>0</v>
      </c>
    </row>
    <row r="7820" spans="11:13" x14ac:dyDescent="0.2">
      <c r="K7820" t="s">
        <v>41</v>
      </c>
      <c r="L7820" t="s">
        <v>37</v>
      </c>
      <c r="M7820">
        <v>0</v>
      </c>
    </row>
    <row r="7821" spans="11:13" x14ac:dyDescent="0.2">
      <c r="K7821" t="s">
        <v>41</v>
      </c>
      <c r="L7821" t="s">
        <v>37</v>
      </c>
      <c r="M7821">
        <v>0</v>
      </c>
    </row>
    <row r="7822" spans="11:13" x14ac:dyDescent="0.2">
      <c r="K7822" t="s">
        <v>41</v>
      </c>
      <c r="L7822" t="s">
        <v>37</v>
      </c>
      <c r="M7822">
        <v>0</v>
      </c>
    </row>
    <row r="7823" spans="11:13" x14ac:dyDescent="0.2">
      <c r="K7823" t="s">
        <v>42</v>
      </c>
      <c r="L7823" t="s">
        <v>38</v>
      </c>
      <c r="M7823">
        <v>0</v>
      </c>
    </row>
    <row r="7824" spans="11:13" x14ac:dyDescent="0.2">
      <c r="K7824" t="s">
        <v>41</v>
      </c>
      <c r="L7824" t="s">
        <v>37</v>
      </c>
      <c r="M7824">
        <v>0</v>
      </c>
    </row>
    <row r="7825" spans="11:13" x14ac:dyDescent="0.2">
      <c r="K7825" t="s">
        <v>42</v>
      </c>
      <c r="L7825" t="s">
        <v>38</v>
      </c>
      <c r="M7825">
        <v>0</v>
      </c>
    </row>
    <row r="7826" spans="11:13" x14ac:dyDescent="0.2">
      <c r="K7826" t="s">
        <v>42</v>
      </c>
      <c r="L7826" t="s">
        <v>38</v>
      </c>
      <c r="M7826">
        <v>1</v>
      </c>
    </row>
    <row r="7827" spans="11:13" x14ac:dyDescent="0.2">
      <c r="K7827" t="s">
        <v>42</v>
      </c>
      <c r="L7827" t="s">
        <v>38</v>
      </c>
      <c r="M7827">
        <v>0</v>
      </c>
    </row>
    <row r="7828" spans="11:13" x14ac:dyDescent="0.2">
      <c r="K7828" t="s">
        <v>41</v>
      </c>
      <c r="L7828" t="s">
        <v>37</v>
      </c>
      <c r="M7828">
        <v>0</v>
      </c>
    </row>
    <row r="7829" spans="11:13" x14ac:dyDescent="0.2">
      <c r="K7829" t="s">
        <v>41</v>
      </c>
      <c r="L7829" t="s">
        <v>37</v>
      </c>
      <c r="M7829">
        <v>0</v>
      </c>
    </row>
    <row r="7830" spans="11:13" x14ac:dyDescent="0.2">
      <c r="K7830" t="s">
        <v>42</v>
      </c>
      <c r="L7830" t="s">
        <v>38</v>
      </c>
      <c r="M7830">
        <v>0</v>
      </c>
    </row>
    <row r="7831" spans="11:13" x14ac:dyDescent="0.2">
      <c r="K7831" t="s">
        <v>42</v>
      </c>
      <c r="L7831" t="s">
        <v>38</v>
      </c>
      <c r="M7831">
        <v>0</v>
      </c>
    </row>
    <row r="7832" spans="11:13" x14ac:dyDescent="0.2">
      <c r="K7832" t="s">
        <v>42</v>
      </c>
      <c r="L7832" t="s">
        <v>38</v>
      </c>
      <c r="M7832">
        <v>0</v>
      </c>
    </row>
    <row r="7833" spans="11:13" x14ac:dyDescent="0.2">
      <c r="K7833" t="s">
        <v>41</v>
      </c>
      <c r="L7833" t="s">
        <v>37</v>
      </c>
      <c r="M7833">
        <v>0</v>
      </c>
    </row>
    <row r="7834" spans="11:13" x14ac:dyDescent="0.2">
      <c r="K7834" t="s">
        <v>41</v>
      </c>
      <c r="L7834" t="s">
        <v>37</v>
      </c>
      <c r="M7834">
        <v>0</v>
      </c>
    </row>
    <row r="7835" spans="11:13" x14ac:dyDescent="0.2">
      <c r="K7835" t="s">
        <v>42</v>
      </c>
      <c r="L7835" t="s">
        <v>38</v>
      </c>
      <c r="M7835">
        <v>0</v>
      </c>
    </row>
    <row r="7836" spans="11:13" x14ac:dyDescent="0.2">
      <c r="K7836" t="s">
        <v>42</v>
      </c>
      <c r="L7836" t="s">
        <v>38</v>
      </c>
      <c r="M7836">
        <v>0</v>
      </c>
    </row>
    <row r="7837" spans="11:13" x14ac:dyDescent="0.2">
      <c r="K7837" t="s">
        <v>42</v>
      </c>
      <c r="L7837" t="s">
        <v>38</v>
      </c>
      <c r="M7837">
        <v>0</v>
      </c>
    </row>
    <row r="7838" spans="11:13" x14ac:dyDescent="0.2">
      <c r="K7838" t="s">
        <v>41</v>
      </c>
      <c r="L7838" t="s">
        <v>37</v>
      </c>
      <c r="M7838">
        <v>0</v>
      </c>
    </row>
    <row r="7839" spans="11:13" x14ac:dyDescent="0.2">
      <c r="K7839" t="s">
        <v>42</v>
      </c>
      <c r="L7839" t="s">
        <v>38</v>
      </c>
      <c r="M7839">
        <v>1</v>
      </c>
    </row>
    <row r="7840" spans="11:13" x14ac:dyDescent="0.2">
      <c r="K7840" t="s">
        <v>42</v>
      </c>
      <c r="L7840" t="s">
        <v>38</v>
      </c>
      <c r="M7840">
        <v>0</v>
      </c>
    </row>
    <row r="7841" spans="11:13" x14ac:dyDescent="0.2">
      <c r="K7841" t="s">
        <v>41</v>
      </c>
      <c r="L7841" t="s">
        <v>37</v>
      </c>
      <c r="M7841">
        <v>0</v>
      </c>
    </row>
    <row r="7842" spans="11:13" x14ac:dyDescent="0.2">
      <c r="K7842" t="s">
        <v>41</v>
      </c>
      <c r="L7842" t="s">
        <v>37</v>
      </c>
      <c r="M7842">
        <v>0</v>
      </c>
    </row>
    <row r="7843" spans="11:13" x14ac:dyDescent="0.2">
      <c r="K7843" t="s">
        <v>41</v>
      </c>
      <c r="L7843" t="s">
        <v>37</v>
      </c>
      <c r="M7843">
        <v>0</v>
      </c>
    </row>
    <row r="7844" spans="11:13" x14ac:dyDescent="0.2">
      <c r="K7844" t="s">
        <v>42</v>
      </c>
      <c r="L7844" t="s">
        <v>38</v>
      </c>
      <c r="M7844">
        <v>0</v>
      </c>
    </row>
    <row r="7845" spans="11:13" x14ac:dyDescent="0.2">
      <c r="K7845" t="s">
        <v>42</v>
      </c>
      <c r="L7845" t="s">
        <v>38</v>
      </c>
      <c r="M7845">
        <v>0</v>
      </c>
    </row>
    <row r="7846" spans="11:13" x14ac:dyDescent="0.2">
      <c r="K7846" t="s">
        <v>41</v>
      </c>
      <c r="L7846" t="s">
        <v>37</v>
      </c>
      <c r="M7846">
        <v>0</v>
      </c>
    </row>
    <row r="7847" spans="11:13" x14ac:dyDescent="0.2">
      <c r="K7847" t="s">
        <v>42</v>
      </c>
      <c r="L7847" t="s">
        <v>38</v>
      </c>
      <c r="M7847">
        <v>0</v>
      </c>
    </row>
    <row r="7848" spans="11:13" x14ac:dyDescent="0.2">
      <c r="K7848" t="s">
        <v>41</v>
      </c>
      <c r="L7848" t="s">
        <v>37</v>
      </c>
      <c r="M7848">
        <v>0</v>
      </c>
    </row>
    <row r="7849" spans="11:13" x14ac:dyDescent="0.2">
      <c r="K7849" t="s">
        <v>42</v>
      </c>
      <c r="L7849" t="s">
        <v>38</v>
      </c>
      <c r="M7849">
        <v>0</v>
      </c>
    </row>
    <row r="7850" spans="11:13" x14ac:dyDescent="0.2">
      <c r="K7850" t="s">
        <v>41</v>
      </c>
      <c r="L7850" t="s">
        <v>37</v>
      </c>
      <c r="M7850">
        <v>0</v>
      </c>
    </row>
    <row r="7851" spans="11:13" x14ac:dyDescent="0.2">
      <c r="K7851" t="s">
        <v>42</v>
      </c>
      <c r="L7851" t="s">
        <v>38</v>
      </c>
      <c r="M7851">
        <v>0</v>
      </c>
    </row>
    <row r="7852" spans="11:13" x14ac:dyDescent="0.2">
      <c r="K7852" t="s">
        <v>42</v>
      </c>
      <c r="L7852" t="s">
        <v>38</v>
      </c>
      <c r="M7852">
        <v>0</v>
      </c>
    </row>
    <row r="7853" spans="11:13" x14ac:dyDescent="0.2">
      <c r="K7853" t="s">
        <v>42</v>
      </c>
      <c r="L7853" t="s">
        <v>38</v>
      </c>
      <c r="M7853">
        <v>0</v>
      </c>
    </row>
    <row r="7854" spans="11:13" x14ac:dyDescent="0.2">
      <c r="K7854" t="s">
        <v>42</v>
      </c>
      <c r="L7854" t="s">
        <v>38</v>
      </c>
      <c r="M7854">
        <v>0</v>
      </c>
    </row>
    <row r="7855" spans="11:13" x14ac:dyDescent="0.2">
      <c r="K7855" t="s">
        <v>42</v>
      </c>
      <c r="L7855" t="s">
        <v>38</v>
      </c>
      <c r="M7855">
        <v>0</v>
      </c>
    </row>
    <row r="7856" spans="11:13" x14ac:dyDescent="0.2">
      <c r="K7856" t="s">
        <v>41</v>
      </c>
      <c r="L7856" t="s">
        <v>37</v>
      </c>
      <c r="M7856">
        <v>0</v>
      </c>
    </row>
    <row r="7857" spans="11:13" x14ac:dyDescent="0.2">
      <c r="K7857" t="s">
        <v>42</v>
      </c>
      <c r="L7857" t="s">
        <v>38</v>
      </c>
      <c r="M7857">
        <v>0</v>
      </c>
    </row>
    <row r="7858" spans="11:13" x14ac:dyDescent="0.2">
      <c r="K7858" t="s">
        <v>42</v>
      </c>
      <c r="L7858" t="s">
        <v>38</v>
      </c>
      <c r="M7858">
        <v>0</v>
      </c>
    </row>
    <row r="7859" spans="11:13" x14ac:dyDescent="0.2">
      <c r="K7859" t="s">
        <v>42</v>
      </c>
      <c r="L7859" t="s">
        <v>38</v>
      </c>
      <c r="M7859">
        <v>0</v>
      </c>
    </row>
    <row r="7860" spans="11:13" x14ac:dyDescent="0.2">
      <c r="K7860" t="s">
        <v>42</v>
      </c>
      <c r="L7860" t="s">
        <v>38</v>
      </c>
      <c r="M7860">
        <v>0</v>
      </c>
    </row>
    <row r="7861" spans="11:13" x14ac:dyDescent="0.2">
      <c r="K7861" t="s">
        <v>41</v>
      </c>
      <c r="L7861" t="s">
        <v>37</v>
      </c>
      <c r="M7861">
        <v>0</v>
      </c>
    </row>
    <row r="7862" spans="11:13" x14ac:dyDescent="0.2">
      <c r="K7862" t="s">
        <v>42</v>
      </c>
      <c r="L7862" t="s">
        <v>38</v>
      </c>
      <c r="M7862">
        <v>0</v>
      </c>
    </row>
    <row r="7863" spans="11:13" x14ac:dyDescent="0.2">
      <c r="K7863" t="s">
        <v>42</v>
      </c>
      <c r="L7863" t="s">
        <v>38</v>
      </c>
      <c r="M7863">
        <v>0</v>
      </c>
    </row>
    <row r="7864" spans="11:13" x14ac:dyDescent="0.2">
      <c r="K7864" t="s">
        <v>42</v>
      </c>
      <c r="L7864" t="s">
        <v>38</v>
      </c>
      <c r="M7864">
        <v>0</v>
      </c>
    </row>
    <row r="7865" spans="11:13" x14ac:dyDescent="0.2">
      <c r="K7865" t="s">
        <v>41</v>
      </c>
      <c r="L7865" t="s">
        <v>37</v>
      </c>
      <c r="M7865">
        <v>0</v>
      </c>
    </row>
    <row r="7866" spans="11:13" x14ac:dyDescent="0.2">
      <c r="K7866" t="s">
        <v>42</v>
      </c>
      <c r="L7866" t="s">
        <v>38</v>
      </c>
      <c r="M7866">
        <v>0</v>
      </c>
    </row>
    <row r="7867" spans="11:13" x14ac:dyDescent="0.2">
      <c r="K7867" t="s">
        <v>42</v>
      </c>
      <c r="L7867" t="s">
        <v>38</v>
      </c>
      <c r="M7867">
        <v>0</v>
      </c>
    </row>
    <row r="7868" spans="11:13" x14ac:dyDescent="0.2">
      <c r="K7868" t="s">
        <v>42</v>
      </c>
      <c r="L7868" t="s">
        <v>38</v>
      </c>
      <c r="M7868">
        <v>0</v>
      </c>
    </row>
    <row r="7869" spans="11:13" x14ac:dyDescent="0.2">
      <c r="K7869" t="s">
        <v>42</v>
      </c>
      <c r="L7869" t="s">
        <v>38</v>
      </c>
      <c r="M7869">
        <v>0</v>
      </c>
    </row>
    <row r="7870" spans="11:13" x14ac:dyDescent="0.2">
      <c r="K7870" t="s">
        <v>42</v>
      </c>
      <c r="L7870" t="s">
        <v>38</v>
      </c>
      <c r="M7870">
        <v>0</v>
      </c>
    </row>
    <row r="7871" spans="11:13" x14ac:dyDescent="0.2">
      <c r="K7871" t="s">
        <v>42</v>
      </c>
      <c r="L7871" t="s">
        <v>38</v>
      </c>
      <c r="M7871">
        <v>0</v>
      </c>
    </row>
    <row r="7872" spans="11:13" x14ac:dyDescent="0.2">
      <c r="K7872" t="s">
        <v>41</v>
      </c>
      <c r="L7872" t="s">
        <v>37</v>
      </c>
      <c r="M7872">
        <v>0</v>
      </c>
    </row>
    <row r="7873" spans="11:13" x14ac:dyDescent="0.2">
      <c r="K7873" t="s">
        <v>42</v>
      </c>
      <c r="L7873" t="s">
        <v>38</v>
      </c>
      <c r="M7873">
        <v>0</v>
      </c>
    </row>
    <row r="7874" spans="11:13" x14ac:dyDescent="0.2">
      <c r="K7874" t="s">
        <v>41</v>
      </c>
      <c r="L7874" t="s">
        <v>37</v>
      </c>
      <c r="M7874">
        <v>0</v>
      </c>
    </row>
    <row r="7875" spans="11:13" x14ac:dyDescent="0.2">
      <c r="K7875" t="s">
        <v>41</v>
      </c>
      <c r="L7875" t="s">
        <v>37</v>
      </c>
      <c r="M7875">
        <v>0</v>
      </c>
    </row>
    <row r="7876" spans="11:13" x14ac:dyDescent="0.2">
      <c r="K7876" t="s">
        <v>42</v>
      </c>
      <c r="L7876" t="s">
        <v>38</v>
      </c>
      <c r="M7876">
        <v>0</v>
      </c>
    </row>
    <row r="7877" spans="11:13" x14ac:dyDescent="0.2">
      <c r="K7877" t="s">
        <v>41</v>
      </c>
      <c r="L7877" t="s">
        <v>37</v>
      </c>
      <c r="M7877">
        <v>0</v>
      </c>
    </row>
    <row r="7878" spans="11:13" x14ac:dyDescent="0.2">
      <c r="K7878" t="s">
        <v>42</v>
      </c>
      <c r="L7878" t="s">
        <v>38</v>
      </c>
      <c r="M7878">
        <v>0</v>
      </c>
    </row>
    <row r="7879" spans="11:13" x14ac:dyDescent="0.2">
      <c r="K7879" t="s">
        <v>41</v>
      </c>
      <c r="L7879" t="s">
        <v>37</v>
      </c>
      <c r="M7879">
        <v>0</v>
      </c>
    </row>
    <row r="7880" spans="11:13" x14ac:dyDescent="0.2">
      <c r="K7880" t="s">
        <v>42</v>
      </c>
      <c r="L7880" t="s">
        <v>38</v>
      </c>
      <c r="M7880">
        <v>0</v>
      </c>
    </row>
    <row r="7881" spans="11:13" x14ac:dyDescent="0.2">
      <c r="K7881" t="s">
        <v>41</v>
      </c>
      <c r="L7881" t="s">
        <v>37</v>
      </c>
      <c r="M7881">
        <v>0</v>
      </c>
    </row>
    <row r="7882" spans="11:13" x14ac:dyDescent="0.2">
      <c r="K7882" t="s">
        <v>42</v>
      </c>
      <c r="L7882" t="s">
        <v>38</v>
      </c>
      <c r="M7882">
        <v>0</v>
      </c>
    </row>
    <row r="7883" spans="11:13" x14ac:dyDescent="0.2">
      <c r="K7883" t="s">
        <v>41</v>
      </c>
      <c r="L7883" t="s">
        <v>37</v>
      </c>
      <c r="M7883">
        <v>0</v>
      </c>
    </row>
    <row r="7884" spans="11:13" x14ac:dyDescent="0.2">
      <c r="K7884" t="s">
        <v>41</v>
      </c>
      <c r="L7884" t="s">
        <v>37</v>
      </c>
      <c r="M7884">
        <v>0</v>
      </c>
    </row>
    <row r="7885" spans="11:13" x14ac:dyDescent="0.2">
      <c r="K7885" t="s">
        <v>41</v>
      </c>
      <c r="L7885" t="s">
        <v>37</v>
      </c>
      <c r="M7885">
        <v>0</v>
      </c>
    </row>
    <row r="7886" spans="11:13" x14ac:dyDescent="0.2">
      <c r="K7886" t="s">
        <v>42</v>
      </c>
      <c r="L7886" t="s">
        <v>38</v>
      </c>
      <c r="M7886">
        <v>0</v>
      </c>
    </row>
    <row r="7887" spans="11:13" x14ac:dyDescent="0.2">
      <c r="K7887" t="s">
        <v>41</v>
      </c>
      <c r="L7887" t="s">
        <v>37</v>
      </c>
      <c r="M7887">
        <v>0</v>
      </c>
    </row>
    <row r="7888" spans="11:13" x14ac:dyDescent="0.2">
      <c r="K7888" t="s">
        <v>42</v>
      </c>
      <c r="L7888" t="s">
        <v>38</v>
      </c>
      <c r="M7888">
        <v>0</v>
      </c>
    </row>
    <row r="7889" spans="11:13" x14ac:dyDescent="0.2">
      <c r="K7889" t="s">
        <v>41</v>
      </c>
      <c r="L7889" t="s">
        <v>37</v>
      </c>
      <c r="M7889">
        <v>0</v>
      </c>
    </row>
    <row r="7890" spans="11:13" x14ac:dyDescent="0.2">
      <c r="K7890" t="s">
        <v>42</v>
      </c>
      <c r="L7890" t="s">
        <v>38</v>
      </c>
      <c r="M7890">
        <v>0</v>
      </c>
    </row>
    <row r="7891" spans="11:13" x14ac:dyDescent="0.2">
      <c r="K7891" t="s">
        <v>42</v>
      </c>
      <c r="L7891" t="s">
        <v>38</v>
      </c>
      <c r="M7891">
        <v>0</v>
      </c>
    </row>
    <row r="7892" spans="11:13" x14ac:dyDescent="0.2">
      <c r="K7892" t="s">
        <v>42</v>
      </c>
      <c r="L7892" t="s">
        <v>38</v>
      </c>
      <c r="M7892">
        <v>0</v>
      </c>
    </row>
    <row r="7893" spans="11:13" x14ac:dyDescent="0.2">
      <c r="K7893" t="s">
        <v>41</v>
      </c>
      <c r="L7893" t="s">
        <v>37</v>
      </c>
      <c r="M7893">
        <v>0</v>
      </c>
    </row>
    <row r="7894" spans="11:13" x14ac:dyDescent="0.2">
      <c r="K7894" t="s">
        <v>41</v>
      </c>
      <c r="L7894" t="s">
        <v>37</v>
      </c>
      <c r="M7894">
        <v>0</v>
      </c>
    </row>
    <row r="7895" spans="11:13" x14ac:dyDescent="0.2">
      <c r="K7895" t="s">
        <v>41</v>
      </c>
      <c r="L7895" t="s">
        <v>37</v>
      </c>
      <c r="M7895">
        <v>0</v>
      </c>
    </row>
    <row r="7896" spans="11:13" x14ac:dyDescent="0.2">
      <c r="K7896" t="s">
        <v>41</v>
      </c>
      <c r="L7896" t="s">
        <v>37</v>
      </c>
      <c r="M7896">
        <v>0</v>
      </c>
    </row>
    <row r="7897" spans="11:13" x14ac:dyDescent="0.2">
      <c r="K7897" t="s">
        <v>42</v>
      </c>
      <c r="L7897" t="s">
        <v>38</v>
      </c>
      <c r="M7897">
        <v>0</v>
      </c>
    </row>
  </sheetData>
  <mergeCells count="18">
    <mergeCell ref="A1:G1"/>
    <mergeCell ref="A2:G2"/>
    <mergeCell ref="A4:G4"/>
    <mergeCell ref="A11:G11"/>
    <mergeCell ref="A13:B13"/>
    <mergeCell ref="A6:G9"/>
    <mergeCell ref="C13:G14"/>
    <mergeCell ref="A20:B20"/>
    <mergeCell ref="C20:E20"/>
    <mergeCell ref="A15:B15"/>
    <mergeCell ref="A32:G37"/>
    <mergeCell ref="A41:G46"/>
    <mergeCell ref="A25:G25"/>
    <mergeCell ref="A39:G39"/>
    <mergeCell ref="C15:G16"/>
    <mergeCell ref="A21:B23"/>
    <mergeCell ref="C21:E23"/>
    <mergeCell ref="A18:G18"/>
  </mergeCell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activeCell="E15" sqref="E15"/>
    </sheetView>
  </sheetViews>
  <sheetFormatPr baseColWidth="10" defaultRowHeight="15" x14ac:dyDescent="0.2"/>
  <cols>
    <col min="1" max="1" width="23.83203125" style="5" bestFit="1" customWidth="1"/>
    <col min="2" max="2" width="83.1640625" style="7" customWidth="1"/>
    <col min="3" max="3" width="14.6640625" style="5" bestFit="1" customWidth="1"/>
    <col min="4" max="4" width="15.5" style="5" bestFit="1" customWidth="1"/>
    <col min="5" max="16384" width="10.83203125" style="5"/>
  </cols>
  <sheetData>
    <row r="1" spans="1:5" ht="15" customHeight="1" x14ac:dyDescent="0.2">
      <c r="A1" s="64" t="s">
        <v>28</v>
      </c>
      <c r="B1" s="65"/>
    </row>
    <row r="2" spans="1:5" ht="16" customHeight="1" x14ac:dyDescent="0.2">
      <c r="A2" s="64"/>
      <c r="B2" s="65"/>
    </row>
    <row r="3" spans="1:5" ht="17" x14ac:dyDescent="0.2">
      <c r="A3" s="10" t="s">
        <v>52</v>
      </c>
      <c r="B3" s="11" t="s">
        <v>6</v>
      </c>
      <c r="C3" s="8"/>
      <c r="D3" s="8"/>
      <c r="E3" s="8"/>
    </row>
    <row r="4" spans="1:5" ht="15" customHeight="1" x14ac:dyDescent="0.2">
      <c r="A4" s="10" t="s">
        <v>0</v>
      </c>
      <c r="B4" s="4" t="s">
        <v>43</v>
      </c>
      <c r="C4" s="8"/>
      <c r="D4" s="8"/>
      <c r="E4" s="8"/>
    </row>
    <row r="5" spans="1:5" ht="16" customHeight="1" x14ac:dyDescent="0.2">
      <c r="A5" s="10" t="s">
        <v>1</v>
      </c>
      <c r="B5" s="4" t="s">
        <v>44</v>
      </c>
      <c r="C5" s="8"/>
      <c r="D5" s="8"/>
      <c r="E5" s="8"/>
    </row>
    <row r="6" spans="1:5" ht="17" x14ac:dyDescent="0.2">
      <c r="A6" s="10" t="s">
        <v>2</v>
      </c>
      <c r="B6" s="4" t="s">
        <v>45</v>
      </c>
      <c r="C6" s="8"/>
      <c r="D6" s="8"/>
      <c r="E6" s="8"/>
    </row>
    <row r="7" spans="1:5" ht="17" x14ac:dyDescent="0.2">
      <c r="A7" s="10" t="s">
        <v>3</v>
      </c>
      <c r="B7" s="4" t="s">
        <v>46</v>
      </c>
      <c r="C7" s="8"/>
      <c r="D7" s="8"/>
      <c r="E7" s="8"/>
    </row>
    <row r="8" spans="1:5" ht="17" x14ac:dyDescent="0.2">
      <c r="A8" s="10" t="s">
        <v>4</v>
      </c>
      <c r="B8" s="4" t="s">
        <v>47</v>
      </c>
      <c r="C8" s="8"/>
      <c r="D8" s="8"/>
      <c r="E8" s="8"/>
    </row>
    <row r="9" spans="1:5" ht="17" x14ac:dyDescent="0.2">
      <c r="A9" s="10" t="s">
        <v>5</v>
      </c>
      <c r="B9" s="4" t="s">
        <v>48</v>
      </c>
      <c r="C9" s="8"/>
      <c r="D9" s="8"/>
      <c r="E9" s="8"/>
    </row>
    <row r="10" spans="1:5" ht="17" x14ac:dyDescent="0.2">
      <c r="A10" s="10" t="s">
        <v>22</v>
      </c>
      <c r="B10" s="4" t="s">
        <v>49</v>
      </c>
      <c r="C10" s="8"/>
      <c r="D10" s="8"/>
      <c r="E10" s="8"/>
    </row>
    <row r="11" spans="1:5" ht="16" customHeight="1" x14ac:dyDescent="0.2">
      <c r="A11" s="10" t="s">
        <v>23</v>
      </c>
      <c r="B11" s="4" t="s">
        <v>50</v>
      </c>
      <c r="C11" s="8"/>
      <c r="D11" s="8"/>
      <c r="E11" s="8"/>
    </row>
    <row r="12" spans="1:5" ht="18" customHeight="1" x14ac:dyDescent="0.2">
      <c r="A12" s="10" t="s">
        <v>7</v>
      </c>
      <c r="B12" s="4" t="s">
        <v>51</v>
      </c>
      <c r="C12" s="8"/>
      <c r="D12" s="8"/>
      <c r="E12" s="8"/>
    </row>
    <row r="13" spans="1:5" x14ac:dyDescent="0.2">
      <c r="A13" s="8"/>
      <c r="B13" s="12"/>
      <c r="C13" s="8"/>
      <c r="D13" s="8"/>
      <c r="E13" s="8"/>
    </row>
    <row r="14" spans="1:5" x14ac:dyDescent="0.2">
      <c r="A14" s="66" t="s">
        <v>29</v>
      </c>
      <c r="B14" s="67"/>
    </row>
    <row r="15" spans="1:5" x14ac:dyDescent="0.2">
      <c r="A15" s="66"/>
      <c r="B15" s="67"/>
    </row>
    <row r="16" spans="1:5" ht="17" x14ac:dyDescent="0.2">
      <c r="A16" s="10" t="s">
        <v>52</v>
      </c>
      <c r="B16" s="11" t="s">
        <v>6</v>
      </c>
    </row>
    <row r="17" spans="1:2" ht="17" x14ac:dyDescent="0.2">
      <c r="A17" s="10" t="s">
        <v>0</v>
      </c>
      <c r="B17" s="4" t="s">
        <v>43</v>
      </c>
    </row>
    <row r="18" spans="1:2" ht="17" x14ac:dyDescent="0.2">
      <c r="A18" s="10" t="s">
        <v>1</v>
      </c>
      <c r="B18" s="4" t="s">
        <v>44</v>
      </c>
    </row>
    <row r="19" spans="1:2" ht="17" x14ac:dyDescent="0.2">
      <c r="A19" s="10" t="s">
        <v>2</v>
      </c>
      <c r="B19" s="4" t="s">
        <v>45</v>
      </c>
    </row>
    <row r="20" spans="1:2" ht="17" x14ac:dyDescent="0.2">
      <c r="A20" s="10" t="s">
        <v>3</v>
      </c>
      <c r="B20" s="4" t="s">
        <v>46</v>
      </c>
    </row>
    <row r="21" spans="1:2" ht="17" x14ac:dyDescent="0.2">
      <c r="A21" s="10" t="s">
        <v>4</v>
      </c>
      <c r="B21" s="4" t="s">
        <v>47</v>
      </c>
    </row>
    <row r="22" spans="1:2" ht="17" x14ac:dyDescent="0.2">
      <c r="A22" s="10" t="s">
        <v>5</v>
      </c>
      <c r="B22" s="4" t="s">
        <v>48</v>
      </c>
    </row>
    <row r="23" spans="1:2" ht="17" x14ac:dyDescent="0.2">
      <c r="A23" s="10" t="s">
        <v>22</v>
      </c>
      <c r="B23" s="4" t="s">
        <v>49</v>
      </c>
    </row>
    <row r="24" spans="1:2" ht="17" x14ac:dyDescent="0.2">
      <c r="A24" s="10" t="s">
        <v>23</v>
      </c>
      <c r="B24" s="4" t="s">
        <v>50</v>
      </c>
    </row>
    <row r="25" spans="1:2" ht="17" x14ac:dyDescent="0.2">
      <c r="A25" s="10" t="s">
        <v>7</v>
      </c>
      <c r="B25" s="4" t="s">
        <v>51</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baseColWidth="10" defaultRowHeight="16" customHeight="1" x14ac:dyDescent="0.2"/>
  <cols>
    <col min="2" max="2" width="12.1640625" bestFit="1" customWidth="1"/>
    <col min="3" max="3" width="11" bestFit="1" customWidth="1"/>
    <col min="4" max="4" width="12.1640625" bestFit="1" customWidth="1"/>
  </cols>
  <sheetData>
    <row r="1" spans="1:5" ht="16" customHeight="1" x14ac:dyDescent="0.2">
      <c r="A1" s="14" t="s">
        <v>24</v>
      </c>
      <c r="B1" s="14" t="s">
        <v>26</v>
      </c>
      <c r="C1" s="14" t="s">
        <v>25</v>
      </c>
      <c r="D1" s="15" t="s">
        <v>55</v>
      </c>
      <c r="E1" s="15" t="s">
        <v>56</v>
      </c>
    </row>
    <row r="2" spans="1:5" ht="16" customHeight="1" x14ac:dyDescent="0.2">
      <c r="A2" s="13" t="s">
        <v>10</v>
      </c>
      <c r="B2" s="13">
        <v>2.7792846214664899</v>
      </c>
      <c r="C2" s="13">
        <v>0.01</v>
      </c>
      <c r="D2" s="13" t="str">
        <f>IFERROR(INDEX(#REF!,1,1),"no solution")</f>
        <v>no solution</v>
      </c>
      <c r="E2" s="13" t="str">
        <f ca="1">IFERROR(_xlfn.FORMULATEXT(INDEX(#REF!,1)),"no formula")</f>
        <v>no formula</v>
      </c>
    </row>
    <row r="3" spans="1:5" ht="16" customHeight="1" x14ac:dyDescent="0.2">
      <c r="A3" s="13" t="s">
        <v>11</v>
      </c>
      <c r="B3" s="13">
        <v>2.2532666845245313</v>
      </c>
      <c r="C3" s="13">
        <v>0.01</v>
      </c>
      <c r="D3" s="13" t="str">
        <f>IFERROR(INDEX(#REF!,1,1),"no solution")</f>
        <v>no solution</v>
      </c>
      <c r="E3" s="13" t="str">
        <f ca="1">IFERROR(_xlfn.FORMULATEXT(INDEX(#REF!,1)),"no formula")</f>
        <v>no formula</v>
      </c>
    </row>
    <row r="4" spans="1:5" ht="16" customHeight="1" x14ac:dyDescent="0.2">
      <c r="A4" s="13" t="s">
        <v>12</v>
      </c>
      <c r="B4" s="13">
        <v>1.8606084239751572</v>
      </c>
      <c r="C4" s="13">
        <v>0.01</v>
      </c>
      <c r="D4" s="13" t="str">
        <f>IFERROR(INDEX(#REF!,1,1),"no solution")</f>
        <v>no solution</v>
      </c>
      <c r="E4" s="13" t="str">
        <f ca="1">IFERROR(_xlfn.FORMULATEXT(INDEX(#REF!,1)),"no formula")</f>
        <v>no formula</v>
      </c>
    </row>
    <row r="5" spans="1:5" ht="16" customHeight="1" x14ac:dyDescent="0.2">
      <c r="A5" s="13" t="s">
        <v>13</v>
      </c>
      <c r="B5" s="13">
        <v>0.3367192393391451</v>
      </c>
      <c r="C5" s="13">
        <v>1E-3</v>
      </c>
      <c r="D5" s="13" t="str">
        <f>IFERROR(INDEX(#REF!,1,1),"no solution")</f>
        <v>no solution</v>
      </c>
      <c r="E5" s="13" t="str">
        <f ca="1">IFERROR(_xlfn.FORMULATEXT(INDEX(#REF!,1)),"no formula")</f>
        <v>no formula</v>
      </c>
    </row>
    <row r="6" spans="1:5" ht="16" customHeight="1" x14ac:dyDescent="0.2">
      <c r="A6" s="13" t="s">
        <v>14</v>
      </c>
      <c r="B6" s="13">
        <v>0.40158614333215198</v>
      </c>
      <c r="C6" s="13">
        <v>1E-3</v>
      </c>
      <c r="D6" s="13" t="str">
        <f>IFERROR(INDEX(#REF!,1,1),"no solution")</f>
        <v>no solution</v>
      </c>
      <c r="E6" s="13" t="str">
        <f ca="1">IFERROR(_xlfn.FORMULATEXT(INDEX(#REF!,1)),"no formula")</f>
        <v>no formula</v>
      </c>
    </row>
    <row r="7" spans="1:5" ht="16" customHeight="1" x14ac:dyDescent="0.2">
      <c r="A7" s="13" t="s">
        <v>15</v>
      </c>
      <c r="B7" s="13">
        <v>0.41584428207045615</v>
      </c>
      <c r="C7" s="13">
        <v>1E-3</v>
      </c>
      <c r="D7" s="13" t="str">
        <f>IFERROR(INDEX(#REF!,1,1),"no solution")</f>
        <v>no solution</v>
      </c>
      <c r="E7" s="13" t="str">
        <f ca="1">IFERROR(_xlfn.FORMULATEXT(INDEX(#REF!,1)),"no formula")</f>
        <v>no formula</v>
      </c>
    </row>
    <row r="8" spans="1:5" ht="16" customHeight="1" x14ac:dyDescent="0.2">
      <c r="A8" s="13" t="s">
        <v>16</v>
      </c>
      <c r="B8" s="13">
        <v>128.50309278350517</v>
      </c>
      <c r="C8" s="13">
        <v>0.1</v>
      </c>
      <c r="D8" s="13" t="str">
        <f>IFERROR(INDEX(#REF!,1,1),"no solution")</f>
        <v>no solution</v>
      </c>
      <c r="E8" s="13" t="str">
        <f ca="1">IFERROR(_xlfn.FORMULATEXT(INDEX(#REF!,1)),"no formula")</f>
        <v>no formula</v>
      </c>
    </row>
    <row r="9" spans="1:5" ht="16" customHeight="1" x14ac:dyDescent="0.2">
      <c r="A9" s="13" t="s">
        <v>17</v>
      </c>
      <c r="B9" s="13">
        <v>82.985567010309282</v>
      </c>
      <c r="C9" s="13">
        <v>0.1</v>
      </c>
      <c r="D9" s="13" t="str">
        <f>IFERROR(INDEX(#REF!,1,1),"no solution")</f>
        <v>no solution</v>
      </c>
      <c r="E9" s="13" t="str">
        <f ca="1">IFERROR(_xlfn.FORMULATEXT(INDEX(#REF!,1)),"no formula")</f>
        <v>no formula</v>
      </c>
    </row>
    <row r="10" spans="1:5" ht="16" customHeight="1" x14ac:dyDescent="0.2">
      <c r="A10" s="13" t="s">
        <v>18</v>
      </c>
      <c r="B10" s="13">
        <v>102.85352719439958</v>
      </c>
      <c r="C10" s="13">
        <v>0.1</v>
      </c>
      <c r="D10" s="13" t="str">
        <f>IFERROR(INDEX(#REF!,1,1),"no solution")</f>
        <v>no solution</v>
      </c>
      <c r="E10" s="13" t="str">
        <f ca="1">IFERROR(_xlfn.FORMULATEXT(INDEX(#REF!,1)),"no formula")</f>
        <v>no formula</v>
      </c>
    </row>
    <row r="11" spans="1:5" ht="16" customHeight="1" x14ac:dyDescent="0.2">
      <c r="A11" s="13" t="s">
        <v>27</v>
      </c>
      <c r="B11" s="13">
        <v>0.73692174841859626</v>
      </c>
      <c r="C11" s="13">
        <v>1E-3</v>
      </c>
      <c r="D11" s="13" t="str">
        <f>IFERROR(INDEX(#REF!,1,1),"no solution")</f>
        <v>no solution</v>
      </c>
      <c r="E11" s="13" t="str">
        <f ca="1">IFERROR(_xlfn.FORMULATEXT(INDEX(#REF!,1)),"no formula")</f>
        <v>no formula</v>
      </c>
    </row>
    <row r="12" spans="1:5" ht="16" customHeight="1" x14ac:dyDescent="0.2">
      <c r="A12" s="13" t="s">
        <v>53</v>
      </c>
      <c r="B12" s="13">
        <v>302</v>
      </c>
      <c r="C12" s="13">
        <v>0</v>
      </c>
      <c r="D12" s="13">
        <f>IFERROR(INDEX('AB Test'!$C$41:C$42,1,1),"no solution")</f>
        <v>0</v>
      </c>
      <c r="E12" s="13" t="str">
        <f ca="1">IFERROR(_xlfn.FORMULATEXT(INDEX('AB Test'!$C$41:C$42,1)),"no formula")</f>
        <v>no formula</v>
      </c>
    </row>
    <row r="13" spans="1:5" ht="16" customHeight="1" x14ac:dyDescent="0.2">
      <c r="A13" s="13" t="s">
        <v>54</v>
      </c>
      <c r="B13" s="13">
        <v>39</v>
      </c>
      <c r="C13" s="13">
        <v>0</v>
      </c>
      <c r="D13" s="13">
        <f>IFERROR(INDEX('AB Test'!$C$43:C$44,1,1),"no solution")</f>
        <v>0</v>
      </c>
      <c r="E13" s="13" t="str">
        <f ca="1">IFERROR(_xlfn.FORMULATEXT(INDEX('AB Test'!$C$43:C$44,1)),"no formula")</f>
        <v>no formula</v>
      </c>
    </row>
    <row r="14" spans="1:5" ht="16" customHeight="1" x14ac:dyDescent="0.2">
      <c r="A14" s="13" t="s">
        <v>8</v>
      </c>
      <c r="B14" s="13" t="s">
        <v>57</v>
      </c>
      <c r="C14" s="13"/>
      <c r="D14" s="13" t="str">
        <f>IF(ISBLANK(INDEX(#REF!,1,1)), "no solution", IF(ISERROR(INDEX(#REF!,1,1)), "error in parsing the solution", INDEX(#REF!,1,1)))</f>
        <v>error in parsing the solution</v>
      </c>
      <c r="E14" s="13"/>
    </row>
    <row r="15" spans="1:5" ht="16" customHeight="1" x14ac:dyDescent="0.2">
      <c r="A15" s="13" t="s">
        <v>9</v>
      </c>
      <c r="B15" s="13"/>
      <c r="C15" s="13"/>
      <c r="D15" s="13" t="str">
        <f>IF(ISBLANK(INDEX(#REF!,1,1)), "no solution", IF(ISERROR(INDEX(#REF!,1,1)), "error in parsing the solution", INDEX(#REF!,1,1)))</f>
        <v>error in parsing the solution</v>
      </c>
      <c r="E15" s="13"/>
    </row>
    <row r="16" spans="1:5" ht="16" customHeight="1" x14ac:dyDescent="0.2">
      <c r="A16" s="13" t="s">
        <v>30</v>
      </c>
      <c r="B16" s="13"/>
      <c r="C16" s="13"/>
      <c r="D16" s="13" t="str">
        <f>IF(ISBLANK(INDEX(#REF!,1,1)), "no solution", IF(ISERROR(INDEX(#REF!,1,1)), "error in parsing the solution", INDEX(#REF!,1,1)))</f>
        <v>error in parsing the solution</v>
      </c>
      <c r="E16" s="13"/>
    </row>
    <row r="17" spans="1:5" ht="16" customHeight="1" x14ac:dyDescent="0.2">
      <c r="A17" s="13" t="s">
        <v>31</v>
      </c>
      <c r="B17" s="13"/>
      <c r="C17" s="13"/>
      <c r="D17" s="13" t="str">
        <f>IF(ISBLANK(INDEX(#REF!,1,1)), "no solution", IF(ISERROR(INDEX(#REF!,1,1)), "error in parsing the solution", INDEX(#REF!,1,1)))</f>
        <v>error in parsing the solution</v>
      </c>
      <c r="E17" s="13"/>
    </row>
    <row r="18" spans="1:5" ht="16" customHeight="1" x14ac:dyDescent="0.2">
      <c r="A18" s="13" t="s">
        <v>32</v>
      </c>
      <c r="B18" s="13"/>
      <c r="C18" s="13"/>
      <c r="D18" s="13" t="str">
        <f>IF(ISBLANK(INDEX(#REF!,1,1)), "no solution", IF(ISERROR(INDEX(#REF!,1,1)), "error in parsing the solution", INDEX(#REF!,1,1)))</f>
        <v>error in parsing the solution</v>
      </c>
      <c r="E18" s="13"/>
    </row>
    <row r="19" spans="1:5" ht="16" customHeight="1" x14ac:dyDescent="0.2">
      <c r="A19" s="13" t="s">
        <v>33</v>
      </c>
      <c r="B19" s="13"/>
      <c r="C19" s="13"/>
      <c r="D19" s="13" t="str">
        <f>IF(ISBLANK(INDEX(#REF!,1,1)), "no solution", IF(ISERROR(INDEX(#REF!,1,1)), "error in parsing the solution", INDEX(#REF!,1,1)))</f>
        <v>error in parsing the solution</v>
      </c>
      <c r="E19" s="13"/>
    </row>
    <row r="20" spans="1:5" ht="16" customHeight="1" x14ac:dyDescent="0.2">
      <c r="A20" s="13" t="s">
        <v>34</v>
      </c>
      <c r="B20" s="13"/>
      <c r="C20" s="13"/>
      <c r="D20" s="13" t="str">
        <f>IF(ISBLANK(INDEX(#REF!,1,1)), "no solution", IF(ISERROR(INDEX(#REF!,1,1)), "error in parsing the solution", INDEX(#REF!,1,1)))</f>
        <v>error in parsing the solution</v>
      </c>
      <c r="E20" s="13"/>
    </row>
    <row r="21" spans="1:5" ht="16" customHeight="1" x14ac:dyDescent="0.2">
      <c r="A21" s="13" t="s">
        <v>35</v>
      </c>
      <c r="B21" s="13"/>
      <c r="C21" s="13"/>
      <c r="D21" s="13" t="str">
        <f>IF(ISBLANK(INDEX(#REF!,1,1)), "no solution", IF(ISERROR(INDEX(#REF!,1,1)), "error in parsing the solution", INDEX(#REF!,1,1)))</f>
        <v>error in parsing the solution</v>
      </c>
      <c r="E21" s="13"/>
    </row>
    <row r="22" spans="1:5" ht="16" customHeight="1" x14ac:dyDescent="0.2">
      <c r="A22" s="13" t="s">
        <v>58</v>
      </c>
      <c r="B22" s="13"/>
      <c r="C22" s="13"/>
      <c r="D22" s="13" t="str">
        <f>IF(ISBLANK(INDEX('AB Test'!$A$26:$C$27,1,1)), "no solution", IF(ISERROR(INDEX('AB Test'!$A$26:$C$27,1,1)), "error in parsing the solution", INDEX('AB Test'!$A$26:$C$27,1,1)))</f>
        <v>no solution</v>
      </c>
      <c r="E22" s="13"/>
    </row>
    <row r="23" spans="1:5" ht="16" customHeight="1" x14ac:dyDescent="0.2">
      <c r="A23" s="13" t="s">
        <v>59</v>
      </c>
      <c r="B23" s="13"/>
      <c r="C23" s="13"/>
      <c r="D23" s="13" t="str">
        <f>IF(ISBLANK(INDEX('AB Test'!$A$31:$C$33,1,1)), "no solution", IF(ISERROR(INDEX('AB Test'!$A$31:$C$33,1,1)), "error in parsing the solution", INDEX('AB Test'!$A$31:$C$33,1,1)))</f>
        <v>no solution</v>
      </c>
      <c r="E23" s="13"/>
    </row>
    <row r="24" spans="1:5" ht="16" customHeight="1" x14ac:dyDescent="0.2">
      <c r="A24" s="13" t="s">
        <v>60</v>
      </c>
      <c r="B24" s="13"/>
      <c r="C24" s="13"/>
      <c r="D24" s="13" t="str">
        <f>IF(ISBLANK(INDEX('AB Test'!$A$49:$C$53,1,1)), "no solution", IF(ISERROR(INDEX('AB Test'!$A$49:$C$53,1,1)), "error in parsing the solution", INDEX('AB Test'!$A$49:$C$53,1,1)))</f>
        <v>no solution</v>
      </c>
      <c r="E24" s="13"/>
    </row>
    <row r="25" spans="1:5" ht="16" customHeight="1" x14ac:dyDescent="0.2">
      <c r="A25" s="13" t="s">
        <v>61</v>
      </c>
      <c r="B25" s="13"/>
      <c r="C25" s="13"/>
      <c r="D25" s="13" t="str">
        <f>IF(ISBLANK(INDEX('AB Test'!$A$58:$C$62,1,1)), "no solution", IF(ISERROR(INDEX('AB Test'!$A$58:$C$62,1,1)), "error in parsing the solution", INDEX('AB Test'!$A$58:$C$62,1,1)))</f>
        <v>no solution</v>
      </c>
      <c r="E2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Grammys Data</vt:lpstr>
      <vt:lpstr>Recording Academy Data</vt:lpstr>
      <vt:lpstr>AB Test</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Sai Krishna Varshith Danda</cp:lastModifiedBy>
  <dcterms:created xsi:type="dcterms:W3CDTF">2023-10-10T21:32:35Z</dcterms:created>
  <dcterms:modified xsi:type="dcterms:W3CDTF">2026-03-11T17:10:12Z</dcterms:modified>
</cp:coreProperties>
</file>